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tables/table12.xml" ContentType="application/vnd.openxmlformats-officedocument.spreadsheetml.table+xml"/>
  <Override PartName="/xl/charts/chart1.xml" ContentType="application/vnd.openxmlformats-officedocument.drawingml.char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azmin1\Documents\Codex\2026-10-19\github-plugin-github-openai-curated-remote\outputs\"/>
    </mc:Choice>
  </mc:AlternateContent>
  <xr:revisionPtr revIDLastSave="0" documentId="13_ncr:1_{3750CA7B-0026-43FE-854A-24A59954EB02}" xr6:coauthVersionLast="47" xr6:coauthVersionMax="47" xr10:uidLastSave="{00000000-0000-0000-0000-000000000000}"/>
  <bookViews>
    <workbookView xWindow="-120" yWindow="-120" windowWidth="29040" windowHeight="15840" tabRatio="692" activeTab="4" xr2:uid="{00000000-000D-0000-FFFF-FFFF00000000}"/>
  </bookViews>
  <sheets>
    <sheet name="00-راهنما" sheetId="1" r:id="rId1"/>
    <sheet name="01-تنظیمات" sheetId="2" r:id="rId2"/>
    <sheet name="02-ماتریس الزامات" sheetId="3" r:id="rId3"/>
    <sheet name="03-ورودی‌های بازنگری" sheetId="4" r:id="rId4"/>
    <sheet name="04-تحلیل شاخص‌ها" sheetId="5" r:id="rId5"/>
    <sheet name="05-موضوعات مدیریتی" sheetId="6" r:id="rId6"/>
    <sheet name="06-نتایج بازنگری" sheetId="7" r:id="rId7"/>
    <sheet name="07-تصمیمات و مصوبات" sheetId="8" r:id="rId8"/>
    <sheet name="08-برنامه اقدامات" sheetId="9" r:id="rId9"/>
    <sheet name="09-منابع و تغییرات" sheetId="10" r:id="rId10"/>
    <sheet name="10-ارزیابی اثربخشی" sheetId="11" r:id="rId11"/>
    <sheet name="11-صورت‌جلسه" sheetId="12" r:id="rId12"/>
    <sheet name="12-داشبورد مدیریتی" sheetId="13" r:id="rId13"/>
    <sheet name="13-کنترل انطباق" sheetId="14" r:id="rId14"/>
    <sheet name="14-مستندات و پیوست‌ها" sheetId="15" r:id="rId15"/>
    <sheet name="15-روابط" sheetId="16" r:id="rId16"/>
    <sheet name="16-آزمون‌ها" sheetId="17" r:id="rId17"/>
    <sheet name="17-جلسات و دوره‌ها" sheetId="18" r:id="rId18"/>
    <sheet name="18-دامنه استانداردها" sheetId="19" r:id="rId19"/>
    <sheet name="19-سوابق مبنا" sheetId="20" r:id="rId20"/>
    <sheet name="20-ابلاغ نتایج" sheetId="21" r:id="rId21"/>
  </sheets>
  <definedNames>
    <definedName name="_xlnm.Print_Area" localSheetId="0">'00-راهنما'!$A$1:$C$43</definedName>
    <definedName name="_xlnm.Print_Area" localSheetId="1">'01-تنظیمات'!$A$1:$D$32</definedName>
    <definedName name="_xlnm.Print_Area" localSheetId="2">'02-ماتریس الزامات'!$A$1:$J$81</definedName>
    <definedName name="_xlnm.Print_Area" localSheetId="3">'03-ورودی‌های بازنگری'!$A$1:$R$43</definedName>
    <definedName name="_xlnm.Print_Area" localSheetId="4">'04-تحلیل شاخص‌ها'!$A$1:$W$52</definedName>
    <definedName name="_xlnm.Print_Area" localSheetId="5">'05-موضوعات مدیریتی'!$A$1:$L$35</definedName>
    <definedName name="_xlnm.Print_Area" localSheetId="6">'06-نتایج بازنگری'!$A$1:$P$31</definedName>
    <definedName name="_xlnm.Print_Area" localSheetId="7">'07-تصمیمات و مصوبات'!$A$1:$AB$35</definedName>
    <definedName name="_xlnm.Print_Area" localSheetId="8">'08-برنامه اقدامات'!$A$1:$T$33</definedName>
    <definedName name="_xlnm.Print_Area" localSheetId="9">'09-منابع و تغییرات'!$A$1:$W$11</definedName>
    <definedName name="_xlnm.Print_Area" localSheetId="10">'10-ارزیابی اثربخشی'!$A$1:$Q$8</definedName>
    <definedName name="_xlnm.Print_Area" localSheetId="11">'11-صورت‌جلسه'!$A$1:$G$27</definedName>
    <definedName name="_xlnm.Print_Area" localSheetId="12">'12-داشبورد مدیریتی'!$A$1:$C$37</definedName>
    <definedName name="_xlnm.Print_Area" localSheetId="13">'13-کنترل انطباق'!$A$1:$O$155</definedName>
    <definedName name="_xlnm.Print_Area" localSheetId="14">'14-مستندات و پیوست‌ها'!$A$1:$I$26</definedName>
    <definedName name="_xlnm.Print_Area" localSheetId="15">'15-روابط'!$A$1:$E$45</definedName>
    <definedName name="_xlnm.Print_Area" localSheetId="16">'16-آزمون‌ها'!$A$1:$E$14</definedName>
    <definedName name="_xlnm.Print_Area" localSheetId="17">'17-جلسات و دوره‌ها'!$A$1:$M$10</definedName>
    <definedName name="_xlnm.Print_Area" localSheetId="18">'18-دامنه استانداردها'!$A$1:$J$15</definedName>
    <definedName name="_xlnm.Print_Area" localSheetId="19">'19-سوابق مبنا'!$A$1:$E$1677</definedName>
    <definedName name="_xlnm.Print_Area" localSheetId="20">'20-ابلاغ نتایج'!$A$1:$L$8</definedName>
    <definedName name="_xlnm.Print_Titles" localSheetId="0">'00-راهنما'!$1:$7</definedName>
    <definedName name="_xlnm.Print_Titles" localSheetId="1">'01-تنظیمات'!$1:$7</definedName>
    <definedName name="_xlnm.Print_Titles" localSheetId="2">'02-ماتریس الزامات'!$1:$7</definedName>
    <definedName name="_xlnm.Print_Titles" localSheetId="3">'03-ورودی‌های بازنگری'!$1:$7</definedName>
    <definedName name="_xlnm.Print_Titles" localSheetId="4">'04-تحلیل شاخص‌ها'!$1:$7</definedName>
    <definedName name="_xlnm.Print_Titles" localSheetId="5">'05-موضوعات مدیریتی'!$1:$7</definedName>
    <definedName name="_xlnm.Print_Titles" localSheetId="6">'06-نتایج بازنگری'!$1:$7</definedName>
    <definedName name="_xlnm.Print_Titles" localSheetId="7">'07-تصمیمات و مصوبات'!$1:$7</definedName>
    <definedName name="_xlnm.Print_Titles" localSheetId="8">'08-برنامه اقدامات'!$1:$7</definedName>
    <definedName name="_xlnm.Print_Titles" localSheetId="9">'09-منابع و تغییرات'!$1:$7</definedName>
    <definedName name="_xlnm.Print_Titles" localSheetId="10">'10-ارزیابی اثربخشی'!$1:$7</definedName>
    <definedName name="_xlnm.Print_Titles" localSheetId="11">'11-صورت‌جلسه'!$1:$7</definedName>
    <definedName name="_xlnm.Print_Titles" localSheetId="12">'12-داشبورد مدیریتی'!$1:$7</definedName>
    <definedName name="_xlnm.Print_Titles" localSheetId="13">'13-کنترل انطباق'!$1:$7</definedName>
    <definedName name="_xlnm.Print_Titles" localSheetId="14">'14-مستندات و پیوست‌ها'!$1:$7</definedName>
    <definedName name="_xlnm.Print_Titles" localSheetId="15">'15-روابط'!$1:$7</definedName>
    <definedName name="_xlnm.Print_Titles" localSheetId="16">'16-آزمون‌ها'!$1:$7</definedName>
    <definedName name="_xlnm.Print_Titles" localSheetId="17">'17-جلسات و دوره‌ها'!$1:$7</definedName>
    <definedName name="_xlnm.Print_Titles" localSheetId="18">'18-دامنه استانداردها'!$1:$7</definedName>
    <definedName name="_xlnm.Print_Titles" localSheetId="19">'19-سوابق مبنا'!$1:$7</definedName>
    <definedName name="_xlnm.Print_Titles" localSheetId="20">'20-ابلاغ نتایج'!$1:$7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0" i="21" l="1"/>
  <c r="L19" i="21"/>
  <c r="L18" i="21"/>
  <c r="L17" i="21"/>
  <c r="L16" i="21"/>
  <c r="L15" i="21"/>
  <c r="L14" i="21"/>
  <c r="L13" i="21"/>
  <c r="L12" i="21"/>
  <c r="L11" i="21"/>
  <c r="L10" i="21"/>
  <c r="L9" i="21"/>
  <c r="L8" i="21"/>
  <c r="M20" i="18"/>
  <c r="M19" i="18"/>
  <c r="M18" i="18"/>
  <c r="M17" i="18"/>
  <c r="M16" i="18"/>
  <c r="M15" i="18"/>
  <c r="M14" i="18"/>
  <c r="M13" i="18"/>
  <c r="M12" i="18"/>
  <c r="M11" i="18"/>
  <c r="M10" i="18"/>
  <c r="M9" i="18"/>
  <c r="M8" i="18"/>
  <c r="E60" i="16"/>
  <c r="E59" i="16"/>
  <c r="E58" i="16"/>
  <c r="E57" i="16"/>
  <c r="E56" i="16"/>
  <c r="E55" i="16"/>
  <c r="E54" i="16"/>
  <c r="E53" i="16"/>
  <c r="E52" i="16"/>
  <c r="E51" i="16"/>
  <c r="E50" i="16"/>
  <c r="E49" i="16"/>
  <c r="E48" i="16"/>
  <c r="E47" i="16"/>
  <c r="E46" i="16"/>
  <c r="E45" i="16"/>
  <c r="E44" i="16"/>
  <c r="E42" i="16"/>
  <c r="E40" i="16"/>
  <c r="E38" i="16"/>
  <c r="E36" i="16"/>
  <c r="E34" i="16"/>
  <c r="E32" i="16"/>
  <c r="E30" i="16"/>
  <c r="N155" i="14"/>
  <c r="I155" i="14"/>
  <c r="H155" i="14"/>
  <c r="G155" i="14"/>
  <c r="N154" i="14"/>
  <c r="I154" i="14"/>
  <c r="H154" i="14"/>
  <c r="G154" i="14"/>
  <c r="N153" i="14"/>
  <c r="I153" i="14"/>
  <c r="H153" i="14"/>
  <c r="G153" i="14"/>
  <c r="N152" i="14"/>
  <c r="I152" i="14"/>
  <c r="H152" i="14"/>
  <c r="G152" i="14"/>
  <c r="N151" i="14"/>
  <c r="I151" i="14"/>
  <c r="H151" i="14"/>
  <c r="G151" i="14"/>
  <c r="N150" i="14"/>
  <c r="I150" i="14"/>
  <c r="H150" i="14"/>
  <c r="G150" i="14"/>
  <c r="N149" i="14"/>
  <c r="I149" i="14"/>
  <c r="H149" i="14"/>
  <c r="G149" i="14"/>
  <c r="N148" i="14"/>
  <c r="I148" i="14"/>
  <c r="H148" i="14"/>
  <c r="G148" i="14"/>
  <c r="N147" i="14"/>
  <c r="I147" i="14"/>
  <c r="H147" i="14"/>
  <c r="G147" i="14"/>
  <c r="N146" i="14"/>
  <c r="I146" i="14"/>
  <c r="H146" i="14"/>
  <c r="G146" i="14"/>
  <c r="N145" i="14"/>
  <c r="I145" i="14"/>
  <c r="H145" i="14"/>
  <c r="G145" i="14"/>
  <c r="N144" i="14"/>
  <c r="I144" i="14"/>
  <c r="H144" i="14"/>
  <c r="G144" i="14"/>
  <c r="N143" i="14"/>
  <c r="I143" i="14"/>
  <c r="H143" i="14"/>
  <c r="G143" i="14"/>
  <c r="N142" i="14"/>
  <c r="I142" i="14"/>
  <c r="H142" i="14"/>
  <c r="G142" i="14"/>
  <c r="N141" i="14"/>
  <c r="I141" i="14"/>
  <c r="H141" i="14"/>
  <c r="G141" i="14"/>
  <c r="N140" i="14"/>
  <c r="I140" i="14"/>
  <c r="H140" i="14"/>
  <c r="G140" i="14"/>
  <c r="N139" i="14"/>
  <c r="I139" i="14"/>
  <c r="H139" i="14"/>
  <c r="G139" i="14"/>
  <c r="N138" i="14"/>
  <c r="I138" i="14"/>
  <c r="H138" i="14"/>
  <c r="G138" i="14"/>
  <c r="N137" i="14"/>
  <c r="I137" i="14"/>
  <c r="H137" i="14"/>
  <c r="G137" i="14"/>
  <c r="I136" i="14"/>
  <c r="H136" i="14"/>
  <c r="G136" i="14"/>
  <c r="N135" i="14"/>
  <c r="I135" i="14"/>
  <c r="H135" i="14"/>
  <c r="G135" i="14"/>
  <c r="I134" i="14"/>
  <c r="H134" i="14"/>
  <c r="G134" i="14"/>
  <c r="N133" i="14"/>
  <c r="I133" i="14"/>
  <c r="H133" i="14"/>
  <c r="G133" i="14"/>
  <c r="I132" i="14"/>
  <c r="H132" i="14"/>
  <c r="G132" i="14"/>
  <c r="N131" i="14"/>
  <c r="I131" i="14"/>
  <c r="H131" i="14"/>
  <c r="G131" i="14"/>
  <c r="I130" i="14"/>
  <c r="H130" i="14"/>
  <c r="G130" i="14"/>
  <c r="N129" i="14"/>
  <c r="I129" i="14"/>
  <c r="H129" i="14"/>
  <c r="G129" i="14"/>
  <c r="I128" i="14"/>
  <c r="H128" i="14"/>
  <c r="G128" i="14"/>
  <c r="N127" i="14"/>
  <c r="I127" i="14"/>
  <c r="H127" i="14"/>
  <c r="G127" i="14"/>
  <c r="I126" i="14"/>
  <c r="H126" i="14"/>
  <c r="G126" i="14"/>
  <c r="N125" i="14"/>
  <c r="I125" i="14"/>
  <c r="H125" i="14"/>
  <c r="G125" i="14"/>
  <c r="I124" i="14"/>
  <c r="H124" i="14"/>
  <c r="G124" i="14"/>
  <c r="N123" i="14"/>
  <c r="I123" i="14"/>
  <c r="H123" i="14"/>
  <c r="G123" i="14"/>
  <c r="I122" i="14"/>
  <c r="H122" i="14"/>
  <c r="G122" i="14"/>
  <c r="N121" i="14"/>
  <c r="I121" i="14"/>
  <c r="H121" i="14"/>
  <c r="G121" i="14"/>
  <c r="I120" i="14"/>
  <c r="H120" i="14"/>
  <c r="G120" i="14"/>
  <c r="N119" i="14"/>
  <c r="I119" i="14"/>
  <c r="H119" i="14"/>
  <c r="G119" i="14"/>
  <c r="I118" i="14"/>
  <c r="H118" i="14"/>
  <c r="G118" i="14"/>
  <c r="N117" i="14"/>
  <c r="I117" i="14"/>
  <c r="H117" i="14"/>
  <c r="G117" i="14"/>
  <c r="I116" i="14"/>
  <c r="H116" i="14"/>
  <c r="G116" i="14"/>
  <c r="N115" i="14"/>
  <c r="I115" i="14"/>
  <c r="H115" i="14"/>
  <c r="G115" i="14"/>
  <c r="I114" i="14"/>
  <c r="H114" i="14"/>
  <c r="G114" i="14"/>
  <c r="N113" i="14"/>
  <c r="I113" i="14"/>
  <c r="H113" i="14"/>
  <c r="G113" i="14"/>
  <c r="I112" i="14"/>
  <c r="H112" i="14"/>
  <c r="G112" i="14"/>
  <c r="N111" i="14"/>
  <c r="I111" i="14"/>
  <c r="H111" i="14"/>
  <c r="G111" i="14"/>
  <c r="N110" i="14"/>
  <c r="I110" i="14"/>
  <c r="H110" i="14"/>
  <c r="G110" i="14"/>
  <c r="N109" i="14"/>
  <c r="I109" i="14"/>
  <c r="H109" i="14"/>
  <c r="G109" i="14"/>
  <c r="N108" i="14"/>
  <c r="I108" i="14"/>
  <c r="H108" i="14"/>
  <c r="G108" i="14"/>
  <c r="N107" i="14"/>
  <c r="I107" i="14"/>
  <c r="H107" i="14"/>
  <c r="G107" i="14"/>
  <c r="N106" i="14"/>
  <c r="I106" i="14"/>
  <c r="H106" i="14"/>
  <c r="G106" i="14"/>
  <c r="N105" i="14"/>
  <c r="I105" i="14"/>
  <c r="H105" i="14"/>
  <c r="G105" i="14"/>
  <c r="N104" i="14"/>
  <c r="I104" i="14"/>
  <c r="H104" i="14"/>
  <c r="G104" i="14"/>
  <c r="N103" i="14"/>
  <c r="I103" i="14"/>
  <c r="H103" i="14"/>
  <c r="G103" i="14"/>
  <c r="N102" i="14"/>
  <c r="I102" i="14"/>
  <c r="H102" i="14"/>
  <c r="G102" i="14"/>
  <c r="N101" i="14"/>
  <c r="I101" i="14"/>
  <c r="H101" i="14"/>
  <c r="G101" i="14"/>
  <c r="N100" i="14"/>
  <c r="I100" i="14"/>
  <c r="H100" i="14"/>
  <c r="G100" i="14"/>
  <c r="N99" i="14"/>
  <c r="I99" i="14"/>
  <c r="H99" i="14"/>
  <c r="G99" i="14"/>
  <c r="N98" i="14"/>
  <c r="I98" i="14"/>
  <c r="H98" i="14"/>
  <c r="G98" i="14"/>
  <c r="N97" i="14"/>
  <c r="I97" i="14"/>
  <c r="H97" i="14"/>
  <c r="G97" i="14"/>
  <c r="N96" i="14"/>
  <c r="I96" i="14"/>
  <c r="H96" i="14"/>
  <c r="G96" i="14"/>
  <c r="N95" i="14"/>
  <c r="I95" i="14"/>
  <c r="H95" i="14"/>
  <c r="G95" i="14"/>
  <c r="N94" i="14"/>
  <c r="I94" i="14"/>
  <c r="H94" i="14"/>
  <c r="G94" i="14"/>
  <c r="N93" i="14"/>
  <c r="I93" i="14"/>
  <c r="H93" i="14"/>
  <c r="G93" i="14"/>
  <c r="N92" i="14"/>
  <c r="I92" i="14"/>
  <c r="H92" i="14"/>
  <c r="G92" i="14"/>
  <c r="N91" i="14"/>
  <c r="I91" i="14"/>
  <c r="H91" i="14"/>
  <c r="G91" i="14"/>
  <c r="I90" i="14"/>
  <c r="H90" i="14"/>
  <c r="G90" i="14"/>
  <c r="N89" i="14"/>
  <c r="I89" i="14"/>
  <c r="H89" i="14"/>
  <c r="G89" i="14"/>
  <c r="N88" i="14"/>
  <c r="I88" i="14"/>
  <c r="H88" i="14"/>
  <c r="G88" i="14"/>
  <c r="N87" i="14"/>
  <c r="I87" i="14"/>
  <c r="H87" i="14"/>
  <c r="G87" i="14"/>
  <c r="I86" i="14"/>
  <c r="H86" i="14"/>
  <c r="G86" i="14"/>
  <c r="N85" i="14"/>
  <c r="I85" i="14"/>
  <c r="H85" i="14"/>
  <c r="G85" i="14"/>
  <c r="N84" i="14"/>
  <c r="I84" i="14"/>
  <c r="H84" i="14"/>
  <c r="G84" i="14"/>
  <c r="N83" i="14"/>
  <c r="I83" i="14"/>
  <c r="H83" i="14"/>
  <c r="G83" i="14"/>
  <c r="N82" i="14"/>
  <c r="I82" i="14"/>
  <c r="H82" i="14"/>
  <c r="G82" i="14"/>
  <c r="N81" i="14"/>
  <c r="I81" i="14"/>
  <c r="H81" i="14"/>
  <c r="G81" i="14"/>
  <c r="I80" i="14"/>
  <c r="H80" i="14"/>
  <c r="G80" i="14"/>
  <c r="N79" i="14"/>
  <c r="I79" i="14"/>
  <c r="H79" i="14"/>
  <c r="G79" i="14"/>
  <c r="I78" i="14"/>
  <c r="H78" i="14"/>
  <c r="G78" i="14"/>
  <c r="N77" i="14"/>
  <c r="I77" i="14"/>
  <c r="H77" i="14"/>
  <c r="G77" i="14"/>
  <c r="I76" i="14"/>
  <c r="H76" i="14"/>
  <c r="G76" i="14"/>
  <c r="N75" i="14"/>
  <c r="I75" i="14"/>
  <c r="H75" i="14"/>
  <c r="G75" i="14"/>
  <c r="N74" i="14"/>
  <c r="I74" i="14"/>
  <c r="H74" i="14"/>
  <c r="G74" i="14"/>
  <c r="N73" i="14"/>
  <c r="I73" i="14"/>
  <c r="H73" i="14"/>
  <c r="G73" i="14"/>
  <c r="I72" i="14"/>
  <c r="H72" i="14"/>
  <c r="G72" i="14"/>
  <c r="N71" i="14"/>
  <c r="I71" i="14"/>
  <c r="H71" i="14"/>
  <c r="G71" i="14"/>
  <c r="N70" i="14"/>
  <c r="I70" i="14"/>
  <c r="H70" i="14"/>
  <c r="G70" i="14"/>
  <c r="N69" i="14"/>
  <c r="I69" i="14"/>
  <c r="H69" i="14"/>
  <c r="G69" i="14"/>
  <c r="I68" i="14"/>
  <c r="H68" i="14"/>
  <c r="G68" i="14"/>
  <c r="N67" i="14"/>
  <c r="I67" i="14"/>
  <c r="H67" i="14"/>
  <c r="G67" i="14"/>
  <c r="I66" i="14"/>
  <c r="H66" i="14"/>
  <c r="G66" i="14"/>
  <c r="N65" i="14"/>
  <c r="I65" i="14"/>
  <c r="H65" i="14"/>
  <c r="G65" i="14"/>
  <c r="I64" i="14"/>
  <c r="H64" i="14"/>
  <c r="G64" i="14"/>
  <c r="N63" i="14"/>
  <c r="I63" i="14"/>
  <c r="H63" i="14"/>
  <c r="G63" i="14"/>
  <c r="N62" i="14"/>
  <c r="I62" i="14"/>
  <c r="H62" i="14"/>
  <c r="G62" i="14"/>
  <c r="N61" i="14"/>
  <c r="I61" i="14"/>
  <c r="H61" i="14"/>
  <c r="G61" i="14"/>
  <c r="I60" i="14"/>
  <c r="H60" i="14"/>
  <c r="G60" i="14"/>
  <c r="N59" i="14"/>
  <c r="I59" i="14"/>
  <c r="H59" i="14"/>
  <c r="G59" i="14"/>
  <c r="N58" i="14"/>
  <c r="I58" i="14"/>
  <c r="H58" i="14"/>
  <c r="G58" i="14"/>
  <c r="N57" i="14"/>
  <c r="I57" i="14"/>
  <c r="H57" i="14"/>
  <c r="G57" i="14"/>
  <c r="N56" i="14"/>
  <c r="I56" i="14"/>
  <c r="H56" i="14"/>
  <c r="G56" i="14"/>
  <c r="N55" i="14"/>
  <c r="I55" i="14"/>
  <c r="H55" i="14"/>
  <c r="G55" i="14"/>
  <c r="N54" i="14"/>
  <c r="I54" i="14"/>
  <c r="H54" i="14"/>
  <c r="G54" i="14"/>
  <c r="N53" i="14"/>
  <c r="I53" i="14"/>
  <c r="H53" i="14"/>
  <c r="G53" i="14"/>
  <c r="I52" i="14"/>
  <c r="H52" i="14"/>
  <c r="G52" i="14"/>
  <c r="N51" i="14"/>
  <c r="I51" i="14"/>
  <c r="H51" i="14"/>
  <c r="G51" i="14"/>
  <c r="I50" i="14"/>
  <c r="H50" i="14"/>
  <c r="G50" i="14"/>
  <c r="N49" i="14"/>
  <c r="I49" i="14"/>
  <c r="H49" i="14"/>
  <c r="G49" i="14"/>
  <c r="I48" i="14"/>
  <c r="H48" i="14"/>
  <c r="G48" i="14"/>
  <c r="N47" i="14"/>
  <c r="I47" i="14"/>
  <c r="H47" i="14"/>
  <c r="G47" i="14"/>
  <c r="N46" i="14"/>
  <c r="I46" i="14"/>
  <c r="H46" i="14"/>
  <c r="G46" i="14"/>
  <c r="N45" i="14"/>
  <c r="I45" i="14"/>
  <c r="H45" i="14"/>
  <c r="G45" i="14"/>
  <c r="N44" i="14"/>
  <c r="I44" i="14"/>
  <c r="H44" i="14"/>
  <c r="G44" i="14"/>
  <c r="N43" i="14"/>
  <c r="I43" i="14"/>
  <c r="H43" i="14"/>
  <c r="G43" i="14"/>
  <c r="N42" i="14"/>
  <c r="I42" i="14"/>
  <c r="H42" i="14"/>
  <c r="G42" i="14"/>
  <c r="N41" i="14"/>
  <c r="I41" i="14"/>
  <c r="H41" i="14"/>
  <c r="G41" i="14"/>
  <c r="N40" i="14"/>
  <c r="I40" i="14"/>
  <c r="H40" i="14"/>
  <c r="G40" i="14"/>
  <c r="N39" i="14"/>
  <c r="I39" i="14"/>
  <c r="H39" i="14"/>
  <c r="G39" i="14"/>
  <c r="N38" i="14"/>
  <c r="I38" i="14"/>
  <c r="H38" i="14"/>
  <c r="G38" i="14"/>
  <c r="N37" i="14"/>
  <c r="I37" i="14"/>
  <c r="H37" i="14"/>
  <c r="G37" i="14"/>
  <c r="N36" i="14"/>
  <c r="I36" i="14"/>
  <c r="H36" i="14"/>
  <c r="G36" i="14"/>
  <c r="N35" i="14"/>
  <c r="I35" i="14"/>
  <c r="H35" i="14"/>
  <c r="G35" i="14"/>
  <c r="I34" i="14"/>
  <c r="H34" i="14"/>
  <c r="G34" i="14"/>
  <c r="N33" i="14"/>
  <c r="I33" i="14"/>
  <c r="H33" i="14"/>
  <c r="G33" i="14"/>
  <c r="N32" i="14"/>
  <c r="I32" i="14"/>
  <c r="H32" i="14"/>
  <c r="G32" i="14"/>
  <c r="N31" i="14"/>
  <c r="I31" i="14"/>
  <c r="H31" i="14"/>
  <c r="G31" i="14"/>
  <c r="I30" i="14"/>
  <c r="H30" i="14"/>
  <c r="G30" i="14"/>
  <c r="N29" i="14"/>
  <c r="I29" i="14"/>
  <c r="H29" i="14"/>
  <c r="G29" i="14"/>
  <c r="N28" i="14"/>
  <c r="I28" i="14"/>
  <c r="H28" i="14"/>
  <c r="G28" i="14"/>
  <c r="N27" i="14"/>
  <c r="I27" i="14"/>
  <c r="H27" i="14"/>
  <c r="G27" i="14"/>
  <c r="N26" i="14"/>
  <c r="I26" i="14"/>
  <c r="H26" i="14"/>
  <c r="G26" i="14"/>
  <c r="N25" i="14"/>
  <c r="I25" i="14"/>
  <c r="H25" i="14"/>
  <c r="G25" i="14"/>
  <c r="N24" i="14"/>
  <c r="I24" i="14"/>
  <c r="H24" i="14"/>
  <c r="G24" i="14"/>
  <c r="N23" i="14"/>
  <c r="I23" i="14"/>
  <c r="H23" i="14"/>
  <c r="G23" i="14"/>
  <c r="N22" i="14"/>
  <c r="I22" i="14"/>
  <c r="H22" i="14"/>
  <c r="G22" i="14"/>
  <c r="N21" i="14"/>
  <c r="I21" i="14"/>
  <c r="H21" i="14"/>
  <c r="G21" i="14"/>
  <c r="I20" i="14"/>
  <c r="H20" i="14"/>
  <c r="G20" i="14"/>
  <c r="N19" i="14"/>
  <c r="I19" i="14"/>
  <c r="H19" i="14"/>
  <c r="G19" i="14"/>
  <c r="I18" i="14"/>
  <c r="H18" i="14"/>
  <c r="G18" i="14"/>
  <c r="N17" i="14"/>
  <c r="I17" i="14"/>
  <c r="H17" i="14"/>
  <c r="G17" i="14"/>
  <c r="I16" i="14"/>
  <c r="H16" i="14"/>
  <c r="G16" i="14"/>
  <c r="N15" i="14"/>
  <c r="I15" i="14"/>
  <c r="H15" i="14"/>
  <c r="G15" i="14"/>
  <c r="I14" i="14"/>
  <c r="H14" i="14"/>
  <c r="G14" i="14"/>
  <c r="N13" i="14"/>
  <c r="I13" i="14"/>
  <c r="H13" i="14"/>
  <c r="G13" i="14"/>
  <c r="N12" i="14"/>
  <c r="I12" i="14"/>
  <c r="H12" i="14"/>
  <c r="G12" i="14"/>
  <c r="N11" i="14"/>
  <c r="I11" i="14"/>
  <c r="H11" i="14"/>
  <c r="G11" i="14"/>
  <c r="N10" i="14"/>
  <c r="I10" i="14"/>
  <c r="H10" i="14"/>
  <c r="G10" i="14"/>
  <c r="N9" i="14"/>
  <c r="I9" i="14"/>
  <c r="H9" i="14"/>
  <c r="G9" i="14"/>
  <c r="I8" i="14"/>
  <c r="H8" i="14"/>
  <c r="G8" i="14"/>
  <c r="B10" i="13"/>
  <c r="B9" i="13"/>
  <c r="B8" i="13"/>
  <c r="A4" i="13"/>
  <c r="A6" i="12"/>
  <c r="A4" i="12"/>
  <c r="Q23" i="11"/>
  <c r="Q22" i="11"/>
  <c r="Q21" i="11"/>
  <c r="Q20" i="11"/>
  <c r="Q19" i="11"/>
  <c r="Q18" i="11"/>
  <c r="Q17" i="11"/>
  <c r="Q16" i="11"/>
  <c r="Q15" i="11"/>
  <c r="Q14" i="11"/>
  <c r="Q13" i="11"/>
  <c r="Q12" i="11"/>
  <c r="Q11" i="11"/>
  <c r="Q10" i="11"/>
  <c r="Q9" i="11"/>
  <c r="Q8" i="11"/>
  <c r="S33" i="9" s="1"/>
  <c r="W23" i="10"/>
  <c r="W22" i="10"/>
  <c r="W21" i="10"/>
  <c r="W20" i="10"/>
  <c r="W19" i="10"/>
  <c r="W18" i="10"/>
  <c r="W17" i="10"/>
  <c r="W16" i="10"/>
  <c r="W15" i="10"/>
  <c r="W14" i="10"/>
  <c r="W13" i="10"/>
  <c r="W12" i="10"/>
  <c r="W11" i="10"/>
  <c r="W10" i="10"/>
  <c r="W9" i="10"/>
  <c r="W8" i="10"/>
  <c r="B16" i="13" s="1"/>
  <c r="T41" i="9"/>
  <c r="S41" i="9"/>
  <c r="R41" i="9"/>
  <c r="Q41" i="9"/>
  <c r="T40" i="9"/>
  <c r="S40" i="9"/>
  <c r="R40" i="9"/>
  <c r="Q40" i="9"/>
  <c r="T39" i="9"/>
  <c r="S39" i="9"/>
  <c r="R39" i="9"/>
  <c r="Q39" i="9"/>
  <c r="T38" i="9"/>
  <c r="S38" i="9"/>
  <c r="R38" i="9"/>
  <c r="Q38" i="9"/>
  <c r="T37" i="9"/>
  <c r="S37" i="9"/>
  <c r="R37" i="9"/>
  <c r="Q37" i="9"/>
  <c r="T36" i="9"/>
  <c r="S36" i="9"/>
  <c r="R36" i="9"/>
  <c r="Q36" i="9"/>
  <c r="T35" i="9"/>
  <c r="S35" i="9"/>
  <c r="R35" i="9"/>
  <c r="Q35" i="9"/>
  <c r="T34" i="9"/>
  <c r="S34" i="9"/>
  <c r="R34" i="9"/>
  <c r="Q34" i="9"/>
  <c r="R33" i="9"/>
  <c r="S32" i="9"/>
  <c r="R32" i="9"/>
  <c r="S31" i="9"/>
  <c r="R31" i="9"/>
  <c r="S30" i="9"/>
  <c r="R30" i="9"/>
  <c r="S29" i="9"/>
  <c r="R29" i="9"/>
  <c r="S28" i="9"/>
  <c r="R28" i="9"/>
  <c r="Q28" i="9"/>
  <c r="T28" i="9" s="1"/>
  <c r="S27" i="9"/>
  <c r="R27" i="9"/>
  <c r="Q27" i="9"/>
  <c r="T27" i="9" s="1"/>
  <c r="S26" i="9"/>
  <c r="R26" i="9"/>
  <c r="Q26" i="9"/>
  <c r="T26" i="9" s="1"/>
  <c r="S25" i="9"/>
  <c r="R25" i="9"/>
  <c r="Q25" i="9"/>
  <c r="T25" i="9" s="1"/>
  <c r="S24" i="9"/>
  <c r="R24" i="9"/>
  <c r="Q24" i="9"/>
  <c r="T24" i="9" s="1"/>
  <c r="S23" i="9"/>
  <c r="R23" i="9"/>
  <c r="Q23" i="9"/>
  <c r="T23" i="9" s="1"/>
  <c r="S22" i="9"/>
  <c r="R22" i="9"/>
  <c r="Q22" i="9"/>
  <c r="T22" i="9" s="1"/>
  <c r="S21" i="9"/>
  <c r="R21" i="9"/>
  <c r="Q21" i="9"/>
  <c r="T21" i="9" s="1"/>
  <c r="S20" i="9"/>
  <c r="R20" i="9"/>
  <c r="Q20" i="9"/>
  <c r="T20" i="9" s="1"/>
  <c r="S19" i="9"/>
  <c r="R19" i="9"/>
  <c r="Q19" i="9"/>
  <c r="T19" i="9" s="1"/>
  <c r="S18" i="9"/>
  <c r="R18" i="9"/>
  <c r="Q18" i="9"/>
  <c r="T18" i="9" s="1"/>
  <c r="S17" i="9"/>
  <c r="R17" i="9"/>
  <c r="Q17" i="9"/>
  <c r="T17" i="9" s="1"/>
  <c r="S16" i="9"/>
  <c r="R16" i="9"/>
  <c r="Q16" i="9"/>
  <c r="T16" i="9" s="1"/>
  <c r="S15" i="9"/>
  <c r="R15" i="9"/>
  <c r="Q15" i="9"/>
  <c r="T15" i="9" s="1"/>
  <c r="S14" i="9"/>
  <c r="R14" i="9"/>
  <c r="Q14" i="9"/>
  <c r="T14" i="9" s="1"/>
  <c r="S13" i="9"/>
  <c r="R13" i="9"/>
  <c r="Q13" i="9"/>
  <c r="T13" i="9" s="1"/>
  <c r="S12" i="9"/>
  <c r="R12" i="9"/>
  <c r="Q12" i="9"/>
  <c r="T12" i="9" s="1"/>
  <c r="S11" i="9"/>
  <c r="R11" i="9"/>
  <c r="Q11" i="9"/>
  <c r="T11" i="9" s="1"/>
  <c r="S10" i="9"/>
  <c r="R10" i="9"/>
  <c r="Q10" i="9"/>
  <c r="T10" i="9" s="1"/>
  <c r="S9" i="9"/>
  <c r="R9" i="9"/>
  <c r="Q9" i="9"/>
  <c r="T9" i="9" s="1"/>
  <c r="S8" i="9"/>
  <c r="R8" i="9"/>
  <c r="B12" i="13" s="1"/>
  <c r="Q8" i="9"/>
  <c r="T8" i="9" s="1"/>
  <c r="B13" i="13" s="1"/>
  <c r="AB43" i="8"/>
  <c r="AA43" i="8"/>
  <c r="Z43" i="8"/>
  <c r="AB42" i="8"/>
  <c r="AA42" i="8"/>
  <c r="Z42" i="8"/>
  <c r="AB41" i="8"/>
  <c r="AA41" i="8"/>
  <c r="Z41" i="8"/>
  <c r="AB40" i="8"/>
  <c r="AA40" i="8"/>
  <c r="Z40" i="8"/>
  <c r="AB39" i="8"/>
  <c r="AA39" i="8"/>
  <c r="Z39" i="8"/>
  <c r="AB38" i="8"/>
  <c r="AA38" i="8"/>
  <c r="Z38" i="8"/>
  <c r="AB37" i="8"/>
  <c r="AA37" i="8"/>
  <c r="Z37" i="8"/>
  <c r="AB36" i="8"/>
  <c r="AA36" i="8"/>
  <c r="Z36" i="8"/>
  <c r="AB35" i="8"/>
  <c r="Z35" i="8"/>
  <c r="E41" i="16" s="1"/>
  <c r="AB34" i="8"/>
  <c r="AB33" i="8"/>
  <c r="AB32" i="8"/>
  <c r="AB31" i="8"/>
  <c r="Z31" i="8"/>
  <c r="Q31" i="9" s="1"/>
  <c r="T31" i="9" s="1"/>
  <c r="AB30" i="8"/>
  <c r="AB29" i="8"/>
  <c r="AB28" i="8"/>
  <c r="AA28" i="8"/>
  <c r="Z28" i="8"/>
  <c r="E28" i="16" s="1"/>
  <c r="AB27" i="8"/>
  <c r="Z27" i="8"/>
  <c r="E27" i="16" s="1"/>
  <c r="AB26" i="8"/>
  <c r="Z26" i="8"/>
  <c r="AA26" i="8" s="1"/>
  <c r="AB25" i="8"/>
  <c r="AA25" i="8"/>
  <c r="Z25" i="8"/>
  <c r="E25" i="16" s="1"/>
  <c r="AB24" i="8"/>
  <c r="AA24" i="8"/>
  <c r="Z24" i="8"/>
  <c r="E24" i="16" s="1"/>
  <c r="AB23" i="8"/>
  <c r="Z23" i="8"/>
  <c r="AA23" i="8" s="1"/>
  <c r="AB22" i="8"/>
  <c r="AA22" i="8"/>
  <c r="Z22" i="8"/>
  <c r="E22" i="16" s="1"/>
  <c r="AB21" i="8"/>
  <c r="AA21" i="8"/>
  <c r="Z21" i="8"/>
  <c r="E21" i="16" s="1"/>
  <c r="AB20" i="8"/>
  <c r="AA20" i="8"/>
  <c r="Z20" i="8"/>
  <c r="E20" i="16" s="1"/>
  <c r="AB19" i="8"/>
  <c r="Z19" i="8"/>
  <c r="E19" i="16" s="1"/>
  <c r="AB18" i="8"/>
  <c r="Z18" i="8"/>
  <c r="AA18" i="8" s="1"/>
  <c r="AB17" i="8"/>
  <c r="AA17" i="8"/>
  <c r="Z17" i="8"/>
  <c r="E17" i="16" s="1"/>
  <c r="AB16" i="8"/>
  <c r="AA16" i="8"/>
  <c r="Z16" i="8"/>
  <c r="E16" i="16" s="1"/>
  <c r="AB15" i="8"/>
  <c r="Z15" i="8"/>
  <c r="AA15" i="8" s="1"/>
  <c r="AB14" i="8"/>
  <c r="AA14" i="8"/>
  <c r="Z14" i="8"/>
  <c r="E14" i="16" s="1"/>
  <c r="AB13" i="8"/>
  <c r="AA13" i="8"/>
  <c r="Z13" i="8"/>
  <c r="E13" i="16" s="1"/>
  <c r="AB12" i="8"/>
  <c r="AA12" i="8"/>
  <c r="Z12" i="8"/>
  <c r="E12" i="16" s="1"/>
  <c r="AB11" i="8"/>
  <c r="Z11" i="8"/>
  <c r="E11" i="16" s="1"/>
  <c r="AB10" i="8"/>
  <c r="Z10" i="8"/>
  <c r="AA10" i="8" s="1"/>
  <c r="AB9" i="8"/>
  <c r="B25" i="12" s="1"/>
  <c r="AA9" i="8"/>
  <c r="Z9" i="8"/>
  <c r="E9" i="16" s="1"/>
  <c r="AB8" i="8"/>
  <c r="B24" i="12" s="1"/>
  <c r="AA8" i="8"/>
  <c r="Z8" i="8"/>
  <c r="E8" i="16" s="1"/>
  <c r="P39" i="7"/>
  <c r="P38" i="7"/>
  <c r="P37" i="7"/>
  <c r="P36" i="7"/>
  <c r="P35" i="7"/>
  <c r="P34" i="7"/>
  <c r="P33" i="7"/>
  <c r="P32" i="7"/>
  <c r="P31" i="7"/>
  <c r="P30" i="7"/>
  <c r="P29" i="7"/>
  <c r="P28" i="7"/>
  <c r="P27" i="7"/>
  <c r="P26" i="7"/>
  <c r="P25" i="7"/>
  <c r="P24" i="7"/>
  <c r="P23" i="7"/>
  <c r="P22" i="7"/>
  <c r="P21" i="7"/>
  <c r="P20" i="7"/>
  <c r="P19" i="7"/>
  <c r="P18" i="7"/>
  <c r="P17" i="7"/>
  <c r="P16" i="7"/>
  <c r="P15" i="7"/>
  <c r="P14" i="7"/>
  <c r="P13" i="7"/>
  <c r="P12" i="7"/>
  <c r="P11" i="7"/>
  <c r="P10" i="7"/>
  <c r="P9" i="7"/>
  <c r="B17" i="13" s="1"/>
  <c r="P8" i="7"/>
  <c r="V60" i="5"/>
  <c r="U60" i="5"/>
  <c r="T60" i="5"/>
  <c r="S60" i="5"/>
  <c r="R60" i="5"/>
  <c r="V59" i="5"/>
  <c r="U59" i="5"/>
  <c r="T59" i="5"/>
  <c r="S59" i="5"/>
  <c r="R59" i="5"/>
  <c r="V58" i="5"/>
  <c r="U58" i="5"/>
  <c r="T58" i="5"/>
  <c r="S58" i="5"/>
  <c r="R58" i="5"/>
  <c r="V57" i="5"/>
  <c r="U57" i="5"/>
  <c r="T57" i="5"/>
  <c r="S57" i="5"/>
  <c r="R57" i="5"/>
  <c r="V56" i="5"/>
  <c r="U56" i="5"/>
  <c r="T56" i="5"/>
  <c r="S56" i="5"/>
  <c r="R56" i="5"/>
  <c r="V55" i="5"/>
  <c r="U55" i="5"/>
  <c r="T55" i="5"/>
  <c r="S55" i="5"/>
  <c r="R55" i="5"/>
  <c r="V54" i="5"/>
  <c r="U54" i="5"/>
  <c r="T54" i="5"/>
  <c r="S54" i="5"/>
  <c r="R54" i="5"/>
  <c r="V53" i="5"/>
  <c r="U53" i="5"/>
  <c r="T53" i="5"/>
  <c r="S53" i="5"/>
  <c r="R53" i="5"/>
  <c r="T52" i="5"/>
  <c r="V52" i="5" s="1"/>
  <c r="S52" i="5"/>
  <c r="R52" i="5"/>
  <c r="T51" i="5"/>
  <c r="S51" i="5"/>
  <c r="R51" i="5"/>
  <c r="T50" i="5"/>
  <c r="S50" i="5"/>
  <c r="R50" i="5"/>
  <c r="V49" i="5"/>
  <c r="T49" i="5"/>
  <c r="S49" i="5"/>
  <c r="R49" i="5"/>
  <c r="T48" i="5"/>
  <c r="V48" i="5" s="1"/>
  <c r="S48" i="5"/>
  <c r="R48" i="5"/>
  <c r="T47" i="5"/>
  <c r="V47" i="5" s="1"/>
  <c r="S47" i="5"/>
  <c r="R47" i="5"/>
  <c r="V46" i="5"/>
  <c r="T46" i="5"/>
  <c r="S46" i="5"/>
  <c r="R46" i="5"/>
  <c r="V45" i="5"/>
  <c r="T45" i="5"/>
  <c r="S45" i="5"/>
  <c r="R45" i="5"/>
  <c r="T44" i="5"/>
  <c r="V44" i="5" s="1"/>
  <c r="S44" i="5"/>
  <c r="R44" i="5"/>
  <c r="T43" i="5"/>
  <c r="V43" i="5" s="1"/>
  <c r="S43" i="5"/>
  <c r="R43" i="5"/>
  <c r="V42" i="5"/>
  <c r="T42" i="5"/>
  <c r="S42" i="5"/>
  <c r="R42" i="5"/>
  <c r="V41" i="5"/>
  <c r="T41" i="5"/>
  <c r="S41" i="5"/>
  <c r="R41" i="5"/>
  <c r="T40" i="5"/>
  <c r="V40" i="5" s="1"/>
  <c r="S40" i="5"/>
  <c r="R40" i="5"/>
  <c r="T39" i="5"/>
  <c r="V39" i="5" s="1"/>
  <c r="S39" i="5"/>
  <c r="R39" i="5"/>
  <c r="V38" i="5"/>
  <c r="T38" i="5"/>
  <c r="S38" i="5"/>
  <c r="R38" i="5"/>
  <c r="V37" i="5"/>
  <c r="T37" i="5"/>
  <c r="S37" i="5"/>
  <c r="R37" i="5"/>
  <c r="T36" i="5"/>
  <c r="V36" i="5" s="1"/>
  <c r="S36" i="5"/>
  <c r="R36" i="5"/>
  <c r="T35" i="5"/>
  <c r="V35" i="5" s="1"/>
  <c r="S35" i="5"/>
  <c r="R35" i="5"/>
  <c r="V34" i="5"/>
  <c r="T34" i="5"/>
  <c r="S34" i="5"/>
  <c r="R34" i="5"/>
  <c r="V33" i="5"/>
  <c r="T33" i="5"/>
  <c r="S33" i="5"/>
  <c r="R33" i="5"/>
  <c r="T32" i="5"/>
  <c r="V32" i="5" s="1"/>
  <c r="S32" i="5"/>
  <c r="R32" i="5"/>
  <c r="T31" i="5"/>
  <c r="V31" i="5" s="1"/>
  <c r="S31" i="5"/>
  <c r="R31" i="5"/>
  <c r="V30" i="5"/>
  <c r="T30" i="5"/>
  <c r="S30" i="5"/>
  <c r="R30" i="5"/>
  <c r="V29" i="5"/>
  <c r="T29" i="5"/>
  <c r="S29" i="5"/>
  <c r="R29" i="5"/>
  <c r="T28" i="5"/>
  <c r="V28" i="5" s="1"/>
  <c r="S28" i="5"/>
  <c r="R28" i="5"/>
  <c r="T27" i="5"/>
  <c r="V27" i="5" s="1"/>
  <c r="S27" i="5"/>
  <c r="R27" i="5"/>
  <c r="V26" i="5"/>
  <c r="T26" i="5"/>
  <c r="S26" i="5"/>
  <c r="R26" i="5"/>
  <c r="V25" i="5"/>
  <c r="T25" i="5"/>
  <c r="S25" i="5"/>
  <c r="R25" i="5"/>
  <c r="T24" i="5"/>
  <c r="V24" i="5" s="1"/>
  <c r="S24" i="5"/>
  <c r="R24" i="5"/>
  <c r="T23" i="5"/>
  <c r="V23" i="5" s="1"/>
  <c r="S23" i="5"/>
  <c r="R23" i="5"/>
  <c r="V22" i="5"/>
  <c r="T22" i="5"/>
  <c r="S22" i="5"/>
  <c r="R22" i="5"/>
  <c r="V21" i="5"/>
  <c r="T21" i="5"/>
  <c r="S21" i="5"/>
  <c r="R21" i="5"/>
  <c r="T20" i="5"/>
  <c r="V20" i="5" s="1"/>
  <c r="S20" i="5"/>
  <c r="R20" i="5"/>
  <c r="T19" i="5"/>
  <c r="V19" i="5" s="1"/>
  <c r="S19" i="5"/>
  <c r="R19" i="5"/>
  <c r="V18" i="5"/>
  <c r="U18" i="5"/>
  <c r="T18" i="5"/>
  <c r="S18" i="5"/>
  <c r="R18" i="5"/>
  <c r="V17" i="5"/>
  <c r="U17" i="5"/>
  <c r="T17" i="5"/>
  <c r="S17" i="5"/>
  <c r="R17" i="5"/>
  <c r="U16" i="5"/>
  <c r="T16" i="5"/>
  <c r="V16" i="5" s="1"/>
  <c r="S16" i="5"/>
  <c r="R16" i="5"/>
  <c r="U15" i="5"/>
  <c r="T15" i="5"/>
  <c r="V15" i="5" s="1"/>
  <c r="S15" i="5"/>
  <c r="R15" i="5"/>
  <c r="V14" i="5"/>
  <c r="U14" i="5"/>
  <c r="T14" i="5"/>
  <c r="S14" i="5"/>
  <c r="R14" i="5"/>
  <c r="V13" i="5"/>
  <c r="U13" i="5"/>
  <c r="T13" i="5"/>
  <c r="S13" i="5"/>
  <c r="R13" i="5"/>
  <c r="U12" i="5"/>
  <c r="T12" i="5"/>
  <c r="V12" i="5" s="1"/>
  <c r="S12" i="5"/>
  <c r="R12" i="5"/>
  <c r="U11" i="5"/>
  <c r="T11" i="5"/>
  <c r="V11" i="5" s="1"/>
  <c r="S11" i="5"/>
  <c r="R11" i="5"/>
  <c r="V10" i="5"/>
  <c r="U10" i="5"/>
  <c r="T10" i="5"/>
  <c r="S10" i="5"/>
  <c r="R10" i="5"/>
  <c r="V9" i="5"/>
  <c r="U9" i="5"/>
  <c r="T9" i="5"/>
  <c r="S9" i="5"/>
  <c r="R9" i="5"/>
  <c r="U8" i="5"/>
  <c r="T8" i="5"/>
  <c r="V8" i="5" s="1"/>
  <c r="S8" i="5"/>
  <c r="R8" i="5"/>
  <c r="R51" i="4"/>
  <c r="R50" i="4"/>
  <c r="R49" i="4"/>
  <c r="R48" i="4"/>
  <c r="R47" i="4"/>
  <c r="R46" i="4"/>
  <c r="R45" i="4"/>
  <c r="R44" i="4"/>
  <c r="R43" i="4"/>
  <c r="R42" i="4"/>
  <c r="Z34" i="8" s="1"/>
  <c r="R41" i="4"/>
  <c r="Z33" i="8" s="1"/>
  <c r="R40" i="4"/>
  <c r="Z32" i="8" s="1"/>
  <c r="R39" i="4"/>
  <c r="R38" i="4"/>
  <c r="Z30" i="8" s="1"/>
  <c r="R37" i="4"/>
  <c r="Z29" i="8" s="1"/>
  <c r="R36" i="4"/>
  <c r="R35" i="4"/>
  <c r="N136" i="14" s="1"/>
  <c r="R34" i="4"/>
  <c r="N134" i="14" s="1"/>
  <c r="R33" i="4"/>
  <c r="N116" i="14" s="1"/>
  <c r="R32" i="4"/>
  <c r="N122" i="14" s="1"/>
  <c r="R31" i="4"/>
  <c r="N128" i="14" s="1"/>
  <c r="R30" i="4"/>
  <c r="N30" i="14" s="1"/>
  <c r="R29" i="4"/>
  <c r="R28" i="4"/>
  <c r="R27" i="4"/>
  <c r="R26" i="4"/>
  <c r="R25" i="4"/>
  <c r="R24" i="4"/>
  <c r="N126" i="14" s="1"/>
  <c r="R23" i="4"/>
  <c r="R22" i="4"/>
  <c r="N48" i="14" s="1"/>
  <c r="R21" i="4"/>
  <c r="N68" i="14" s="1"/>
  <c r="R20" i="4"/>
  <c r="R19" i="4"/>
  <c r="R18" i="4"/>
  <c r="N64" i="14" s="1"/>
  <c r="R17" i="4"/>
  <c r="N120" i="14" s="1"/>
  <c r="R16" i="4"/>
  <c r="R15" i="4"/>
  <c r="N124" i="14" s="1"/>
  <c r="R14" i="4"/>
  <c r="N14" i="14" s="1"/>
  <c r="R13" i="4"/>
  <c r="N90" i="14" s="1"/>
  <c r="R12" i="4"/>
  <c r="N132" i="14" s="1"/>
  <c r="R11" i="4"/>
  <c r="N114" i="14" s="1"/>
  <c r="R10" i="4"/>
  <c r="N72" i="14" s="1"/>
  <c r="R9" i="4"/>
  <c r="R8" i="4"/>
  <c r="Q33" i="9" l="1"/>
  <c r="T33" i="9" s="1"/>
  <c r="AA34" i="8" s="1"/>
  <c r="E39" i="16"/>
  <c r="Q29" i="9"/>
  <c r="T29" i="9" s="1"/>
  <c r="AA29" i="8"/>
  <c r="E29" i="16"/>
  <c r="U50" i="5" s="1"/>
  <c r="V50" i="5" s="1"/>
  <c r="C24" i="12"/>
  <c r="G24" i="12"/>
  <c r="F24" i="12"/>
  <c r="D24" i="12"/>
  <c r="E24" i="12"/>
  <c r="Q30" i="9"/>
  <c r="T30" i="9" s="1"/>
  <c r="AA30" i="8" s="1"/>
  <c r="E31" i="16"/>
  <c r="B15" i="13"/>
  <c r="B14" i="13"/>
  <c r="Q32" i="9"/>
  <c r="T32" i="9" s="1"/>
  <c r="AA32" i="8" s="1"/>
  <c r="E25" i="12"/>
  <c r="D25" i="12"/>
  <c r="C25" i="12"/>
  <c r="F25" i="12"/>
  <c r="G25" i="12"/>
  <c r="E37" i="16"/>
  <c r="U52" i="5" s="1"/>
  <c r="AA33" i="8"/>
  <c r="B11" i="12"/>
  <c r="B19" i="12"/>
  <c r="B27" i="12"/>
  <c r="E15" i="16"/>
  <c r="E23" i="16"/>
  <c r="AA11" i="8"/>
  <c r="AA19" i="8"/>
  <c r="AA27" i="8"/>
  <c r="AA35" i="8"/>
  <c r="B15" i="12"/>
  <c r="B23" i="12"/>
  <c r="B10" i="12"/>
  <c r="B14" i="12"/>
  <c r="B18" i="12"/>
  <c r="B22" i="12"/>
  <c r="B26" i="12"/>
  <c r="B11" i="13"/>
  <c r="E33" i="16"/>
  <c r="U51" i="5" s="1"/>
  <c r="V51" i="5" s="1"/>
  <c r="E10" i="16"/>
  <c r="E18" i="16"/>
  <c r="E26" i="16"/>
  <c r="U46" i="5" s="1"/>
  <c r="N8" i="14"/>
  <c r="N16" i="14"/>
  <c r="N76" i="14"/>
  <c r="N80" i="14"/>
  <c r="N86" i="14"/>
  <c r="N112" i="14"/>
  <c r="N118" i="14"/>
  <c r="N130" i="14"/>
  <c r="E43" i="16"/>
  <c r="N20" i="14"/>
  <c r="N52" i="14"/>
  <c r="N60" i="14"/>
  <c r="N66" i="14"/>
  <c r="AA31" i="8"/>
  <c r="N18" i="14"/>
  <c r="N34" i="14"/>
  <c r="N50" i="14"/>
  <c r="N78" i="14"/>
  <c r="B8" i="12"/>
  <c r="B12" i="12"/>
  <c r="B16" i="12"/>
  <c r="B20" i="12"/>
  <c r="A5" i="12"/>
  <c r="B9" i="12"/>
  <c r="B13" i="12"/>
  <c r="B17" i="12"/>
  <c r="B21" i="12"/>
  <c r="E13" i="12" l="1"/>
  <c r="D13" i="12"/>
  <c r="C13" i="12"/>
  <c r="G13" i="12"/>
  <c r="F13" i="12"/>
  <c r="G18" i="12"/>
  <c r="D18" i="12"/>
  <c r="F18" i="12"/>
  <c r="E18" i="12"/>
  <c r="C18" i="12"/>
  <c r="U35" i="5"/>
  <c r="U42" i="5"/>
  <c r="U25" i="5"/>
  <c r="G14" i="12"/>
  <c r="D14" i="12"/>
  <c r="F14" i="12"/>
  <c r="E14" i="12"/>
  <c r="C14" i="12"/>
  <c r="U24" i="5"/>
  <c r="U43" i="5"/>
  <c r="U23" i="5"/>
  <c r="U33" i="5"/>
  <c r="G10" i="12"/>
  <c r="D10" i="12"/>
  <c r="F10" i="12"/>
  <c r="E10" i="12"/>
  <c r="C10" i="12"/>
  <c r="U32" i="5"/>
  <c r="U21" i="5"/>
  <c r="U39" i="5"/>
  <c r="U41" i="5"/>
  <c r="E21" i="12"/>
  <c r="D21" i="12"/>
  <c r="C21" i="12"/>
  <c r="G21" i="12"/>
  <c r="F21" i="12"/>
  <c r="C8" i="12"/>
  <c r="G8" i="12"/>
  <c r="F8" i="12"/>
  <c r="D8" i="12"/>
  <c r="E8" i="12"/>
  <c r="E17" i="12"/>
  <c r="D17" i="12"/>
  <c r="C17" i="12"/>
  <c r="F17" i="12"/>
  <c r="G17" i="12"/>
  <c r="E9" i="12"/>
  <c r="D9" i="12"/>
  <c r="C9" i="12"/>
  <c r="F9" i="12"/>
  <c r="G9" i="12"/>
  <c r="C20" i="12"/>
  <c r="G20" i="12"/>
  <c r="F20" i="12"/>
  <c r="E20" i="12"/>
  <c r="D20" i="12"/>
  <c r="F23" i="12"/>
  <c r="G23" i="12"/>
  <c r="E23" i="12"/>
  <c r="D23" i="12"/>
  <c r="C23" i="12"/>
  <c r="F27" i="12"/>
  <c r="G27" i="12"/>
  <c r="E27" i="12"/>
  <c r="D27" i="12"/>
  <c r="C27" i="12"/>
  <c r="U40" i="5"/>
  <c r="U29" i="5"/>
  <c r="U47" i="5"/>
  <c r="U49" i="5"/>
  <c r="C16" i="12"/>
  <c r="G16" i="12"/>
  <c r="F16" i="12"/>
  <c r="D16" i="12"/>
  <c r="E16" i="12"/>
  <c r="F15" i="12"/>
  <c r="G15" i="12"/>
  <c r="E15" i="12"/>
  <c r="D15" i="12"/>
  <c r="C15" i="12"/>
  <c r="F19" i="12"/>
  <c r="G19" i="12"/>
  <c r="E19" i="12"/>
  <c r="D19" i="12"/>
  <c r="C19" i="12"/>
  <c r="U48" i="5"/>
  <c r="U37" i="5"/>
  <c r="U20" i="5"/>
  <c r="U22" i="5"/>
  <c r="C12" i="12"/>
  <c r="G12" i="12"/>
  <c r="F12" i="12"/>
  <c r="E12" i="12"/>
  <c r="D12" i="12"/>
  <c r="F11" i="12"/>
  <c r="G11" i="12"/>
  <c r="E11" i="12"/>
  <c r="D11" i="12"/>
  <c r="C11" i="12"/>
  <c r="U31" i="5"/>
  <c r="U45" i="5"/>
  <c r="U28" i="5"/>
  <c r="U30" i="5"/>
  <c r="G26" i="12"/>
  <c r="D26" i="12"/>
  <c r="F26" i="12"/>
  <c r="E26" i="12"/>
  <c r="C26" i="12"/>
  <c r="U19" i="5"/>
  <c r="U26" i="5"/>
  <c r="U36" i="5"/>
  <c r="U38" i="5"/>
  <c r="G22" i="12"/>
  <c r="D22" i="12"/>
  <c r="F22" i="12"/>
  <c r="E22" i="12"/>
  <c r="C22" i="12"/>
  <c r="E35" i="16"/>
  <c r="U27" i="5"/>
  <c r="U34" i="5"/>
  <c r="U44" i="5"/>
</calcChain>
</file>

<file path=xl/sharedStrings.xml><?xml version="1.0" encoding="utf-8"?>
<sst xmlns="http://schemas.openxmlformats.org/spreadsheetml/2006/main" count="13978" uniqueCount="2680">
  <si>
    <t>راهنمای ابزار عملیاتی بازنگری مدیریت IMS</t>
  </si>
  <si>
    <t>هلدینگ نیکان | نسخه 02 | داده واقعی نورایستا پلاستیک و سناریوهای فرضی جداگانه | ابتدا تنظیمات و دامنه را تکمیل کنید.</t>
  </si>
  <si>
    <t>مرحله</t>
  </si>
  <si>
    <t>روش استفاده</t>
  </si>
  <si>
    <t>محل</t>
  </si>
  <si>
    <t>۱. شروع</t>
  </si>
  <si>
    <t>در تنظیمات شرکت، دوره، جلسه، تاریخ مبنا و نوع گزارش را انتخاب کنید. داده‌های NIPCO واقعی اما نیازمند تأییدند؛ همه داده‌های DEMO فرضی و آموزشی‌اند.</t>
  </si>
  <si>
    <t>01، 17، 18</t>
  </si>
  <si>
    <t>۲. دامنه</t>
  </si>
  <si>
    <t>نسخه جاری گواهینامه، دامنه و برنامه انتقال هر شرکت را ثبت کنید. انتشار نسخه ۲۰۲۶ جایگزینی خودکار نسخه جاری شرکت یا IATF نیست.</t>
  </si>
  <si>
    <t>18 و 14</t>
  </si>
  <si>
    <t>۳. ورودی</t>
  </si>
  <si>
    <t>ورودی، سند و تحلیل مالک را یک‌بار در 03 ثبت کنید. شاخص با هدف، جهت مطلوب، مرجع هدف و اعتبار داده در 04 ثبت شود. مقدار خالی به معنای صفر نیست.</t>
  </si>
  <si>
    <t>03 و 04</t>
  </si>
  <si>
    <t>۴. بررسی</t>
  </si>
  <si>
    <t>پیشنهادهای کارشناسی را در 05 بررسی کنید. نتیجه مدیریت برای تناسب، کفایت و اثربخشی هر سیستم در 06 با شاهد و تأیید ثبت شود.</t>
  </si>
  <si>
    <t>05 و 06</t>
  </si>
  <si>
    <t>۵. تصمیم</t>
  </si>
  <si>
    <t>هر تصمیم یک شناسه پایدار دارد. رد، تعویق، درخواست بررسی و عدم نیاز به تغییر مجاز است؛ دلیل و مرجع تأیید الزامی است. شماره ردیف شناسه محسوب نمی‌شود.</t>
  </si>
  <si>
    <t>07</t>
  </si>
  <si>
    <t>۶. روابط</t>
  </si>
  <si>
    <t>برای هر ورودی یا الزام مرتبط یک ردیف در 15 ایجاد کنید. برای هر تصمیم چند اقدام در 08 قابل ثبت است. هر اقدام فقط یک تصمیم مادر دارد.</t>
  </si>
  <si>
    <t>15 و 08</t>
  </si>
  <si>
    <t>۷. منابع و ابلاغ</t>
  </si>
  <si>
    <t>برای منابع، مقدار، هزینه در صورت وجود، تصمیم و مسئول را ثبت کنید. در رد/تعویق، ریسک باقی‌مانده ثبت شود. ابلاغ OH&amp;S در 20 ثبت گردد.</t>
  </si>
  <si>
    <t>09 و 20</t>
  </si>
  <si>
    <t>۸. اثربخشی</t>
  </si>
  <si>
    <t>پس از اجرا، شاهد و نتیجه واقعی را ثبت کنید. ارزیابی اثربخش بدون معیار، تاریخ و ارزیاب معتبر نمی‌شود. وضعیت نهایی تصمیم به تکمیل همه اقدامات وابسته است.</t>
  </si>
  <si>
    <t>08، 10، 07</t>
  </si>
  <si>
    <t>۹. گزارش</t>
  </si>
  <si>
    <t>صورت‌جلسه از بانک تصمیمات تولید می‌شود؛ هر صفحه ۲۰ ردیف دارد. تنظیمات صفحه را افزایش دهید. پیش از جلسه و گزارش پس از جلسه عنوان متفاوت دارند.</t>
  </si>
  <si>
    <t>11 و 01!B8</t>
  </si>
  <si>
    <t>۱۰. پوشش</t>
  </si>
  <si>
    <t>برای هر الزام، شناسه سابقه بررسی همان جلسه را در کنترل انطباق ثبت کنید. خالی‌بودن سابقه، شاهد ناقص و نسخه تأییدنشده آشکار می‌ماند.</t>
  </si>
  <si>
    <t>13</t>
  </si>
  <si>
    <t>۱۱. توسعه</t>
  </si>
  <si>
    <t>جداول ساختاریافته با ردیف‌های آماده ارائه شده‌اند. ردیف آماده را پر کنید؛ پس از اتمام، ردیف جدول را همراه فرمول و اعتبارسنجی کپی کنید. محدوده کنترل‌ها تا ردیف 1007 است؛ پیش از عبور آن را توسعه دهید.</t>
  </si>
  <si>
    <t>همه بانک‌ها</t>
  </si>
  <si>
    <t>۱۲. دوره جدید</t>
  </si>
  <si>
    <t>شرکت/دوره/جلسه جدید را ثبت، دامنه آن را کنترل و شناسه‌های جدید صادر کنید. داده قدیمی را بازنویسی نکنید. مصوبات باز قبلی را با مرجع شناسه قبلی منتقل کنید؛ تأییدهای گذشته را به دوره جدید تعمیم ندهید.</t>
  </si>
  <si>
    <t>17 و بانک‌ها</t>
  </si>
  <si>
    <t>۱۳. رنگ‌ها</t>
  </si>
  <si>
    <t>ستون آبی روشن فرمولی است؛ انتخابگر زرد قابل ویرایش است؛ سلول‌های سفید داده و متن‌اند. هشدار قرمز برای نقص یا موضوع نیازمند اقدام است. فیلتر عنوان جدول و Ctrl+F برای جست‌وجو قابل استفاده است.</t>
  </si>
  <si>
    <t>همه شیت‌ها</t>
  </si>
  <si>
    <t>۱۴. محدودیت استاندارد</t>
  </si>
  <si>
    <t>انتشار ISO 9001:2026 و ISO 14001:2026 و وضعیت IATF از منابع رسمی بررسی شد؛ متن کامل مجاز و گواهینامه شرکت در اختیار نیست. ماتریس موضوعی باید پیش از ادعای انطباق کامل با متن مصوب شرکت تطبیق یابد.</t>
  </si>
  <si>
    <t>02، 14، 18</t>
  </si>
  <si>
    <t>۱۵. محدودیت فایل</t>
  </si>
  <si>
    <t>این XLSX بدون VBA و مستقل از اینترنت کار می‌کند؛ کنترل دسترسی کاربر، تاریخچه تغییر غیرقابل‌حذف و امضای معتبر سامانه‌ای ایجاد نمی‌کند. نسخه مصوب در سیستم تضمین نگهداری شود.</t>
  </si>
  <si>
    <t>کنترل مستندات</t>
  </si>
  <si>
    <t>۱۶. تاریخ</t>
  </si>
  <si>
    <t>تاریخ‌های محاسباتی Excel میلادی‌اند؛ تاریخ مبنا در 01!B6 ثابت و قابل ویرایش است. تاریخ شمسی گزارش‌های قدیمی در سوابق حفظ شده و به‌صورت حدسی تبدیل نشده است.</t>
  </si>
  <si>
    <t>01 و 19</t>
  </si>
  <si>
    <t>فهرست</t>
  </si>
  <si>
    <t>01-تنظیمات</t>
  </si>
  <si>
    <t>کلیک برای رفتن به کاربرگ</t>
  </si>
  <si>
    <t>02-ماتریس الزامات</t>
  </si>
  <si>
    <t>03-ورودی‌های بازنگری</t>
  </si>
  <si>
    <t>04-تحلیل شاخص‌ها</t>
  </si>
  <si>
    <t>05-موضوعات مدیریتی</t>
  </si>
  <si>
    <t>06-نتایج بازنگری</t>
  </si>
  <si>
    <t>07-تصمیمات و مصوبات</t>
  </si>
  <si>
    <t>08-برنامه اقدامات</t>
  </si>
  <si>
    <t>09-منابع و تغییرات</t>
  </si>
  <si>
    <t>10-ارزیابی اثربخشی</t>
  </si>
  <si>
    <t>11-صورت‌جلسه</t>
  </si>
  <si>
    <t>12-داشبورد مدیریتی</t>
  </si>
  <si>
    <t>13-کنترل انطباق</t>
  </si>
  <si>
    <t>14-مستندات و پیوست‌ها</t>
  </si>
  <si>
    <t>15-روابط</t>
  </si>
  <si>
    <t>16-آزمون‌ها</t>
  </si>
  <si>
    <t>17-جلسات و دوره‌ها</t>
  </si>
  <si>
    <t>18-دامنه استانداردها</t>
  </si>
  <si>
    <t>19-سوابق مبنا</t>
  </si>
  <si>
    <t>20-ابلاغ نتایج</t>
  </si>
  <si>
    <t>تنظیمات انتخاب گزارش</t>
  </si>
  <si>
    <t>شرکت گزارش</t>
  </si>
  <si>
    <t>NIPCO</t>
  </si>
  <si>
    <t>برای هلدینگ «همه واقعی»؛ نمونه‌ها از آن حذف می‌شوند</t>
  </si>
  <si>
    <t>دوره گزارش</t>
  </si>
  <si>
    <t>P-BASE</t>
  </si>
  <si>
    <t>برای چند دوره «همه»؛ گزارش پس از جلسه از شناسه جلسه استفاده می‌کند</t>
  </si>
  <si>
    <t>شناسه جلسه</t>
  </si>
  <si>
    <t>MR-NIPCO-BASE</t>
  </si>
  <si>
    <t>فقط جلسه انتخاب‌شده در صورت‌جلسه نمایش می‌یابد</t>
  </si>
  <si>
    <t>تاریخ مبنای کنترل</t>
  </si>
  <si>
    <t>تاریخ واقعی Excel؛ امروز به‌صورت ثابت برای گزارش قابل تکرار</t>
  </si>
  <si>
    <t>نوع گزارش</t>
  </si>
  <si>
    <t>پیش از جلسه</t>
  </si>
  <si>
    <t>«پس از جلسه» بدون تأیید جلسه، خروجی مصوب ایجاد نمی‌کند</t>
  </si>
  <si>
    <t>بخش صورت‌جلسه</t>
  </si>
  <si>
    <t>هر بخش ۲۰ تصمیم؛ برای ادامه، شماره بخش را افزایش دهید. هر بخش ممکن است چند صفحه چاپی شود.</t>
  </si>
  <si>
    <t>کد شرکت</t>
  </si>
  <si>
    <t>نام شرکت</t>
  </si>
  <si>
    <t>نوع داده</t>
  </si>
  <si>
    <t>وضعیت</t>
  </si>
  <si>
    <t>نورایستا پلاستیک</t>
  </si>
  <si>
    <t>واقعی</t>
  </si>
  <si>
    <t>شناخته‌شده از اسناد</t>
  </si>
  <si>
    <t>DEMO</t>
  </si>
  <si>
    <t>شرکت فرضی آموزشی</t>
  </si>
  <si>
    <t>فرضی</t>
  </si>
  <si>
    <t>از گزارش هلدینگ واقعی حذف می‌شود</t>
  </si>
  <si>
    <t>همه واقعی</t>
  </si>
  <si>
    <t>تجمیع هلدینگ نیکان</t>
  </si>
  <si>
    <t>فقط رکوردهای غیر DE​MO</t>
  </si>
  <si>
    <t>راهنما</t>
  </si>
  <si>
    <t>شرکت‌های دیگر را با کد پایدار به فهرست و دامنه اضافه کنید.</t>
  </si>
  <si>
    <t>مرجع</t>
  </si>
  <si>
    <t>نام زیرمجموعه نامعلوم ساخته نشده است</t>
  </si>
  <si>
    <t>فرآیند</t>
  </si>
  <si>
    <t>گروه</t>
  </si>
  <si>
    <t>سیستم</t>
  </si>
  <si>
    <t>کاربرد</t>
  </si>
  <si>
    <t>مدیریت / تضمین کیفیت</t>
  </si>
  <si>
    <t>مدیریتی</t>
  </si>
  <si>
    <t>IMS</t>
  </si>
  <si>
    <t>مشترک</t>
  </si>
  <si>
    <t>تولید / مهندسی / لجستیک</t>
  </si>
  <si>
    <t>اصلی</t>
  </si>
  <si>
    <t>QMS / IATF</t>
  </si>
  <si>
    <t>حسب دامنه شرکت</t>
  </si>
  <si>
    <t>خرید / انبار</t>
  </si>
  <si>
    <t>اصلی / پشتیبانی</t>
  </si>
  <si>
    <t>حسب فرآیند</t>
  </si>
  <si>
    <t>منابع انسانی / مالی / IT</t>
  </si>
  <si>
    <t>پشتیبانی</t>
  </si>
  <si>
    <t>محیط‌زیست / ایمنی / بهداشت</t>
  </si>
  <si>
    <t>EMS / OHS</t>
  </si>
  <si>
    <t>حسب دامنه</t>
  </si>
  <si>
    <t>دوره جدید</t>
  </si>
  <si>
    <t>یک جلسه و شناسه دوره جدید ایجاد کنید؛ ردیف‌های تاریخی را حفظ کنید.</t>
  </si>
  <si>
    <t>کپی ردیف ورودی به دوره جدید با شناسه جدید و حذف تأیید قبلی</t>
  </si>
  <si>
    <t>رویداد</t>
  </si>
  <si>
    <t>آخرین وضعیت بررسی‌شده</t>
  </si>
  <si>
    <t>محدودیت</t>
  </si>
  <si>
    <t>ISO 9001:2026</t>
  </si>
  <si>
    <t>منتشرشده 2026-09-16</t>
  </si>
  <si>
    <t>متن مجاز کامل و برنامه انتقال شرکت تأیید نشده</t>
  </si>
  <si>
    <t>STD-Q26</t>
  </si>
  <si>
    <t>ISO 14001:2026</t>
  </si>
  <si>
    <t>منتشرشده</t>
  </si>
  <si>
    <t>تطبیق بندهای نسخه شرکت و شرایط انتقال باز</t>
  </si>
  <si>
    <t>STD-E26</t>
  </si>
  <si>
    <t>ISO 45001:2018</t>
  </si>
  <si>
    <t>جاری؛ اصلاحیه 2024</t>
  </si>
  <si>
    <t>گواهینامه و دامنه شرکت دریافت نشده</t>
  </si>
  <si>
    <t>STD-O18</t>
  </si>
  <si>
    <t>IATF 16949:2016</t>
  </si>
  <si>
    <t>مبنای جاری؛ SIs Nov 2025 بررسی شد</t>
  </si>
  <si>
    <t>متن پایه مجاز شرکت دریافت نشده</t>
  </si>
  <si>
    <t>STD-SI</t>
  </si>
  <si>
    <t>IATF ویرایش دوم</t>
  </si>
  <si>
    <t>انتشار برنامه‌ریزی‌شده میانه 2027</t>
  </si>
  <si>
    <t>هنوز استاندارد نافذ فرض نشده؛ تاریخ برنامه قطعی نیست</t>
  </si>
  <si>
    <t>STD-I2</t>
  </si>
  <si>
    <t>تطبیق 9001 / IATF</t>
  </si>
  <si>
    <t>معادل‌سازی خودکار انجام نشده</t>
  </si>
  <si>
    <t>انتقال باید با مرجع گواهی‌دهنده و ابلاغ رسمی کنترل شود</t>
  </si>
  <si>
    <t>ماتریس الزامات بازنگری مدیریت</t>
  </si>
  <si>
    <t>این ماتریس دامنه بند ۹.۳ و الزامات تکمیلی آن را پوشش می‌دهد، نه تمام استانداردها. متن کامل مجاز نسخه‌های ۲۰۲۶ در دسترس نبود؛ تطبیق شماره اجزا و شرایط انتقال شرکت باز است.</t>
  </si>
  <si>
    <t>شناسه الزام</t>
  </si>
  <si>
    <t>ویرایش مبنا</t>
  </si>
  <si>
    <t>بند</t>
  </si>
  <si>
    <t>نوع</t>
  </si>
  <si>
    <t>خلاصه موضوع الزام</t>
  </si>
  <si>
    <t>محل ثبت</t>
  </si>
  <si>
    <t>شواهد موردنیاز</t>
  </si>
  <si>
    <t>روش کنترل</t>
  </si>
  <si>
    <t>محدودیت / وضعیت نسخه</t>
  </si>
  <si>
    <t>Q-I1</t>
  </si>
  <si>
    <t>QMS</t>
  </si>
  <si>
    <t>2015 / 2026؛ تطبیق تفصیلی باز</t>
  </si>
  <si>
    <t>9.3.2</t>
  </si>
  <si>
    <t>ورودی</t>
  </si>
  <si>
    <t>اقدامات قبلی</t>
  </si>
  <si>
    <t>R03</t>
  </si>
  <si>
    <t>داده معتبر دوره و تحلیل مالک؛ اصل گزارش در سیستم تضمین</t>
  </si>
  <si>
    <t>کنترل جلسه، دامنه، شاهد، نتیجه و مرجع تأیید در 13؛ ردیف خالی تأیید نیست</t>
  </si>
  <si>
    <t>مبنای موضوعی؛ نسخه جاری شرکت و متن مجاز باید تأیید شود</t>
  </si>
  <si>
    <t>Q-I2</t>
  </si>
  <si>
    <t>تغییرات داخلی و خارجی</t>
  </si>
  <si>
    <t>R04</t>
  </si>
  <si>
    <t>Q-I3</t>
  </si>
  <si>
    <t>نیازها و انتظارات ذی‌نفعان</t>
  </si>
  <si>
    <t>R06</t>
  </si>
  <si>
    <t>Q-I4</t>
  </si>
  <si>
    <t>اهداف و خط‌مشی</t>
  </si>
  <si>
    <t>R07</t>
  </si>
  <si>
    <t>Q-I5</t>
  </si>
  <si>
    <t>عملکرد فرآیند و محصول</t>
  </si>
  <si>
    <t>Q-I6</t>
  </si>
  <si>
    <t>رضایت و شکایت مشتری</t>
  </si>
  <si>
    <t>R11</t>
  </si>
  <si>
    <t>Q-I7</t>
  </si>
  <si>
    <t>تأمین‌کنندگان</t>
  </si>
  <si>
    <t>R23</t>
  </si>
  <si>
    <t>Q-I8</t>
  </si>
  <si>
    <t>ممیزی‌ها</t>
  </si>
  <si>
    <t>R08</t>
  </si>
  <si>
    <t>Q-I9</t>
  </si>
  <si>
    <t>عدم‌انطباق و اقدام اصلاحی</t>
  </si>
  <si>
    <t>R10</t>
  </si>
  <si>
    <t>Q-I10</t>
  </si>
  <si>
    <t>پایش و اندازه‌گیری</t>
  </si>
  <si>
    <t>R12</t>
  </si>
  <si>
    <t>Q-I11</t>
  </si>
  <si>
    <t>کفایت منابع</t>
  </si>
  <si>
    <t>R17</t>
  </si>
  <si>
    <t>Q-I12</t>
  </si>
  <si>
    <t>اثربخشی اقدامات ریسک</t>
  </si>
  <si>
    <t>Q-I13</t>
  </si>
  <si>
    <t>اثربخشی اقدامات فرصت</t>
  </si>
  <si>
    <t>R05</t>
  </si>
  <si>
    <t>Q-I14</t>
  </si>
  <si>
    <t>فرصت بهبود</t>
  </si>
  <si>
    <t>Q-G</t>
  </si>
  <si>
    <t>2015 / 2026</t>
  </si>
  <si>
    <t>9.3.1</t>
  </si>
  <si>
    <t>عمومی</t>
  </si>
  <si>
    <t>برنامه‌ریزی بازنگری، تناسب، کفایت، اثربخشی و هم‌راستایی راهبردی</t>
  </si>
  <si>
    <t>06 و 17</t>
  </si>
  <si>
    <t>دامنه، دوره، حضور مدیریت و نتیجه ثبت‌شده</t>
  </si>
  <si>
    <t>Q-O1</t>
  </si>
  <si>
    <t>9.3.3</t>
  </si>
  <si>
    <t>خروجی</t>
  </si>
  <si>
    <t>بهبود مستمر</t>
  </si>
  <si>
    <t>07 و 11</t>
  </si>
  <si>
    <t>تصمیم یا تعیین تکلیف مستدل با مرجع تأیید</t>
  </si>
  <si>
    <t>Q-O2</t>
  </si>
  <si>
    <t>تغییر سیستم</t>
  </si>
  <si>
    <t>Q-O3</t>
  </si>
  <si>
    <t>تأمین منابع</t>
  </si>
  <si>
    <t>Q-O4</t>
  </si>
  <si>
    <t>حفظ نتایج مستند</t>
  </si>
  <si>
    <t>I-G</t>
  </si>
  <si>
    <t>IATF</t>
  </si>
  <si>
    <t>16949:2016 + SIs Nov 2025</t>
  </si>
  <si>
    <t>9.3.1.1</t>
  </si>
  <si>
    <t>بازنگری حداقل سالانه و تناوب متناسب با ریسک</t>
  </si>
  <si>
    <t>نتیجه تحلیل؛ برای عدم تحقق هدف مشتری برنامه مصوب، مسئول و موعد</t>
  </si>
  <si>
    <t>ویرایش دوم در دست تدوین؛ برنامه انتشار میانه ۲۰۲۷، نه ویرایش نافذ. متن پایه 9.3.3.1 با نسخه مجاز شرکت تطبیق شود.</t>
  </si>
  <si>
    <t>I-I1</t>
  </si>
  <si>
    <t>9.3.2.1 a</t>
  </si>
  <si>
    <t>تکمیلی ورودی</t>
  </si>
  <si>
    <t>هزینه شکست داخلی و خارجی / COPQ</t>
  </si>
  <si>
    <t>R15</t>
  </si>
  <si>
    <t>I-I2</t>
  </si>
  <si>
    <t>9.3.2.1 b-c</t>
  </si>
  <si>
    <t>اثربخشی و کارایی فرآیندهای تحقق محصول</t>
  </si>
  <si>
    <t>I-I3</t>
  </si>
  <si>
    <t>9.3.2.1 d</t>
  </si>
  <si>
    <t>انطباق محصول</t>
  </si>
  <si>
    <t>I-I4</t>
  </si>
  <si>
    <t>9.3.2.1 e</t>
  </si>
  <si>
    <t>امکان‌سنجی ساخت و تغییرات</t>
  </si>
  <si>
    <t>R14</t>
  </si>
  <si>
    <t>I-I5</t>
  </si>
  <si>
    <t>9.3.2.1 f</t>
  </si>
  <si>
    <t>رضایت مشتری</t>
  </si>
  <si>
    <t>I-I6</t>
  </si>
  <si>
    <t>9.3.2.1 g</t>
  </si>
  <si>
    <t>اهداف نگهداری و تعمیرات</t>
  </si>
  <si>
    <t>R13</t>
  </si>
  <si>
    <t>I-I7</t>
  </si>
  <si>
    <t>9.3.2.1 h</t>
  </si>
  <si>
    <t>عملکرد ضمانت؛ در صورت کاربرد</t>
  </si>
  <si>
    <t>I-I8</t>
  </si>
  <si>
    <t>9.3.2.1 i</t>
  </si>
  <si>
    <t>کارنامه مشتری؛ در صورت کاربرد</t>
  </si>
  <si>
    <t>I-I9</t>
  </si>
  <si>
    <t>9.3.2.1 j</t>
  </si>
  <si>
    <t>خرابی بالقوه عرصه مصرف</t>
  </si>
  <si>
    <t>I-I10</t>
  </si>
  <si>
    <t>9.3.2.1 k</t>
  </si>
  <si>
    <t>خرابی واقعی و پیامد ایمنی/محیط‌زیست</t>
  </si>
  <si>
    <t>I-I11</t>
  </si>
  <si>
    <t>9.3.2.1 l / SI16</t>
  </si>
  <si>
    <t>نتایج مرحله‌ای طراحی و توسعه؛ حسب کاربرد</t>
  </si>
  <si>
    <t>I-O</t>
  </si>
  <si>
    <t>9.3.3.1</t>
  </si>
  <si>
    <t>تکمیلی خروجی</t>
  </si>
  <si>
    <t>برنامه اقدام مستند برای اهداف عملکرد مشتری محقق‌نشده</t>
  </si>
  <si>
    <t>04 ← 07 ← 08</t>
  </si>
  <si>
    <t>EMS-I1</t>
  </si>
  <si>
    <t>EMS</t>
  </si>
  <si>
    <t>14001:2015 / 2026؛ تطبیق تفصیلی باز</t>
  </si>
  <si>
    <t>9.3؛ شماره جزء تابع ویرایش</t>
  </si>
  <si>
    <t>گزارش دوره، شاهد، تحلیل و نتیجه بررسی</t>
  </si>
  <si>
    <t>EMS-I2</t>
  </si>
  <si>
    <t>تغییرات مسائل و نیازهای ذی‌نفعان</t>
  </si>
  <si>
    <t>EMS-I3</t>
  </si>
  <si>
    <t>تغییرات تعهدات قانونی و سایر الزامات</t>
  </si>
  <si>
    <t>R26</t>
  </si>
  <si>
    <t>EMS-I4</t>
  </si>
  <si>
    <t>تحقق اهداف و خط‌مشی</t>
  </si>
  <si>
    <t>EMS-I5</t>
  </si>
  <si>
    <t>روند عملکرد، عدم‌انطباق و اقدام اصلاحی</t>
  </si>
  <si>
    <t>EMS-I6</t>
  </si>
  <si>
    <t>پایش و ارزیابی انطباق</t>
  </si>
  <si>
    <t>R25</t>
  </si>
  <si>
    <t>EMS-I7</t>
  </si>
  <si>
    <t>EMS-I8</t>
  </si>
  <si>
    <t>EMS-I9</t>
  </si>
  <si>
    <t>ریسک‌ها و فرصت‌ها</t>
  </si>
  <si>
    <t>R24</t>
  </si>
  <si>
    <t>EMS-I10</t>
  </si>
  <si>
    <t>ارتباطات و شکایات</t>
  </si>
  <si>
    <t>EMS-I11</t>
  </si>
  <si>
    <t>فرصت‌های بهبود</t>
  </si>
  <si>
    <t>EMS-I12</t>
  </si>
  <si>
    <t>تغییر جنبه‌های بارز محیط‌زیستی</t>
  </si>
  <si>
    <t>EMS-O1</t>
  </si>
  <si>
    <t>9.3 / 9.3.3 نسخه 2026؛ تطبیق لازم</t>
  </si>
  <si>
    <t>تناسب، کفایت و اثربخشی</t>
  </si>
  <si>
    <t>06 و 07 و 09 و 11</t>
  </si>
  <si>
    <t>نظر مدیریت، توجیه، شاهد و تأیید؛ حسب نیاز اقدام/ابلاغ</t>
  </si>
  <si>
    <t>EMS-O2</t>
  </si>
  <si>
    <t>EMS-O3</t>
  </si>
  <si>
    <t>EMS-O4</t>
  </si>
  <si>
    <t>نیاز منابع</t>
  </si>
  <si>
    <t>EMS-O5</t>
  </si>
  <si>
    <t>یکپارچگی با فرآیندهای کسب‌وکار</t>
  </si>
  <si>
    <t>EMS-O6</t>
  </si>
  <si>
    <t>پیامدهای راهبردی</t>
  </si>
  <si>
    <t>EMS-O7</t>
  </si>
  <si>
    <t>اقدام برای اهداف محقق‌نشده</t>
  </si>
  <si>
    <t>EMS-O8</t>
  </si>
  <si>
    <t>نگهداری شواهد نتایج</t>
  </si>
  <si>
    <t>OHS-I1</t>
  </si>
  <si>
    <t>OHS</t>
  </si>
  <si>
    <t>45001:2018 + Amd1:2024</t>
  </si>
  <si>
    <t>OHS-I2</t>
  </si>
  <si>
    <t>OHS-I3</t>
  </si>
  <si>
    <t>OHS-I4</t>
  </si>
  <si>
    <t>OHS-I5</t>
  </si>
  <si>
    <t>OHS-I6</t>
  </si>
  <si>
    <t>OHS-I7</t>
  </si>
  <si>
    <t>OHS-I8</t>
  </si>
  <si>
    <t>OHS-I9</t>
  </si>
  <si>
    <t>OHS-I10</t>
  </si>
  <si>
    <t>OHS-I11</t>
  </si>
  <si>
    <t>OHS-I12</t>
  </si>
  <si>
    <t>حوادث و خطرات</t>
  </si>
  <si>
    <t>R27</t>
  </si>
  <si>
    <t>OHS-I13</t>
  </si>
  <si>
    <t>مشورت و مشارکت کارکنان</t>
  </si>
  <si>
    <t>R28</t>
  </si>
  <si>
    <t>OHS-O1</t>
  </si>
  <si>
    <t>9.3</t>
  </si>
  <si>
    <t>OHS-O2</t>
  </si>
  <si>
    <t>OHS-O3</t>
  </si>
  <si>
    <t>OHS-O4</t>
  </si>
  <si>
    <t>OHS-O5</t>
  </si>
  <si>
    <t>OHS-O6</t>
  </si>
  <si>
    <t>OHS-O7</t>
  </si>
  <si>
    <t>اقدامات لازم</t>
  </si>
  <si>
    <t>OHS-O8</t>
  </si>
  <si>
    <t>ابلاغ نتایج مرتبط به کارکنان و نمایندگان</t>
  </si>
  <si>
    <t>20</t>
  </si>
  <si>
    <t>OHS-O9</t>
  </si>
  <si>
    <t>ورودی‌های مستند و تحلیل</t>
  </si>
  <si>
    <t>اطلاعات واقعی از دو گزارش مبنا نقل شده‌اند و هنوز با فایل پایش تطبیق نشده‌اند. وضعیت بررسی مدیریت برای داده واقعی خالی/بررسی‌نشده است.</t>
  </si>
  <si>
    <t>شناسه ورودی</t>
  </si>
  <si>
    <t>شرکت</t>
  </si>
  <si>
    <t>دوره</t>
  </si>
  <si>
    <t>جلسه</t>
  </si>
  <si>
    <t>موضوع</t>
  </si>
  <si>
    <t>مرجع اصلی</t>
  </si>
  <si>
    <t>تحلیل کارشناسی</t>
  </si>
  <si>
    <t>پیشنهاد پیش از جلسه</t>
  </si>
  <si>
    <t>شناسه شاهد</t>
  </si>
  <si>
    <t>وضعیت بررسی</t>
  </si>
  <si>
    <t>ریسک</t>
  </si>
  <si>
    <t>نتیجه بررسی مدیریت</t>
  </si>
  <si>
    <t>بررسی‌کننده</t>
  </si>
  <si>
    <t>مرجع تأیید</t>
  </si>
  <si>
    <t>کنترل ورودی</t>
  </si>
  <si>
    <t>IN-R01</t>
  </si>
  <si>
    <t>واقعی؛ نیازمند تأیید</t>
  </si>
  <si>
    <t>دامنه و زمان‌بندی</t>
  </si>
  <si>
    <t>توضیح کاربر؛ هر دو فایل، 1!O1</t>
  </si>
  <si>
    <t>بازنگری مدیریت به‌صورت سالانه، از مرداد تا مرداد و پس از برگزاری مجمع عمومی انجام می‌شود. دامنه شامل کیفیت، الزامات صنعت خودرو، محیط‌زیست، ایمنی و بهداشت شغلی و فرآیندهای لجستیکی مرتبط است.</t>
  </si>
  <si>
    <t>مرز روزانه دوره، سال ابتدا و انتها و ویرایش استانداردها باید در مشخصات گزارش تکمیل شود.</t>
  </si>
  <si>
    <t>DOC-SOURCE</t>
  </si>
  <si>
    <t>بررسی نشده</t>
  </si>
  <si>
    <t>نیازمند تعیین</t>
  </si>
  <si>
    <t>IN-R02</t>
  </si>
  <si>
    <t>مرجع داده و سوابق</t>
  </si>
  <si>
    <t>توضیح کاربر</t>
  </si>
  <si>
    <t>مرجع معتبر شاخص‌ها، فایل پایش شاخص‌هاست. سوابق ممیزی، پایش و پیوست‌ها در سیستم تضمین کیفیت نگهداری می‌شوند. اعداد این نسخه از گزارش‌های موجود نقل شده و هنوز با مرجع پایش تطبیق نشده‌اند.</t>
  </si>
  <si>
    <t>برای هر ادعا شناسه، تاریخ، نسخه و محل بازیابی شاهد درج شود.</t>
  </si>
  <si>
    <t>IN-R03</t>
  </si>
  <si>
    <t>پیگیری بازنگری قبلی</t>
  </si>
  <si>
    <t>HSE 1!C4:O6؛ LOG 1!C4:O12؛ 1 (2)!C4:O12</t>
  </si>
  <si>
    <t>موضوعات مشترک شامل استقرار IMS، توسعه فضای انبارش، ساخت پالت، آموزش و اصلاح مستندات است. در گزارش لجستیک راه‌اندازی جرثقیل سقفی و نصب پرس ۵۰۰ تن انجام‌شده اعلام شده است. وضعیت گواهینامه IMS در بخش‌های مختلف به‌صورت انعقاد قرارداد و اخذ گواهینامه آمده است.</t>
  </si>
  <si>
    <t>وضعیت جاری هر مصوبه، شاهد خاتمه و اثربخشی ثبت شود؛ ادعای اخذ گواهینامه با سابقه سیستم تضمین تطبیق یابد.</t>
  </si>
  <si>
    <t>IN-R04</t>
  </si>
  <si>
    <t>تغییرات داخلی و توسعه فضا</t>
  </si>
  <si>
    <t>LOG 1!C12؛ 8-9!C24؛ 17!C17؛ HSE 8-9!C15:C37</t>
  </si>
  <si>
    <t>الحاق فضای ایمن ایستاالکتریک، کمبود فضای انبار و نیروی انسانی و تغییر جانمایی، موضوعات مشترک کیفیت، لجستیک و HSE هستند. کمبود ۶۲۳ مترمربع در گزارش لجستیک و کمبود ۷۰۰ مترمربع انبار نیم‌ساخته سالن ۲ ذکر شده؛ دامنه این دو مقدار متفاوت یا نیازمند تفکیک است.</t>
  </si>
  <si>
    <t>یک برنامه مصوب توسعه فضا همراه با کنترل‌های موقت ایمنی، انبارش و جریان مواد تنظیم شود. مهلت‌های متعارض اصلاح شوند.</t>
  </si>
  <si>
    <t>IN-R05</t>
  </si>
  <si>
    <t>تغییرات بیرونی و بازار</t>
  </si>
  <si>
    <t>LOG 1!C16:O20؛ 8-9!C29:O32؛ 19!C8</t>
  </si>
  <si>
    <t>در اسناد، محدودیت تأمین و نقدینگی، تأخیر پرداخت مشتریان، حذف برخی خودروها، ناپایداری منطقه و محدودیت سوخت حمل‌ونقل مطرح شده است. توسعه فروش بازار آزاد از طریق نورایستا خراسان و جذب پروژه‌های جدید به‌عنوان پاسخ معرفی شده‌اند.</t>
  </si>
  <si>
    <t>اثر هر تغییر بر کیفیت، تحویل، محیط‌زیست و ایمنی به‌صورت مشخص ارزیابی و مالک اقدام تعیین شود.</t>
  </si>
  <si>
    <t>IN-R06</t>
  </si>
  <si>
    <t>مشتریان و ذی‌نفعان</t>
  </si>
  <si>
    <t>LOG 1!C21:F27؛ 1 (2)!C23:C27؛ HSE 1!B20:F30</t>
  </si>
  <si>
    <t>امتیازهای مشتریان، سهامداران، کارکنان و مراجع قانونی در دو گزارش درج شده‌اند. واگذاری ۳۰۰ سهم به هر یک از کارکنان و تحقق تعهدات به سهامداران در متن منبع گزارش شده است؛ این ادعاها مستقلاً تصدیق نشده‌اند.</t>
  </si>
  <si>
    <t>مراجع قانونی در گروه ذی‌نفعان/تعهدات انطباق طبقه‌بندی شوند. روش محاسبه رضایت و دوره امتیازها تکمیل شود.</t>
  </si>
  <si>
    <t>IN-R07</t>
  </si>
  <si>
    <t>اهداف و عملکرد فرآیندها</t>
  </si>
  <si>
    <t>HSE 2!B5:F15؛ LOG 2-4!B5:F44؛ 10-!B8:F18</t>
  </si>
  <si>
    <t>جدول یکپارچه شاخص‌ها، هدف، معیار پذیرش و مقادیر دوره قبل و جاری را همراه با اختلاف عددی نشان می‌دهد. تفاوت میان دستیابی به هدف، رعایت معیار پذیرش و بهبود نسبت به دوره قبل باید در تصمیم‌گیری حفظ شود.</t>
  </si>
  <si>
    <t>برای شاخص‌های محقق‌نشده، علت، اقدام، مسئول و معیار اثربخشی تعیین شود؛ در موارد متعارض هیچ مقدار مرجع انتخاب نشده است.</t>
  </si>
  <si>
    <t>IN-R08</t>
  </si>
  <si>
    <t>ممیزی‌های داخلی</t>
  </si>
  <si>
    <t>HSE 3؛ LOG 5-7 و 5-7 (2)</t>
  </si>
  <si>
    <t>یافته‌ها شامل ضعف ردیابی، انبارش، صلاحیت، مستندات، کنترل محصول مشکوک، نگهداری، تکوین محصول و اجرای الزامات IMS است. ثبت تفصیلی یافته‌ها در کاربرگ «ممیزی و شواهد» آمده است.</t>
  </si>
  <si>
    <t>هر یافته به اقدام متناسب متصل شود. نیازسنجی آموزشی به‌تنهایی پاسخ کافی برای همه مسائل زیرساختی و سیستمی نیست.</t>
  </si>
  <si>
    <t>IN-R09</t>
  </si>
  <si>
    <t>ممیزی‌های خارجی و گواهینامه</t>
  </si>
  <si>
    <t>HSE 3!C27 و 15!C11؛ LOG 1!G4:G5 و 15!C9</t>
  </si>
  <si>
    <t>گزارش‌ها به ممیزی مشتری، گرید B+، هدف گرید A و ممیزی مراقبتی IMS اشاره دارند. متن HSE هم‌زمان از نبود برنامه ممیزی و اجرای برنامه سه‌ساله سخن می‌گوید.</t>
  </si>
  <si>
    <t>شماره و تاریخ گزارش‌های خارجی، دامنه و وضعیت عدم‌انطباق‌ها و برنامه جاری ممیزی به سند متصل شود.</t>
  </si>
  <si>
    <t>IN-R10</t>
  </si>
  <si>
    <t>اقدامات اصلاحی و اثربخشی</t>
  </si>
  <si>
    <t>HSE 14!C11؛ LOG 14!C11 و 2-4!F14</t>
  </si>
  <si>
    <t>در هر دو گزارش تصریح شده که بستن اقدام در اتوماسیون با اثربخشی آن یکسان تلقی می‌شود. این ضعف اعتبار شاخص اثربخشی اقدامات اصلاحی را تحت تأثیر قرار می‌دهد.</t>
  </si>
  <si>
    <t>گردش کار به مراحل تحلیل علت، اجرای اقدام، تصدیق اجرا و ارزیابی اثربخشی تفکیک شود. نتیجه و شواهد هر مرحله ثبت گردد.</t>
  </si>
  <si>
    <t>IN-R11</t>
  </si>
  <si>
    <t>انطباق محصول، کلیم و ضمانت</t>
  </si>
  <si>
    <t>LOG 14!C5:O17؛ 13!C5؛ 2-4!B28:F33</t>
  </si>
  <si>
    <t>PPM مشتریان، شماره‌های فنی دارای کلیم و تعداد تکرار کلیم در گزارش درج شده است. نبود شکایت عرصه مصرف و برنامه بازدید از انبار داغی‌ها نیز گزارش شده است.</t>
  </si>
  <si>
    <t>شکایت تولیدی مشتری، برگشتی ضمانت و خرابی عرصه مصرف تفکیک شوند. پارتو و بازرسی ابعادی با شناسه شاهد پیوند یابند.</t>
  </si>
  <si>
    <t>IN-R12</t>
  </si>
  <si>
    <t>اندازه‌گیری و قابلیت فرآیند</t>
  </si>
  <si>
    <t>LOG 8-9!C5:F15</t>
  </si>
  <si>
    <t>در منبع لجستیک R&amp;R کولیس یک‌متری ۸٫۲۱، Cmk ماشین پانچ ۱٫۸۹ و برای مشخصه معرفی‌شده Cp=2.45 و Cpk=1.68 ثبت شده است. اجرای MSA وصفی نیز اعلام شده است.</t>
  </si>
  <si>
    <t>واحد R&amp;R، طرح نمونه‌برداری، پایداری فرآیند، حدود پذیرش و شناسه مطالعه مشخص شود؛ اعداد به‌تنهایی برای نتیجه انطباق کافی نیستند.</t>
  </si>
  <si>
    <t>IN-R13</t>
  </si>
  <si>
    <t>نگهداری و تعمیرات</t>
  </si>
  <si>
    <t>LOG 2-4!B36:F43؛ 10-!B17:F18؛ 13!C13</t>
  </si>
  <si>
    <t>MTTR و MTBF در جدول اصلی و تحلیل منتخب یکسان نیستند. متن منبع از فرسایش تجهیزات و ضرورت بازنگری اهداف نگهداری سخن می‌گوید.</t>
  </si>
  <si>
    <t>شاخص‌ها به تفکیک تجهیز و دوره از پایش مرجع بازیابی شوند. تصمیم بازنگری هدف همراه با دلیل و تأیید ثبت شود.</t>
  </si>
  <si>
    <t>IN-R14</t>
  </si>
  <si>
    <t>تکوین محصول و امکان‌سنجی</t>
  </si>
  <si>
    <t>LOG 13!C9:N11؛ 5-7 (2)!C18؛ 2-4!F16:G16</t>
  </si>
  <si>
    <t>پروژه‌های آریا، P90، K125، ریرا و محصولات خودروهای تجاری در متن مطرح‌اند. درباره ناقص بودن مدارک امکان‌سنجی آریا، DFMEA، قیمت تمام‌شده و شرح کار نیز یافته ممیزی ثبت شده است.</t>
  </si>
  <si>
    <t>برای هر پروژه مرحله فعلی، نتیجه ارزیابی، منابع، ریسک و تصمیم عبور از مرحله ثبت شود؛ اختلاف شمارش پروژه‌ها حل گردد.</t>
  </si>
  <si>
    <t>IN-R15</t>
  </si>
  <si>
    <t>هزینه‌های کیفیت</t>
  </si>
  <si>
    <t>LOG 11-12!B5:F25</t>
  </si>
  <si>
    <t>هزینه‌های پیشگیری، ارزیابی و شکست داخلی و خارجی گزارش شده‌اند؛ مخرج نسبت‌ها با عبارت «فروش یا هزینه‌های کیفی» مبهم است. جمع سهم‌های دوره جاری ۱۰۰٫۸٪ است.</t>
  </si>
  <si>
    <t>با تأیید مالی، مخرج هر شاخص تثبیت و اجزا با کل تطبیق داده شود. هزینه شکست داخلی و خارجی از مجموع هزینه کیفیت تفکیک شود.</t>
  </si>
  <si>
    <t>IN-R16</t>
  </si>
  <si>
    <t>کفایت منابع انسانی و آموزش</t>
  </si>
  <si>
    <t>LOG 17!C15؛ 20!C6:C8؛ 8-9!C17؛ HSE 3!C27</t>
  </si>
  <si>
    <t>کمبود اپراتور، نیاز به کارکنان چندمهارتی و ضعف ماتریس مهارت گزارش شده است. نیاز ۱۲ نفر برای سه شیفت و اعداد ۱۴۴ و ۱۷۱ نفر در بخش‌های مختلف آمده که دوره و مبنای آنها یکسان تعریف نشده است.</t>
  </si>
  <si>
    <t>برنامه ظرفیت و نیروی انسانی با تفکیک سال، شیفت و نقش تنظیم شود. تخصیص نیرو و آموزش با شواهد صلاحیت ارزیابی گردد.</t>
  </si>
  <si>
    <t>IN-R17</t>
  </si>
  <si>
    <t>کفایت تجهیزات و سرمایه‌گذاری</t>
  </si>
  <si>
    <t>LOG 20!C5:C14؛ HSE 8-9!C25</t>
  </si>
  <si>
    <t>در اسناد خرید سه ربات، قالب‌های دوم، پرس پانچ سوم، توسعه انبار، ساخت رک و پالت و بهبود زیرساخت مطرح است. بودجه و تصویب منابع در فایل‌های موجود درج نشده است.</t>
  </si>
  <si>
    <t>هر درخواست با مقدار، برآورد هزینه، اولویت، وابستگی و تصمیم تصویب/تعویق تکمیل شود.</t>
  </si>
  <si>
    <t>IN-R18</t>
  </si>
  <si>
    <t>برنامه‌ریزی و ظرفیت لجستیک</t>
  </si>
  <si>
    <t>LOG 17!C11:M17؛ 18!C8</t>
  </si>
  <si>
    <t>پیش‌بینی فروش، تعداد تولید، پالت امانی و روزهای کاری در کاربرگ ۱۷ آمده است. ۲۳۱ روز پیش‌بینی و ۳۱۱ روز موردنیاز ذکر شده؛ نسبت آنها بدون تعیین تقویم و مبنای ظرفیت قابل داوری نیست.</t>
  </si>
  <si>
    <t>تراز ظرفیت، تقاضا، نیروی انسانی و فضای انبار برای دوره مشترک تهیه شود. موجودی بیشتر به‌عنوان راهکار ریسک، از نظر هزینه و ایمنی نیز بررسی گردد.</t>
  </si>
  <si>
    <t>IN-R19</t>
  </si>
  <si>
    <t>پالت و موجودی</t>
  </si>
  <si>
    <t>LOG 17!E12:L12؛ 8-9!K18؛ 20!C11</t>
  </si>
  <si>
    <t>۸۱۹۵۲ پالت ارسالی و ۸۱۶۵۱ پالت دریافتی ثبت شده؛ اختلاف آنها ۳۰۱ پالت است. ساخت ۸۵۰ پالت با نرخ ماهانه ۵۰ و در بخش دیگر نرخ ۴۰ با توقف ساخت ذکر شده است.</t>
  </si>
  <si>
    <t>تعداد و نرخ ساخت با موجودی آغاز دوره، کسری واقعی و برنامه مشتری تطبیق یابد. اختلاف ارسال و دریافت به‌تنهایی موجودی امانی نهایی نیست.</t>
  </si>
  <si>
    <t>IN-R20</t>
  </si>
  <si>
    <t>ردیابی و بسته‌بندی</t>
  </si>
  <si>
    <t>LOG 19!C5؛ 5-7 (2)!C9</t>
  </si>
  <si>
    <t>سند هم نقص ردیابی بعد از پرس و هم حفظ بارکد تا مشتری را بیان می‌کند. برگ سفر، پالت اختصاصی و تمیزکاری هنگام بسته‌بندی معرفی شده‌اند.</t>
  </si>
  <si>
    <t>دامنه نقص به تفکیک سایت، محصول و مرحله مشخص و با آزمون ردیابی از ماده تا ارسال و برگشت، اثربخشی اصلاح تصدیق شود.</t>
  </si>
  <si>
    <t>IN-R21</t>
  </si>
  <si>
    <t>حمل‌ونقل و دریافت و ارسال</t>
  </si>
  <si>
    <t>LOG 19!C8:C11</t>
  </si>
  <si>
    <t>حمل داخلی و بخشی از حمل بیرونی توسط شرکت انجام می‌شود. سند به تفکیک دریافت و ارسال و در عین حال نبود چک‌لیست و نبود امکان ارزیابی زمان‌ها و کفایت منابع اشاره دارد.</t>
  </si>
  <si>
    <t>زمان بارگیری، تخلیه، انتظار، ظرفیت حامل و کنترل دریافت/ارسال پایش شود. محدودیت سوخت در طرح اقتضایی با مسئول و آزمون کنترل درج شود.</t>
  </si>
  <si>
    <t>IN-R22</t>
  </si>
  <si>
    <t>انبارش و حفظ محصول</t>
  </si>
  <si>
    <t>LOG 19!C17؛ 5-7!C5 و C16</t>
  </si>
  <si>
    <t>متن توصیفی انبارش را مطلوب معرفی می‌کند، اما ممیزی از ضعف FIFO، اقلام مشکوک، آدرس‌دهی، موجودی و فضای نیم‌ساخته گزارش می‌دهد.</t>
  </si>
  <si>
    <t>نتیجه‌گیری عمومی درباره مطلوبیت تا تعیین دامنه و خاتمه یافته‌ها محدود شود. کنترل‌های موقت برای اقلام مشکوک و حفظ محصول برقرار و ثبت گردد.</t>
  </si>
  <si>
    <t>IN-R23</t>
  </si>
  <si>
    <t>ریسک و فرصت مشترک</t>
  </si>
  <si>
    <t>LOG 18!C5:C17؛ 8-9!C29؛ HSE 8-9!C37</t>
  </si>
  <si>
    <t>ریسک‌های تأمین، نقدینگی، نیروی انسانی، قطع برق، حمل‌ونقل، فضای انبار و حملات سایبری مطرح‌اند. وجود ژنراتور و پیش‌بینی منابع جایگزین در متن اعلام شده است.</t>
  </si>
  <si>
    <t>نتیجه آزمون طرح‌های اقتضایی و اثر کنترل‌ها ثبت شود. موضوع سایبری در دامنه ریسک کسب‌وکار/IATF بررسی می‌شود؛ ISO 27001 در دامنه اعلامی نیست.</t>
  </si>
  <si>
    <t>IN-R24</t>
  </si>
  <si>
    <t>مخاطرات و جنبه‌های محیط‌زیستی</t>
  </si>
  <si>
    <t>HSE</t>
  </si>
  <si>
    <t>HSE 1!C7:C12؛ 14!C14</t>
  </si>
  <si>
    <t>پسماند، مصرف برق، گاز و گازوئیل، رنگ و استفاده از پسماند در قطعات کامپوزیتی مطرح شده است. فهرست جنبه‌های بارز و نتایج ارزیابی مخاطرات در فایل‌ها ارائه نشده است.</t>
  </si>
  <si>
    <t>خلاصه جنبه‌های بارز، مخاطرات اولویت‌دار و تغییرات ارزیابی‌ها از سیستم تضمین در بازنگری درج شود.</t>
  </si>
  <si>
    <t>IN-R25</t>
  </si>
  <si>
    <t>پایش محیط کار و طب کار</t>
  </si>
  <si>
    <t>HSE 8-9!B5:C19؛ 15!C9</t>
  </si>
  <si>
    <t>ذرات، ارتعاش، رطوبت، صدا، روشنایی، آب و طب کار در فایل HSE آمده است. نصب تصفیه آب و انجام سالانه طب کار گزارش شده؛ شماره گزارش پایش با تاریخ‌های متفاوت درج شده است.</t>
  </si>
  <si>
    <t>تاریخ و دامنه گزارش پایش با اصل سابقه تطبیق و نتایج خارج از حد، اقدام اصلاحی و موعد پیگیری مشخص شود.</t>
  </si>
  <si>
    <t>IN-R26</t>
  </si>
  <si>
    <t>تعهدات انطباق</t>
  </si>
  <si>
    <t>HSE 14!C5 و C17؛ 2!B12:F13</t>
  </si>
  <si>
    <t>نبود گزارش عدم‌انطباق از مراجع قانونی در متن آمده است؛ شاخص‌های انطباق قانونی ایمنی و محیط‌زیست به‌ترتیب ۹۰ و ۸۰ ثبت شده‌اند. نبود اخطار به‌تنهایی اثبات انطباق نیست.</t>
  </si>
  <si>
    <t>نتیجه ارزیابی الزام‌به‌الزام، تغییرات مقررات و موارد برآورده‌نشده از فهرست تعهدات استخراج شود.</t>
  </si>
  <si>
    <t>IN-R27</t>
  </si>
  <si>
    <t>حوادث، سلامت و شرایط اضطراری</t>
  </si>
  <si>
    <t>HSE 2!B5:F15؛ 8-9!C15</t>
  </si>
  <si>
    <t>شاخص‌های تکرار و شدت حادثه، سلامت و اجرای مانور وجود دارد. جزئیات حوادث، شبه‌حوادث و نتایج آزمون آمادگی اضطراری در دو فایل نیست. بازنگری جانمایی اطفا و اعلام حریق به توسعه فضا وابسته شده است.</t>
  </si>
  <si>
    <t>آمار و علل حوادث و نتایج مانور به بازنگری متصل شود؛ کنترل‌های ضروری جاری تا توسعه فضا به تعویق نیفتد.</t>
  </si>
  <si>
    <t>IN-R28</t>
  </si>
  <si>
    <t>مشاوره و مشارکت کارکنان</t>
  </si>
  <si>
    <t>HSE 8-9!C21:K21؛ 2!B9:F9</t>
  </si>
  <si>
    <t>روش اجرایی H.S.E-P-05 و شاخص مشارکت در فایل معرفی شده‌اند؛ نتیجه پیشنهادها و تصمیمات جلسات در این بسته موجود نیست.</t>
  </si>
  <si>
    <t>موضوعات مشاوره، مشارکت کارکنان غیرمدیریتی و پاسخ به پیشنهادها ثبت و نتایج مرتبط بازنگری به کارکنان ابلاغ شود.</t>
  </si>
  <si>
    <t>IN-R29</t>
  </si>
  <si>
    <t>نتیجه‌گیری بازنگری</t>
  </si>
  <si>
    <t>جمع‌بندی بررسی اسناد</t>
  </si>
  <si>
    <t>دو سند، ورودی‌های گسترده و نیازهای واقعی بهبود را پوشش می‌دهند؛ اما ناسازگاری داده‌ها و نبود شواهد قابل بازیابی در بسته فعلی، نتیجه‌گیری قطعی درباره کفایت و اثربخشی کل سیستم را محدود می‌کند. این جمله ارزیابی مستندات است، نه مصوبه مدیریت.</t>
  </si>
  <si>
    <t>مدیریت پس از تطبیق شاخص‌ها و بررسی شواهد، نتیجه مستقل درباره تناسب، کفایت، اثربخشی و هم‌راستایی راهبردی هر حوزه را ثبت و تصویب کند.</t>
  </si>
  <si>
    <t>IN-S1</t>
  </si>
  <si>
    <t>P-DEMO</t>
  </si>
  <si>
    <t>MR-DEMO-01</t>
  </si>
  <si>
    <t>فرضی؛ صرفاً آموزش</t>
  </si>
  <si>
    <t>کیفیت مشتری</t>
  </si>
  <si>
    <t>PPM بالاتر از هدف</t>
  </si>
  <si>
    <t>DOC-DEMO</t>
  </si>
  <si>
    <t>داده فرضی برای آزمون مسیر تصمیم‌گیری؛ گزارش واقعی شرکت نیست.</t>
  </si>
  <si>
    <t>بررسی و تعیین تکلیف در سناریوی آموزشی</t>
  </si>
  <si>
    <t>بررسی شد</t>
  </si>
  <si>
    <t>بالا</t>
  </si>
  <si>
    <t>تحلیل سناریوی فرضی بررسی شد.</t>
  </si>
  <si>
    <t>ارزیاب فرضی</t>
  </si>
  <si>
    <t>DEMO-APP</t>
  </si>
  <si>
    <t>IN-S2</t>
  </si>
  <si>
    <t>ظرفیت</t>
  </si>
  <si>
    <t>خرید تجهیز ظرفیت</t>
  </si>
  <si>
    <t>IN-S3</t>
  </si>
  <si>
    <t>محیط‌زیست</t>
  </si>
  <si>
    <t>مصرف انرژی بالاتر از هدف</t>
  </si>
  <si>
    <t>IN-S4</t>
  </si>
  <si>
    <t>ایمنی</t>
  </si>
  <si>
    <t>خطر مهم ایمنی</t>
  </si>
  <si>
    <t>IN-S5</t>
  </si>
  <si>
    <t>کیفیت</t>
  </si>
  <si>
    <t>هدف محقق‌شده بدون نیاز تغییر</t>
  </si>
  <si>
    <t>IN-S6</t>
  </si>
  <si>
    <t>تعمیرات</t>
  </si>
  <si>
    <t>اقدام اجراشده بدون اثربخشی</t>
  </si>
  <si>
    <t>IN-S7</t>
  </si>
  <si>
    <t>منابع</t>
  </si>
  <si>
    <t>رد درخواست منبع</t>
  </si>
  <si>
    <t>تحلیل شاخص‌ها و کنترل هدف مشتری</t>
  </si>
  <si>
    <t>هدف مشتری فقط پس از تأیید منشأ هدف و داده فعال می‌شود؛ هدف داخلی به‌طور خودکار هدف تعیین‌شده مشتری فرض نمی‌شود. صفر معتبر از داده مفقود جداست.</t>
  </si>
  <si>
    <t>شناسه شاخص</t>
  </si>
  <si>
    <t>نام شاخص</t>
  </si>
  <si>
    <t>واحد</t>
  </si>
  <si>
    <t>جهت مطلوب</t>
  </si>
  <si>
    <t>هدف مصوب</t>
  </si>
  <si>
    <t>دوره قبل</t>
  </si>
  <si>
    <t>منشأ هدف</t>
  </si>
  <si>
    <t>مرجع داده و هدف</t>
  </si>
  <si>
    <t>اعتبار داده</t>
  </si>
  <si>
    <t>انحراف از هدف</t>
  </si>
  <si>
    <t>تغییر نسبت قبل</t>
  </si>
  <si>
    <t>تحقق هدف</t>
  </si>
  <si>
    <t>برنامه مرتبط معتبر</t>
  </si>
  <si>
    <t>هشدار اجرایی</t>
  </si>
  <si>
    <t>تحلیل مالک</t>
  </si>
  <si>
    <t>KP-K01</t>
  </si>
  <si>
    <t>ضریب تکرار حادثه</t>
  </si>
  <si>
    <t>مطابق منبع؛ تأیید شود</t>
  </si>
  <si>
    <t>تأیید نشده</t>
  </si>
  <si>
    <t>فایل پایش دریافت نشده؛ تطبیق با فایل پایش لازم است</t>
  </si>
  <si>
    <t>نیازمند تطبیق</t>
  </si>
  <si>
    <t>پیش از تصمیم، تعریف و دوره تأیید شود.</t>
  </si>
  <si>
    <t>KP-K02</t>
  </si>
  <si>
    <t>ضریب شدت حادثه</t>
  </si>
  <si>
    <t>KP-K03</t>
  </si>
  <si>
    <t>درصد انطباق کل ایمنی و بهداشت با الزامات</t>
  </si>
  <si>
    <t>فایل پایش دریافت نشده؛ با حدود ۵۰٪ گزارش 5S؛ دامنه‌ها روشن شود</t>
  </si>
  <si>
    <t>KP-K04</t>
  </si>
  <si>
    <t>درصد انطباق کل زیست محیطی با الزامات</t>
  </si>
  <si>
    <t>KP-K05</t>
  </si>
  <si>
    <t>میانگین درصد مشارکت و مشاوره کارکنان (واحدها)</t>
  </si>
  <si>
    <t>KP-K06</t>
  </si>
  <si>
    <t>درصد انطباق اندازه گیری آلاینده های محیط کار</t>
  </si>
  <si>
    <t>KP-K07</t>
  </si>
  <si>
    <t>درصد انطباق اندازه گیری زیست محیطی</t>
  </si>
  <si>
    <t>KP-K08</t>
  </si>
  <si>
    <t>درصد انطباق با قوانین ایمنی</t>
  </si>
  <si>
    <t>KP-K09</t>
  </si>
  <si>
    <t>درصد انطباق با قوانین زیست محیطی</t>
  </si>
  <si>
    <t>KP-K10</t>
  </si>
  <si>
    <t>درصد انطباق با اجرای برنامه ی مانور</t>
  </si>
  <si>
    <t>KP-K11</t>
  </si>
  <si>
    <t>درصد سلامت</t>
  </si>
  <si>
    <t>فایل پایش دریافت نشده؛ درصدها از قالب 0.00% به مقیاس ۰ تا ۱۰۰ تبدیل شده‌اند</t>
  </si>
  <si>
    <t>KP-K12</t>
  </si>
  <si>
    <t>کیفیت / لجستیک</t>
  </si>
  <si>
    <t>درصد امتیاز عملکرد تامین کنندگان داخلی</t>
  </si>
  <si>
    <t>فایل پایش دریافت نشده؛ امتیاز ۱۰۰؛ فقدان ارزیابی برخی تأمین‌کنندگان در ممیزی</t>
  </si>
  <si>
    <t>KP-K13</t>
  </si>
  <si>
    <t>درصد انحراف از پیش بینی فروش</t>
  </si>
  <si>
    <t>فایل پایش دریافت نشده؛ دوره قبل در 10-!E8 برابر -13.5٪ است</t>
  </si>
  <si>
    <t>KP-K14</t>
  </si>
  <si>
    <t>درصد اثربخشی  آموزش</t>
  </si>
  <si>
    <t>فایل پایش دریافت نشده؛ 10-!F9 = 85.67٪؛ مقدار اصلی 0.95 با قالب غیردرصد</t>
  </si>
  <si>
    <t>KP-K15</t>
  </si>
  <si>
    <t>سرانه آموزش</t>
  </si>
  <si>
    <t>فایل پایش دریافت نشده؛ دوره قبل در 10-!E15 برابر 3.05 است</t>
  </si>
  <si>
    <t>KP-K16</t>
  </si>
  <si>
    <t>درصد تحقق برنامه آموزشی</t>
  </si>
  <si>
    <t>KP-K17</t>
  </si>
  <si>
    <t>سرانه پیشنهادات</t>
  </si>
  <si>
    <t>فایل پایش دریافت نشده؛ 10-!F16 = 8.3</t>
  </si>
  <si>
    <t>KP-K18</t>
  </si>
  <si>
    <t>درصد رضایت پرسنل</t>
  </si>
  <si>
    <t>KP-K19</t>
  </si>
  <si>
    <t>میانگین فراوانی حادثه</t>
  </si>
  <si>
    <t>KP-K20</t>
  </si>
  <si>
    <t>میانگین شدت حادثه</t>
  </si>
  <si>
    <t>KP-K21</t>
  </si>
  <si>
    <t>درصد اقدامات اصلاحی اثر بخش</t>
  </si>
  <si>
    <t>فایل پایش دریافت نشده؛ روش تشخیص اثربخشی در 14!C11 معتبر نشده</t>
  </si>
  <si>
    <t>KP-K22</t>
  </si>
  <si>
    <t>درصد هزینه های کیفیت به فروش</t>
  </si>
  <si>
    <t>KP-K23</t>
  </si>
  <si>
    <t>تعداد پروژ های اخذ شده</t>
  </si>
  <si>
    <t>فایل پایش دریافت نشده؛ شرح سه پروژه در برابر تعداد ۲</t>
  </si>
  <si>
    <t>KP-K24</t>
  </si>
  <si>
    <t>امتیاز ارزیابی انبار</t>
  </si>
  <si>
    <t>KP-K25</t>
  </si>
  <si>
    <t>میانگین تعداد قطعه به نفر ربات و پرس</t>
  </si>
  <si>
    <t>KP-K26</t>
  </si>
  <si>
    <t>میانگین PPM ضایعات پرس</t>
  </si>
  <si>
    <t>فایل پایش دریافت نشده؛ دوره قبل در 10-!E10 = 4462</t>
  </si>
  <si>
    <t>KP-K27</t>
  </si>
  <si>
    <t>میانگین PPM ضایعات ربات</t>
  </si>
  <si>
    <t>فایل پایش دریافت نشده؛ 10-!C11:D11 = 93 و 343؛ مقدار جاری 586</t>
  </si>
  <si>
    <t>KP-K28</t>
  </si>
  <si>
    <t>درصد تحقق برنامه تولید</t>
  </si>
  <si>
    <t>فایل پایش دریافت نشده؛ 21!C9 = متن 88/29</t>
  </si>
  <si>
    <t>KP-K29</t>
  </si>
  <si>
    <t>میانگین  درصد توقفات تولید</t>
  </si>
  <si>
    <t>KP-K30</t>
  </si>
  <si>
    <t>PPMکل ساپکو</t>
  </si>
  <si>
    <t>فایل پایش دریافت نشده؛ عدد 951.8 در تحلیل، اختلاف دقت نمایش</t>
  </si>
  <si>
    <t>KP-K31</t>
  </si>
  <si>
    <t>PPM کل خدمات پس از فروش ساپکو</t>
  </si>
  <si>
    <t>KP-K32</t>
  </si>
  <si>
    <t>امتیاز سنجش عملکرد ساپکو</t>
  </si>
  <si>
    <t>KP-K33</t>
  </si>
  <si>
    <t>PPMکل سازه گستر</t>
  </si>
  <si>
    <t>فایل پایش دریافت نشده؛ دوره قبل در 10-!E13 = 780</t>
  </si>
  <si>
    <t>KP-K34</t>
  </si>
  <si>
    <t>PPM کل خدمات پس از فروش سازه گستر</t>
  </si>
  <si>
    <t>KP-K35</t>
  </si>
  <si>
    <t>امتیاز سنجش عملکرد سازه گستر</t>
  </si>
  <si>
    <t>KP-K36</t>
  </si>
  <si>
    <t>رضایت مشتریان(امتیاز)</t>
  </si>
  <si>
    <t>KP-K37</t>
  </si>
  <si>
    <t>OTD</t>
  </si>
  <si>
    <t>فایل پایش دریافت نشده؛ 21!H7 = 95.11</t>
  </si>
  <si>
    <t>KP-K38</t>
  </si>
  <si>
    <t>میانگین تجهیزات MTTR</t>
  </si>
  <si>
    <t>فایل پایش دریافت نشده؛ 10-!F17 = 70.5؛ معیار پذیرش 250</t>
  </si>
  <si>
    <t>KP-K39</t>
  </si>
  <si>
    <t>میانگین تجهیزات MTBF</t>
  </si>
  <si>
    <t>فایل پایش دریافت نشده؛ 10-!F18 = 327.5</t>
  </si>
  <si>
    <t>KP-K40</t>
  </si>
  <si>
    <t>میانگین قالب/ربات  MTTR</t>
  </si>
  <si>
    <t>KP-K41</t>
  </si>
  <si>
    <t>میانگین قالب/ربات  MTBF</t>
  </si>
  <si>
    <t>KP-K42</t>
  </si>
  <si>
    <t>امتیاز آدیت فرایند
سایت اصلی دوبار آدیت فرآیند = 75
سالن جنوبی 
یک بار آدیت 
60</t>
  </si>
  <si>
    <t>فایل پایش دریافت نشده؛ امتیازهای سایت‌ها در عنوان با مقدار تجمیعی نیازمند تطبیق</t>
  </si>
  <si>
    <t>K-S1</t>
  </si>
  <si>
    <t>آزمون</t>
  </si>
  <si>
    <t>PPM مشتری فرضی</t>
  </si>
  <si>
    <t>PPM</t>
  </si>
  <si>
    <t>کمتر بهتر</t>
  </si>
  <si>
    <t>مشتری</t>
  </si>
  <si>
    <t>تأیید شده</t>
  </si>
  <si>
    <t>صرفاً سناریوی فرضی</t>
  </si>
  <si>
    <t>K-S3</t>
  </si>
  <si>
    <t>مصرف انرژی فرضی</t>
  </si>
  <si>
    <t>kWh/واحد</t>
  </si>
  <si>
    <t>محیط‌زیستی</t>
  </si>
  <si>
    <t>K-S5</t>
  </si>
  <si>
    <t>تحویل به‌موقع فرضی</t>
  </si>
  <si>
    <t>درصد</t>
  </si>
  <si>
    <t>بیشتر بهتر</t>
  </si>
  <si>
    <t>داخلی</t>
  </si>
  <si>
    <t>گزارش تحلیلی پیش از جلسه</t>
  </si>
  <si>
    <t>این صفحه پیشنهاد کارشناسی است و مصوبه مدیریت محسوب نمی‌شود. برای گزارش جلسه، شرکت/دوره را با فیلتر جدول انتخاب کنید؛ وضعیت تصمیم در بانک 07 ثبت می‌شود.</t>
  </si>
  <si>
    <t>شناسه مسئله</t>
  </si>
  <si>
    <t>ورودی مرتبط</t>
  </si>
  <si>
    <t>یافته و تحلیل</t>
  </si>
  <si>
    <t>پیشنهاد تصمیم</t>
  </si>
  <si>
    <t>اولویت</t>
  </si>
  <si>
    <t>شاهد</t>
  </si>
  <si>
    <t>ISS-G01</t>
  </si>
  <si>
    <t>دوره و نسخه</t>
  </si>
  <si>
    <t>مرز روزانه دوره و نسخه استانداردها مشخص نیست.</t>
  </si>
  <si>
    <t>تکمیل مشخصات و دامنه پیش از تصویب</t>
  </si>
  <si>
    <t>فوری</t>
  </si>
  <si>
    <t>هر دو جلد و 1!O1</t>
  </si>
  <si>
    <t>ISS-G02</t>
  </si>
  <si>
    <t>تاریخ HSE</t>
  </si>
  <si>
    <t>3!O23 به سلول خالی ارجاع دارد و مقدار صفر ذخیره شده است.</t>
  </si>
  <si>
    <t>استفاده از تاریخ واحد و معتبر جلسه</t>
  </si>
  <si>
    <t>HSE 3!O23</t>
  </si>
  <si>
    <t>ISS-G03</t>
  </si>
  <si>
    <t>صفحه‌بندی</t>
  </si>
  <si>
    <t>متوسط</t>
  </si>
  <si>
    <t>شماره صفحات تکراری و ارجاع به سلول نامناسب وجود دارد.</t>
  </si>
  <si>
    <t>شماره‌گذاری خودکار صفحه/تعداد صفحات</t>
  </si>
  <si>
    <t>مهم</t>
  </si>
  <si>
    <t>HSE 3!O24؛ LOG 5-7 (2)!O2</t>
  </si>
  <si>
    <t>ISS-G04</t>
  </si>
  <si>
    <t>مرجع خارجی</t>
  </si>
  <si>
    <t>فرمول شماره صفحه به فایل خارجی وابسته است.</t>
  </si>
  <si>
    <t>حذف وابستگی در فایل یکپارچه</t>
  </si>
  <si>
    <t>LOG 5-7 (2)!O2</t>
  </si>
  <si>
    <t>ISS-G05</t>
  </si>
  <si>
    <t>پیوست‌ها</t>
  </si>
  <si>
    <t>پیوست‌ها در سیستم تضمین هستند؛ شناسه و مسیر بازیابی کامل در گزارش نیست.</t>
  </si>
  <si>
    <t>ایجاد فهرست شواهد قابل بازیابی</t>
  </si>
  <si>
    <t>توضیح کاربر؛ ارجاعات دو فایل</t>
  </si>
  <si>
    <t>ISS-G06</t>
  </si>
  <si>
    <t>گزارش پایش HSE</t>
  </si>
  <si>
    <t>تاریخ گزارش R-NP-14031201 بین ۱۴۰۳ و ۱۴۰۵ متفاوت است؛ یکی بعد از تاریخ جلسه است.</t>
  </si>
  <si>
    <t>تطبیق با اصل گزارش</t>
  </si>
  <si>
    <t>HSE 8-9!C5؛ 15!C9</t>
  </si>
  <si>
    <t>ISS-G07</t>
  </si>
  <si>
    <t>۹۶٫۴۷ در جدول و ۹۵٫۱۱ در خروجی آمده است.</t>
  </si>
  <si>
    <t>تطبیق با فایل پایش شاخص‌ها</t>
  </si>
  <si>
    <t>LOG 2-4!F35؛ 21!H7</t>
  </si>
  <si>
    <t>ISS-G08</t>
  </si>
  <si>
    <t>تحقق تولید</t>
  </si>
  <si>
    <t>۸۷٫۶۸ با عبارت 88/29 متفاوت است.</t>
  </si>
  <si>
    <t>تعیین دوره و مقدار مرجع</t>
  </si>
  <si>
    <t>LOG 2-4!F26؛ 21!C9</t>
  </si>
  <si>
    <t>ISS-G09</t>
  </si>
  <si>
    <t>اثربخشی آموزش</t>
  </si>
  <si>
    <t>۰٫۹۵ و ۰٫۸۵۶۷ و قالب‌های نمایش متفاوت ثبت شده است.</t>
  </si>
  <si>
    <t>تطبیق مقدار و یکسان‌سازی واحد</t>
  </si>
  <si>
    <t>LOG 2-4!F7؛ 10-!F9</t>
  </si>
  <si>
    <t>ISS-G10</t>
  </si>
  <si>
    <t>ضایعات ربات</t>
  </si>
  <si>
    <t>هدف/حد پذیرش ۴۰۰/۶۵۰ با ۹۳/۳۴۳ متفاوت است.</t>
  </si>
  <si>
    <t>تثبیت تعریف و حدود مصوب</t>
  </si>
  <si>
    <t>LOG 2-4!C20:F20؛ 10-!C11:F11</t>
  </si>
  <si>
    <t>ISS-G11</t>
  </si>
  <si>
    <t>شاخص‌های نگهداری</t>
  </si>
  <si>
    <t>MTTR و MTBF جدول و تحلیل یکسان نیستند.</t>
  </si>
  <si>
    <t>تعیین دامنه تجهیز و مرجع</t>
  </si>
  <si>
    <t>LOG 2-4!F36:F43؛ 10-!F17:F18</t>
  </si>
  <si>
    <t>ISS-G12</t>
  </si>
  <si>
    <t>تعداد پروژه‌ها</t>
  </si>
  <si>
    <t>تعداد ۲ با شرح یک سبک و دو سنگین سازگار نیست.</t>
  </si>
  <si>
    <t>تطبیق با فهرست پروژه‌های دوره</t>
  </si>
  <si>
    <t>LOG 2-4!F16:G16</t>
  </si>
  <si>
    <t>ISS-G13</t>
  </si>
  <si>
    <t>مهلت توسعه فضا</t>
  </si>
  <si>
    <t>آذر ۱۴۰۵، اردیبهشت و شهریور ۱۴۰۶ آمده است.</t>
  </si>
  <si>
    <t>ثبت یک برنامه و مهلت مصوب</t>
  </si>
  <si>
    <t>LOG 1!G6؛ 1 (2)!G6؛ 17!C17</t>
  </si>
  <si>
    <t>ISS-G14</t>
  </si>
  <si>
    <t>هزینه کیفیت</t>
  </si>
  <si>
    <t>مخرج نسبت‌ها نامشخص و جمع سهم‌ها ۱۰۰٫۸٪ است.</t>
  </si>
  <si>
    <t>تطبیق اجزا، واحد و مخرج</t>
  </si>
  <si>
    <t>LOG 11-12</t>
  </si>
  <si>
    <t>ISS-G15</t>
  </si>
  <si>
    <t>ردیابی</t>
  </si>
  <si>
    <t>ردیابی بعد از پرس هم ناقص و هم برقرار معرفی شده است.</t>
  </si>
  <si>
    <t>تعیین دامنه نقص و اجرای آزمون ردیابی</t>
  </si>
  <si>
    <t>LOG 19!C5</t>
  </si>
  <si>
    <t>ISS-G16</t>
  </si>
  <si>
    <t>انطباق HSE</t>
  </si>
  <si>
    <t>حدود ۵۰٪ با مقادیر ۸۳ و ۸۶ بدون تعریف دامنه آمده است.</t>
  </si>
  <si>
    <t>تفکیک چک‌لیست، جامعه و روش امتیازدهی</t>
  </si>
  <si>
    <t>HSE 8-9!C25؛ 2!F7:F8</t>
  </si>
  <si>
    <t>ISS-G17</t>
  </si>
  <si>
    <t>اثربخشی اقدام</t>
  </si>
  <si>
    <t>بستن اقدام معادل اثربخشی تلقی شده ولی شاخص ۷۵ ثبت شده است.</t>
  </si>
  <si>
    <t>تفکیک مراحل و بازسنجی شاخص</t>
  </si>
  <si>
    <t>هر دو 14!C11؛ LOG 2-4!F14</t>
  </si>
  <si>
    <t>ISS-G18</t>
  </si>
  <si>
    <t>ممیزی HSE</t>
  </si>
  <si>
    <t>نبود برنامه ممیزی با اجرای برنامه سه‌ساله جمع نشده است.</t>
  </si>
  <si>
    <t>ثبت وضعیت فعلی و سابقه اصلاح</t>
  </si>
  <si>
    <t>HSE 3!C27؛ 15!C11</t>
  </si>
  <si>
    <t>ISS-G19</t>
  </si>
  <si>
    <t>پاسخ به ممیزی</t>
  </si>
  <si>
    <t>برای مسائل متفاوت زیرساختی، پاسخ تکراری نیازسنجی آموزشی درج شده است.</t>
  </si>
  <si>
    <t>تحلیل علت و اقدام اختصاصی برای هر یافته</t>
  </si>
  <si>
    <t>HSE 3؛ LOG 5-7</t>
  </si>
  <si>
    <t>ISS-G20</t>
  </si>
  <si>
    <t>تصمیم و منابع</t>
  </si>
  <si>
    <t>بسیاری از خروجی‌ها فاقد بودجه، معیار خاتمه و تأیید تخصیص‌اند.</t>
  </si>
  <si>
    <t>تکمیل دفتر تصمیمات</t>
  </si>
  <si>
    <t>HSE 15؛ LOG 15 و 20 و 21</t>
  </si>
  <si>
    <t>ISS-G21</t>
  </si>
  <si>
    <t>تحقق اهداف</t>
  </si>
  <si>
    <t>برای اهداف محقق‌نشده اقدام مشخص کافی نیست.</t>
  </si>
  <si>
    <t>تعریف اقدام و بازنگری موجه اهداف</t>
  </si>
  <si>
    <t>جداول شاخص‌ها</t>
  </si>
  <si>
    <t>ISS-G22</t>
  </si>
  <si>
    <t>امتیاز ۱۰۰ با فقدان پایش/مدارک برخی تأمین‌کنندگان همراه است.</t>
  </si>
  <si>
    <t>تفکیک جامعه ارزیابی و موارد ارزیابی‌نشده</t>
  </si>
  <si>
    <t>LOG 2-4!F5؛ 5-7!C7؛ 5-7 (2)!C7</t>
  </si>
  <si>
    <t>ISS-G23</t>
  </si>
  <si>
    <t>شاخص سلامت</t>
  </si>
  <si>
    <t>مقادیر ۰٫۸۲۱ و ۰٫۸۴۶ با قالب درصد در برابر هدف ۹۰ ثبت شده است.</t>
  </si>
  <si>
    <t>یکسان‌سازی نمایش بدون تغییر معنی</t>
  </si>
  <si>
    <t>HSE 2!C15:F15</t>
  </si>
  <si>
    <t>ISS-G24</t>
  </si>
  <si>
    <t>کنترل مستند</t>
  </si>
  <si>
    <t>نسخه گزارش از نسخه قالب MA-F-19 جدا نشده است.</t>
  </si>
  <si>
    <t>نسخه مستقل گزارش و سابقه تغییر</t>
  </si>
  <si>
    <t>پاورقی‌های دو فایل</t>
  </si>
  <si>
    <t>ISS-G25</t>
  </si>
  <si>
    <t>زبان و دامنه</t>
  </si>
  <si>
    <t>ISO 140001، حسابرسی و متن نامرتبط PFMEA در HSE مشاهده شد.</t>
  </si>
  <si>
    <t>اصلاح اصطلاحات و تبیین ارتباط موضوع با دامنه</t>
  </si>
  <si>
    <t>LOG 1!C25؛ HSE 3!C27 و 14!C14</t>
  </si>
  <si>
    <t>ISS-G26</t>
  </si>
  <si>
    <t>تصویب</t>
  </si>
  <si>
    <t>تصویر امضا در لجستیک موجود است؛ نام، تاریخ و دامنه تصویب روشن نیست.</t>
  </si>
  <si>
    <t>ثبت تأییدکنندگان نسخه جدید؛ عدم انتقال امضای قدیمی</t>
  </si>
  <si>
    <t>جلد دو فایل</t>
  </si>
  <si>
    <t>ISS-G27</t>
  </si>
  <si>
    <t>داده خام و روند</t>
  </si>
  <si>
    <t>مقادیر KPI ثابت‌اند و فایل پایش در بسته دریافتی نیست.</t>
  </si>
  <si>
    <t>پیوست/ارجاع مرجع و تحلیل سری زمانی</t>
  </si>
  <si>
    <t>هر دو جدول شاخص‌ها</t>
  </si>
  <si>
    <t>ISS-G28</t>
  </si>
  <si>
    <t>نرخ ساخت پالت</t>
  </si>
  <si>
    <t>نرخ‌های ۴۰ و ۵۰ در ماه و توقف ساخت هم‌زمان در متن آمده‌اند.</t>
  </si>
  <si>
    <t>ثبت موجودی، نرخ مصوب و وضعیت سفارش</t>
  </si>
  <si>
    <t>LOG 8-9!K18؛ 20!C11</t>
  </si>
  <si>
    <t>نتیجه‌گیری مدیریت ارشد برای هر سیستم</t>
  </si>
  <si>
    <t>انتخاب وضعیت مطلوب کافی نیست؛ شاهد، جمع‌بندی، نظر مدیریت و مرجع تأیید باید کامل باشد. ضرورت اقدام از نتیجه‌گیری جدا ثبت می‌شود.</t>
  </si>
  <si>
    <t>شناسه نتیجه</t>
  </si>
  <si>
    <t>موضوع ارزیابی</t>
  </si>
  <si>
    <t>شناسه شواهد</t>
  </si>
  <si>
    <t>جمع‌بندی تحلیلی</t>
  </si>
  <si>
    <t>وضعیت ارزیابی</t>
  </si>
  <si>
    <t>نظر مدیریت</t>
  </si>
  <si>
    <t>ضرورت اقدام</t>
  </si>
  <si>
    <t>تصمیم مرتبط</t>
  </si>
  <si>
    <t>تاریخ تأیید</t>
  </si>
  <si>
    <t>اعتبار نتیجه</t>
  </si>
  <si>
    <t>CON-NIPCO-QMS-1</t>
  </si>
  <si>
    <t>تناسب</t>
  </si>
  <si>
    <t>نیازمند اطلاعات تکمیلی</t>
  </si>
  <si>
    <t>تعیین نشده</t>
  </si>
  <si>
    <t>CON-NIPCO-QMS-2</t>
  </si>
  <si>
    <t>کفایت</t>
  </si>
  <si>
    <t>CON-NIPCO-QMS-3</t>
  </si>
  <si>
    <t>اثربخشی</t>
  </si>
  <si>
    <t>CON-NIPCO-IATF-1</t>
  </si>
  <si>
    <t>CON-NIPCO-IATF-2</t>
  </si>
  <si>
    <t>CON-NIPCO-IATF-3</t>
  </si>
  <si>
    <t>CON-NIPCO-EMS-1</t>
  </si>
  <si>
    <t>CON-NIPCO-EMS-2</t>
  </si>
  <si>
    <t>CON-NIPCO-EMS-3</t>
  </si>
  <si>
    <t>CON-NIPCO-OHS-1</t>
  </si>
  <si>
    <t>CON-NIPCO-OHS-2</t>
  </si>
  <si>
    <t>CON-NIPCO-OHS-3</t>
  </si>
  <si>
    <t>CON-DEMO-QMS-1</t>
  </si>
  <si>
    <t>تحلیل نمونه</t>
  </si>
  <si>
    <t>CON-DEMO-QMS-2</t>
  </si>
  <si>
    <t>CON-DEMO-QMS-3</t>
  </si>
  <si>
    <t>CON-DEMO-IATF-1</t>
  </si>
  <si>
    <t>CON-DEMO-IATF-2</t>
  </si>
  <si>
    <t>CON-DEMO-IATF-3</t>
  </si>
  <si>
    <t>CON-DEMO-EMS-1</t>
  </si>
  <si>
    <t>CON-DEMO-EMS-2</t>
  </si>
  <si>
    <t>CON-DEMO-EMS-3</t>
  </si>
  <si>
    <t>CON-DEMO-OHS-1</t>
  </si>
  <si>
    <t>CON-DEMO-OHS-2</t>
  </si>
  <si>
    <t>CON-DEMO-OHS-3</t>
  </si>
  <si>
    <t>بانک تصمیمات و خروجی‌های مدیریت</t>
  </si>
  <si>
    <t>تصمیم با اقدام تفاوت دارد. چند ورودی و چند الزام برای هر تصمیم در شیت 15 ثبت می‌شود. وضعیت نهایی از اجرا و اثربخشی جداگانه محاسبه می‌شود.</t>
  </si>
  <si>
    <t>شناسه تصمیم</t>
  </si>
  <si>
    <t>ورودی اصلی</t>
  </si>
  <si>
    <t>عنوان</t>
  </si>
  <si>
    <t>مستند و تحلیل</t>
  </si>
  <si>
    <t>نوع خروجی</t>
  </si>
  <si>
    <t>متن دقیق تصمیم</t>
  </si>
  <si>
    <t>وضعیت تصمیم</t>
  </si>
  <si>
    <t>دلیل و مستند</t>
  </si>
  <si>
    <t>اقدام لازم؟</t>
  </si>
  <si>
    <t>مسئول پاسخ‌گو</t>
  </si>
  <si>
    <t>همکاران</t>
  </si>
  <si>
    <t>منابع لازم</t>
  </si>
  <si>
    <t>مهلت میلادی</t>
  </si>
  <si>
    <t>معیار تحقق</t>
  </si>
  <si>
    <t>روش اثربخشی</t>
  </si>
  <si>
    <t>شناسه اقدامات؛ راهنما</t>
  </si>
  <si>
    <t>مرجع تصویب</t>
  </si>
  <si>
    <t>تاریخ تصویب</t>
  </si>
  <si>
    <t>منشأ تصمیم</t>
  </si>
  <si>
    <t>اعتبار تعیین تکلیف</t>
  </si>
  <si>
    <t>وضعیت نهایی</t>
  </si>
  <si>
    <t>ترتیب گزارش</t>
  </si>
  <si>
    <t>DEC-A01</t>
  </si>
  <si>
    <t>تثبیت دوره، نسخه استاندارد و دامنه سایت‌ها</t>
  </si>
  <si>
    <t>مشخصات تأییدشده و نسخه گواهینامه‌ها</t>
  </si>
  <si>
    <t>پیشنهاد: تثبیت دوره، نسخه استاندارد و دامنه سایت‌ها</t>
  </si>
  <si>
    <t>بله</t>
  </si>
  <si>
    <t>تضمین کیفیت / دبیر بازنگری</t>
  </si>
  <si>
    <t>تعیین شود</t>
  </si>
  <si>
    <t>نیازمند برآورد</t>
  </si>
  <si>
    <t>بررسی شاهد اجرا و مقایسه نتیجه با معیار خاتمه</t>
  </si>
  <si>
    <t>ACT-A01</t>
  </si>
  <si>
    <t>پیشنهاد کارشناسی؛ تصویب نشده</t>
  </si>
  <si>
    <t>DEC-A02</t>
  </si>
  <si>
    <t>تطبیق تمام شاخص‌ها با فایل پایش و حل تعارض‌ها</t>
  </si>
  <si>
    <t>جدول تطبیق امضاشده؛ هر شاخص با منبع و دوره واحد</t>
  </si>
  <si>
    <t>پیشنهاد: تطبیق تمام شاخص‌ها با فایل پایش و حل تعارض‌ها</t>
  </si>
  <si>
    <t>تضمین کیفیت و مالکان شاخص</t>
  </si>
  <si>
    <t>ACT-A02</t>
  </si>
  <si>
    <t>DEC-A03</t>
  </si>
  <si>
    <t>تأیید تاریخ و نتایج گزارش پایش HSE</t>
  </si>
  <si>
    <t>اصل گزارش پایش و فهرست موارد خارج از حدود</t>
  </si>
  <si>
    <t>پیشنهاد: تأیید تاریخ و نتایج گزارش پایش HSE</t>
  </si>
  <si>
    <t>مسئول HSE</t>
  </si>
  <si>
    <t>ACT-A03</t>
  </si>
  <si>
    <t>DEC-A04</t>
  </si>
  <si>
    <t>تکمیل فهرست پیوست‌ها در سیستم تضمین</t>
  </si>
  <si>
    <t>شناسه، نسخه، تاریخ و مسیر قابل بازیابی برای هر شاهد</t>
  </si>
  <si>
    <t>پیشنهاد: تکمیل فهرست پیوست‌ها در سیستم تضمین</t>
  </si>
  <si>
    <t>ACT-A04</t>
  </si>
  <si>
    <t>DEC-A05</t>
  </si>
  <si>
    <t>بازطراحی گردش اقدام اصلاحی و ارزیابی اثربخشی</t>
  </si>
  <si>
    <t>تفکیک اجرا و اثربخشی؛ آزمون گردش کار و نمونه اقدام معتبر</t>
  </si>
  <si>
    <t>پیشنهاد: بازطراحی گردش اقدام اصلاحی و ارزیابی اثربخشی</t>
  </si>
  <si>
    <t>تضمین کیفیت / فناوری اطلاعات</t>
  </si>
  <si>
    <t>ACT-A05</t>
  </si>
  <si>
    <t>DEC-A06</t>
  </si>
  <si>
    <t>آزمون ردیابی و تعیین دامنه نقص پس از پرس</t>
  </si>
  <si>
    <t>ردیابی رفت و برگشت نمونه‌های مصوب و بستن شکاف‌ها</t>
  </si>
  <si>
    <t>پیشنهاد: آزمون ردیابی و تعیین دامنه نقص پس از پرس</t>
  </si>
  <si>
    <t>تولید / کیفیت / مهندسی</t>
  </si>
  <si>
    <t>ACT-A06</t>
  </si>
  <si>
    <t>DEC-A07</t>
  </si>
  <si>
    <t>تصویب برنامه توسعه فضا و کنترل‌های موقت</t>
  </si>
  <si>
    <t>برنامه واحد؛ جانمایی، مسیر ایمن و کنترل انبارش تا اجرای طرح</t>
  </si>
  <si>
    <t>پیشنهاد: تصویب برنامه توسعه فضا و کنترل‌های موقت</t>
  </si>
  <si>
    <t>مدیریت عامل / سایت‌ها / HSE</t>
  </si>
  <si>
    <t>ACT-A07</t>
  </si>
  <si>
    <t>DEC-A08</t>
  </si>
  <si>
    <t>تطبیق نسبت‌ها و اجزای هزینه کیفیت</t>
  </si>
  <si>
    <t>تعریف مخرج و واحد؛ تطبیق اجزا با کل و گزارش مالی</t>
  </si>
  <si>
    <t>پیشنهاد: تطبیق نسبت‌ها و اجزای هزینه کیفیت</t>
  </si>
  <si>
    <t>مالی / تضمین کیفیت</t>
  </si>
  <si>
    <t>ACT-A08</t>
  </si>
  <si>
    <t>DEC-A09</t>
  </si>
  <si>
    <t>تعریف اقدام اختصاصی برای یافته‌های ممیزی</t>
  </si>
  <si>
    <t>علت ریشه‌ای، اقدام، مسئول و معیار اثربخشی هر یافته</t>
  </si>
  <si>
    <t>پیشنهاد: تعریف اقدام اختصاصی برای یافته‌های ممیزی</t>
  </si>
  <si>
    <t>مالکان فرآیند / تضمین کیفیت</t>
  </si>
  <si>
    <t>ACT-A09</t>
  </si>
  <si>
    <t>DEC-A10</t>
  </si>
  <si>
    <t>تثبیت برنامه ممیزی IMS و وضعیت یافته‌ها</t>
  </si>
  <si>
    <t>برنامه مصوب و پوشش فرآیندها؛ رفع تعارض گزارش‌ها</t>
  </si>
  <si>
    <t>پیشنهاد: تثبیت برنامه ممیزی IMS و وضعیت یافته‌ها</t>
  </si>
  <si>
    <t>تضمین کیفیت / HSE</t>
  </si>
  <si>
    <t>ACT-A10</t>
  </si>
  <si>
    <t>DEC-A11</t>
  </si>
  <si>
    <t>ارزیابی تعهدات انطباق و موارد برآورده‌نشده</t>
  </si>
  <si>
    <t>فهرست تعهدات، نتیجه ارزیابی و اقدام برای موارد باز</t>
  </si>
  <si>
    <t>پیشنهاد: ارزیابی تعهدات انطباق و موارد برآورده‌نشده</t>
  </si>
  <si>
    <t>HSE / مسئولان الزامات</t>
  </si>
  <si>
    <t>ACT-A11</t>
  </si>
  <si>
    <t>DEC-A12</t>
  </si>
  <si>
    <t>بازنگری مخاطرات و جنبه‌های بارز تغییر جانمایی</t>
  </si>
  <si>
    <t>ارزیابی به‌روز، کنترل‌ها، مسئول و ریسک باقی‌مانده</t>
  </si>
  <si>
    <t>پیشنهاد: بازنگری مخاطرات و جنبه‌های بارز تغییر جانمایی</t>
  </si>
  <si>
    <t>HSE / مهندسی / کارکنان مرتبط</t>
  </si>
  <si>
    <t>ACT-A12</t>
  </si>
  <si>
    <t>DEC-A13</t>
  </si>
  <si>
    <t>تکمیل منابع و برنامه صلاحیت نیروی انسانی</t>
  </si>
  <si>
    <t>برنامه نفرـشیفت و ماتریس مهارت با شاهد احراز صلاحیت</t>
  </si>
  <si>
    <t>پیشنهاد: تکمیل منابع و برنامه صلاحیت نیروی انسانی</t>
  </si>
  <si>
    <t>منابع انسانی / تولید</t>
  </si>
  <si>
    <t>ACT-A13</t>
  </si>
  <si>
    <t>DEC-A14</t>
  </si>
  <si>
    <t>تکمیل ارزیابی تأمین‌کنندگان و موارد ارزیابی‌نشده</t>
  </si>
  <si>
    <t>فهرست جامعه، پوشش ارزیابی و برنامه توسعه</t>
  </si>
  <si>
    <t>پیشنهاد: تکمیل ارزیابی تأمین‌کنندگان و موارد ارزیابی‌نشده</t>
  </si>
  <si>
    <t>خرید / کیفیت تأمین‌کنندگان</t>
  </si>
  <si>
    <t>ACT-A14</t>
  </si>
  <si>
    <t>DEC-A15</t>
  </si>
  <si>
    <t>بازنگری برنامه پالت و موجودی امانی</t>
  </si>
  <si>
    <t>تراز اول دوره، ارسال، دریافت، ضایعات و پایان دوره</t>
  </si>
  <si>
    <t>پیشنهاد: بازنگری برنامه پالت و موجودی امانی</t>
  </si>
  <si>
    <t>برنامه‌ریزی / فروش / تدارکات</t>
  </si>
  <si>
    <t>ACT-A15</t>
  </si>
  <si>
    <t>DEC-A16</t>
  </si>
  <si>
    <t>پایش زمان انتظار، دریافت و ارسال و هزینه لجستیک</t>
  </si>
  <si>
    <t>تعریف شاخص، داده پایه و نخستین گزارش ماهانه</t>
  </si>
  <si>
    <t>پیشنهاد: پایش زمان انتظار، دریافت و ارسال و هزینه لجستیک</t>
  </si>
  <si>
    <t>برنامه‌ریزی / فروش / مالی</t>
  </si>
  <si>
    <t>ACT-A16</t>
  </si>
  <si>
    <t>DEC-A17</t>
  </si>
  <si>
    <t>تکمیل نتایج مراحل طراحی و توسعه</t>
  </si>
  <si>
    <t>مرحله پروژه، معیار عبور، نتیجه و تصمیم ثبت‌شده</t>
  </si>
  <si>
    <t>پیشنهاد: تکمیل نتایج مراحل طراحی و توسعه</t>
  </si>
  <si>
    <t>تحقیق و توسعه / مهندسی</t>
  </si>
  <si>
    <t>ACT-A17</t>
  </si>
  <si>
    <t>DEC-A18</t>
  </si>
  <si>
    <t>آزمون طرح‌های اقتضایی و حفاظت شبکه</t>
  </si>
  <si>
    <t>گزارش آزمون قطع برق، بازیابی و کنترل‌های مرتبط</t>
  </si>
  <si>
    <t>پیشنهاد: آزمون طرح‌های اقتضایی و حفاظت شبکه</t>
  </si>
  <si>
    <t>مدیریت / فناوری اطلاعات / نت</t>
  </si>
  <si>
    <t>ACT-A18</t>
  </si>
  <si>
    <t>DEC-A19</t>
  </si>
  <si>
    <t>تعیین اقدام برای اهداف محقق‌نشده</t>
  </si>
  <si>
    <t>هدف و حد مصوب؛ اقدام و ارزیابی اثربخشی</t>
  </si>
  <si>
    <t>پیشنهاد: تعیین اقدام برای اهداف محقق‌نشده</t>
  </si>
  <si>
    <t>مالکان شاخص / مدیریت</t>
  </si>
  <si>
    <t>ACT-A19</t>
  </si>
  <si>
    <t>DEC-A20</t>
  </si>
  <si>
    <t>ثبت مصوبات منابع و نتیجه‌گیری نهایی مدیریت</t>
  </si>
  <si>
    <t>تصمیم، بودجه، مسئول و موعد؛ تصویب نسخه نهایی</t>
  </si>
  <si>
    <t>پیشنهاد: ثبت مصوبات منابع و نتیجه‌گیری نهایی مدیریت</t>
  </si>
  <si>
    <t>مدیریت ارشد / دبیر بازنگری</t>
  </si>
  <si>
    <t>ACT-A20</t>
  </si>
  <si>
    <t>DEC-A21</t>
  </si>
  <si>
    <t>گزارش نتایج مشاوره، حوادث و مانورها</t>
  </si>
  <si>
    <t>خلاصه نتایج، اقدامات و شاهد ابلاغ تصمیمات مرتبط</t>
  </si>
  <si>
    <t>پیشنهاد: گزارش نتایج مشاوره، حوادث و مانورها</t>
  </si>
  <si>
    <t>HSE / نمایندگان کارکنان</t>
  </si>
  <si>
    <t>ACT-A21</t>
  </si>
  <si>
    <t>DEC-S1</t>
  </si>
  <si>
    <t>شاهد فرضی DOC-DEMO؛ تحلیل تمرینی</t>
  </si>
  <si>
    <t>عملکرد مشتری</t>
  </si>
  <si>
    <t>نتیجه فرضی مدیریت</t>
  </si>
  <si>
    <t>برنامه کاهش PPM تدوین و اجرا شود.</t>
  </si>
  <si>
    <t>تعویق</t>
  </si>
  <si>
    <t>برنامه هنوز تصویب نشده</t>
  </si>
  <si>
    <t>مسئول فرضی</t>
  </si>
  <si>
    <t>واحد فرضی</t>
  </si>
  <si>
    <t>حسب برنامه فرضی</t>
  </si>
  <si>
    <t>معیار سناریوی فرضی</t>
  </si>
  <si>
    <t>بررسی داده پس از اقدام</t>
  </si>
  <si>
    <t>ACT-S1</t>
  </si>
  <si>
    <t>فرضی؛ مصوبه واقعی نیست</t>
  </si>
  <si>
    <t>DEC-S2</t>
  </si>
  <si>
    <t>خرید یک تجهیز ظرفیت به‌صورت فرضی تصویب شود.</t>
  </si>
  <si>
    <t>بررسی شاهد فرضی و تناسب تصمیم</t>
  </si>
  <si>
    <t>یک دستگاه؛ بودجه فرضی</t>
  </si>
  <si>
    <t>ACT-S2</t>
  </si>
  <si>
    <t>DEC-S3</t>
  </si>
  <si>
    <t>هدف محیط‌زیستی</t>
  </si>
  <si>
    <t>برنامه کاهش مصرف انرژی تدوین شود.</t>
  </si>
  <si>
    <t>ACT-S3</t>
  </si>
  <si>
    <t>DEC-S4</t>
  </si>
  <si>
    <t>ایمنی و بهداشت</t>
  </si>
  <si>
    <t>کنترل مهندسی خطر ایمنی تأمین شود.</t>
  </si>
  <si>
    <t>حفاظ مهندسی فرضی</t>
  </si>
  <si>
    <t>ACT-S4</t>
  </si>
  <si>
    <t>DEC-S5</t>
  </si>
  <si>
    <t>عدم نیاز به تغییر</t>
  </si>
  <si>
    <t>بررسی شد؛ در حال حاضر اقدام یا تغییر جدید ضروری تشخیص داده نشد.</t>
  </si>
  <si>
    <t>خیر</t>
  </si>
  <si>
    <t>حفظ عملکرد حداقل ۹۵٪</t>
  </si>
  <si>
    <t>DEC-S6</t>
  </si>
  <si>
    <t>پس از اجرای تعمیر، اثربخشی جداگانه بررسی شود.</t>
  </si>
  <si>
    <t>ACT-S6</t>
  </si>
  <si>
    <t>DEC-S7</t>
  </si>
  <si>
    <t>درخواست خرید رد و ریسک باقی‌مانده پایش شود.</t>
  </si>
  <si>
    <t>رد</t>
  </si>
  <si>
    <t>محدودیت بودجه فرضی؛ ریسک توقف باقی است</t>
  </si>
  <si>
    <t>برنامه اقدامات اجرایی</t>
  </si>
  <si>
    <t>هر اقدام یک تصمیم مادر دارد. تاریخ‌ها باید تاریخ واقعی Excel با قالب میلادی باشند؛ تاریخ شمسی متنی برای محاسبه موعد استفاده نشود. روز پیشنهادی بدون تاریخ تصویب، موعد قطعی ایجاد نمی‌کند.</t>
  </si>
  <si>
    <t>شناسه اقدام</t>
  </si>
  <si>
    <t>فعالیت اجرایی</t>
  </si>
  <si>
    <t>مسئول</t>
  </si>
  <si>
    <t>روز پیشنهادی</t>
  </si>
  <si>
    <t>موعد مصوب میلادی</t>
  </si>
  <si>
    <t>وضعیت اجرا</t>
  </si>
  <si>
    <t>معیار خاتمه</t>
  </si>
  <si>
    <t>شناسه شاهد اجرا</t>
  </si>
  <si>
    <t>تاریخ اجرا</t>
  </si>
  <si>
    <t>نتیجه اجرا</t>
  </si>
  <si>
    <t>کنترل ارتباط و اجرا</t>
  </si>
  <si>
    <t>وضعیت موعد</t>
  </si>
  <si>
    <t>ارزیابی معتبر</t>
  </si>
  <si>
    <t>وضعیت عملیاتی</t>
  </si>
  <si>
    <t>شروع نشده</t>
  </si>
  <si>
    <t>اجرای فعالیت سناریوی 1</t>
  </si>
  <si>
    <t>در حال اجرا</t>
  </si>
  <si>
    <t>معیار قابل بررسی فرضی</t>
  </si>
  <si>
    <t>اجرای فعالیت سناریوی 2</t>
  </si>
  <si>
    <t>اجرای فعالیت سناریوی 3</t>
  </si>
  <si>
    <t>اجرای فعالیت سناریوی 4</t>
  </si>
  <si>
    <t>اجرای فعالیت سناریوی 6</t>
  </si>
  <si>
    <t>انجام شد</t>
  </si>
  <si>
    <t>تعمیر انجام شد؛ نتیجه عملکرد هنوز ارزیابی نشده</t>
  </si>
  <si>
    <t>مدیریت منابع و تغییرات</t>
  </si>
  <si>
    <t>هزینه و مقدار ناموجود خالی می‌ماند. رد یا تعویق درخواست فقط با دلیل و ریسک باقی‌مانده کامل است.</t>
  </si>
  <si>
    <t>شناسه درخواست</t>
  </si>
  <si>
    <t>تصمیم</t>
  </si>
  <si>
    <t>شرح نیاز / تغییر</t>
  </si>
  <si>
    <t>علت ضرورت</t>
  </si>
  <si>
    <t>نوع منبع</t>
  </si>
  <si>
    <t>درخواست‌کننده</t>
  </si>
  <si>
    <t>برآورد هزینه</t>
  </si>
  <si>
    <t>تصویب / رد / تعویق</t>
  </si>
  <si>
    <t>مقدار مصوب</t>
  </si>
  <si>
    <t>واحد و مبنای هزینه</t>
  </si>
  <si>
    <t>مسئول تأمین</t>
  </si>
  <si>
    <t>زمان موردنیاز</t>
  </si>
  <si>
    <t>وضعیت تأمین</t>
  </si>
  <si>
    <t>اثر مورد انتظار</t>
  </si>
  <si>
    <t>دلیل رد یا تعویق</t>
  </si>
  <si>
    <t>ریسک باقی‌مانده</t>
  </si>
  <si>
    <t>کنترل درخواست</t>
  </si>
  <si>
    <t>RES-01</t>
  </si>
  <si>
    <t>توسعه فضای انبار و جانمایی</t>
  </si>
  <si>
    <t>کمبود فضا و مهلت‌های متعارض در گزارش مبنا</t>
  </si>
  <si>
    <t>زیرساخت / تغییر</t>
  </si>
  <si>
    <t>مدیریت سایت / HSE</t>
  </si>
  <si>
    <t>مترمربع؛ دامنه تأیید شود</t>
  </si>
  <si>
    <t>مدیریت سایت</t>
  </si>
  <si>
    <t>کاهش ریسک انبارش و بهبود جریان مواد</t>
  </si>
  <si>
    <t>RES-S2</t>
  </si>
  <si>
    <t>خرید تجهیز فرضی</t>
  </si>
  <si>
    <t>ضرورت سناریوی فرضی</t>
  </si>
  <si>
    <t>تجهیزات</t>
  </si>
  <si>
    <t>درخواست‌کننده فرضی</t>
  </si>
  <si>
    <t>دستگاه فرضی؛ برآورد هزینه واحد پول فرضی</t>
  </si>
  <si>
    <t>تدارکات فرضی</t>
  </si>
  <si>
    <t>تأمین نشده</t>
  </si>
  <si>
    <t>بهبود فرضی</t>
  </si>
  <si>
    <t>RES-S4</t>
  </si>
  <si>
    <t>حفاظ ایمنی فرضی</t>
  </si>
  <si>
    <t>کنترل ایمنی</t>
  </si>
  <si>
    <t>RES-S7</t>
  </si>
  <si>
    <t>تجهیز جایگزین فرضی</t>
  </si>
  <si>
    <t>محدودیت بودجه فرضی</t>
  </si>
  <si>
    <t>ارزیابی مستقل اثربخشی</t>
  </si>
  <si>
    <t>انجام اقدام یا سپری‌شدن موعد به معنای اثربخشی نیست. ارزیابی اثربخش فقط با تاریخ، ارزیاب، معیار، نتیجه واقعی و شاهد اجرا معتبر می‌شود.</t>
  </si>
  <si>
    <t>شناسه ارزیابی</t>
  </si>
  <si>
    <t>اقدام</t>
  </si>
  <si>
    <t>نتیجه مورد انتظار</t>
  </si>
  <si>
    <t>معیار پذیرش</t>
  </si>
  <si>
    <t>وضعیت اجرای اعلامی</t>
  </si>
  <si>
    <t>شاهد ارزیابی</t>
  </si>
  <si>
    <t>تاریخ بررسی</t>
  </si>
  <si>
    <t>عملکرد پس از اقدام</t>
  </si>
  <si>
    <t>نتیجه ارزیابی</t>
  </si>
  <si>
    <t>ارزیاب</t>
  </si>
  <si>
    <t>اقدام تکمیلی</t>
  </si>
  <si>
    <t>اعتبار ارزیابی</t>
  </si>
  <si>
    <t>EF-S6</t>
  </si>
  <si>
    <t>کاهش توقف پس از تعمیر</t>
  </si>
  <si>
    <t>توقف کمتر از حد فرضی</t>
  </si>
  <si>
    <t>در انتظار زمان ارزیابی</t>
  </si>
  <si>
    <t>پایش ماه بعد</t>
  </si>
  <si>
    <t>صورت‌جلسه و گزارش منتخب مدیریت</t>
  </si>
  <si>
    <t>نوع گزارش و جلسه از تنظیمات انتخاب می‌شود. پیش از جلسه صرفاً پیشنهاد است؛ پس از جلسه فقط تعیین تکلیف‌های معتبر، شامل تصویب، رد و تعویق نمایش می‌یابند. تأیید جلسه شرط عنوان مصوب است.</t>
  </si>
  <si>
    <t>ردیف</t>
  </si>
  <si>
    <t>تصمیم / پیشنهاد</t>
  </si>
  <si>
    <t>موعد</t>
  </si>
  <si>
    <t>داشبورد مدیریتی هلدینگ و شرکت</t>
  </si>
  <si>
    <t>انتخاب شرکت و دوره از 01-تنظیمات؛ «همه واقعی» اطلاعات DEMO را حذف می‌کند. نمودار تعداد رکوردهاست، نه امتیاز انطباق استاندارد.</t>
  </si>
  <si>
    <t>شاخص مدیریتی</t>
  </si>
  <si>
    <t>تعداد</t>
  </si>
  <si>
    <t>تفسیر</t>
  </si>
  <si>
    <t>ورودی‌های ثبت‌شده</t>
  </si>
  <si>
    <t>عدم وجود داده با انطباق اشتباه نشود</t>
  </si>
  <si>
    <t>تصمیمات ثبت‌شده</t>
  </si>
  <si>
    <t>شامل پیشنهادهای تصویب‌نشده</t>
  </si>
  <si>
    <t>تصمیمات تصویب‌شده معتبر</t>
  </si>
  <si>
    <t>دارای تحلیل، دلیل، مسئول/موعد حسب نیاز و مرجع</t>
  </si>
  <si>
    <t>اقدامات معوق</t>
  </si>
  <si>
    <t>فقط موعد واقعی ثبت‌شده؛ اقدامات بدون موعد جدا دیده شوند</t>
  </si>
  <si>
    <t>اقدامات بدون موعد</t>
  </si>
  <si>
    <t>مقدار صفر به‌جای تاریخ استفاده نشود</t>
  </si>
  <si>
    <t>اجراشده بدون اثربخشی</t>
  </si>
  <si>
    <t>انجام شد، تصمیم را خودکار نمی‌بندد</t>
  </si>
  <si>
    <t>اهداف مشتری بدون برنامه مصوب</t>
  </si>
  <si>
    <t>فقط هدف و داده تأییدشده</t>
  </si>
  <si>
    <t>اهداف محیط‌زیستی نیازمند اقدام</t>
  </si>
  <si>
    <t>ارجاع برای تعیین تکلیف مدیریت</t>
  </si>
  <si>
    <t>منابع رد/تعویق با اطلاعات ناقص</t>
  </si>
  <si>
    <t>دلیل و ریسک باقی‌مانده لازم است</t>
  </si>
  <si>
    <t>نتایج مدیریت معتبر</t>
  </si>
  <si>
    <t>تیک مطلوب به‌تنهایی کافی نیست</t>
  </si>
  <si>
    <t>کنترل شواهد پوشش الزامات</t>
  </si>
  <si>
    <t>کنترل پایانی است و داده مبنا را تغییر نمی‌دهد. وضعیت کامل فقط با دامنه تأییدشده، رابطه همان جلسه و شاهد معتبر صادر می‌شود. عدم کاربرد نیازمند توجیه و مرجع تأیید است.</t>
  </si>
  <si>
    <t>کلید کنترل</t>
  </si>
  <si>
    <t>موضوع الزام</t>
  </si>
  <si>
    <t>نوع سابقه</t>
  </si>
  <si>
    <t>شناسه سابقه نتیجه</t>
  </si>
  <si>
    <t>دلیل عدم کاربرد</t>
  </si>
  <si>
    <t>مرجع تأیید عدم کاربرد</t>
  </si>
  <si>
    <t>کنترل پوشش</t>
  </si>
  <si>
    <t>توضیح / اصلاح لازم</t>
  </si>
  <si>
    <t>MR-NIPCO-BASE|Q-I1</t>
  </si>
  <si>
    <t>نیازمند بررسی واقعی و تأیید نسخه</t>
  </si>
  <si>
    <t>MR-DEMO-01|Q-I1</t>
  </si>
  <si>
    <t>MR-NIPCO-BASE|Q-I2</t>
  </si>
  <si>
    <t>MR-DEMO-01|Q-I2</t>
  </si>
  <si>
    <t>MR-NIPCO-BASE|Q-I3</t>
  </si>
  <si>
    <t>MR-DEMO-01|Q-I3</t>
  </si>
  <si>
    <t>MR-NIPCO-BASE|Q-I4</t>
  </si>
  <si>
    <t>MR-DEMO-01|Q-I4</t>
  </si>
  <si>
    <t>MR-NIPCO-BASE|Q-I5</t>
  </si>
  <si>
    <t>MR-DEMO-01|Q-I5</t>
  </si>
  <si>
    <t>MR-NIPCO-BASE|Q-I6</t>
  </si>
  <si>
    <t>MR-DEMO-01|Q-I6</t>
  </si>
  <si>
    <t>MR-NIPCO-BASE|Q-I7</t>
  </si>
  <si>
    <t>MR-DEMO-01|Q-I7</t>
  </si>
  <si>
    <t>MR-NIPCO-BASE|Q-I8</t>
  </si>
  <si>
    <t>MR-DEMO-01|Q-I8</t>
  </si>
  <si>
    <t>MR-NIPCO-BASE|Q-I9</t>
  </si>
  <si>
    <t>MR-DEMO-01|Q-I9</t>
  </si>
  <si>
    <t>MR-NIPCO-BASE|Q-I10</t>
  </si>
  <si>
    <t>MR-DEMO-01|Q-I10</t>
  </si>
  <si>
    <t>MR-NIPCO-BASE|Q-I11</t>
  </si>
  <si>
    <t>MR-DEMO-01|Q-I11</t>
  </si>
  <si>
    <t>MR-NIPCO-BASE|Q-I12</t>
  </si>
  <si>
    <t>MR-DEMO-01|Q-I12</t>
  </si>
  <si>
    <t>MR-NIPCO-BASE|Q-I13</t>
  </si>
  <si>
    <t>MR-DEMO-01|Q-I13</t>
  </si>
  <si>
    <t>MR-NIPCO-BASE|Q-I14</t>
  </si>
  <si>
    <t>MR-DEMO-01|Q-I14</t>
  </si>
  <si>
    <t>MR-NIPCO-BASE|Q-G</t>
  </si>
  <si>
    <t>نتیجه</t>
  </si>
  <si>
    <t>MR-DEMO-01|Q-G</t>
  </si>
  <si>
    <t>MR-NIPCO-BASE|Q-O1</t>
  </si>
  <si>
    <t>MR-DEMO-01|Q-O1</t>
  </si>
  <si>
    <t>MR-NIPCO-BASE|Q-O2</t>
  </si>
  <si>
    <t>MR-DEMO-01|Q-O2</t>
  </si>
  <si>
    <t>MR-NIPCO-BASE|Q-O3</t>
  </si>
  <si>
    <t>MR-DEMO-01|Q-O3</t>
  </si>
  <si>
    <t>MR-NIPCO-BASE|Q-O4</t>
  </si>
  <si>
    <t>MR-DEMO-01|Q-O4</t>
  </si>
  <si>
    <t>MR-NIPCO-BASE|I-G</t>
  </si>
  <si>
    <t>MR-DEMO-01|I-G</t>
  </si>
  <si>
    <t>MR-NIPCO-BASE|I-I1</t>
  </si>
  <si>
    <t>MR-DEMO-01|I-I1</t>
  </si>
  <si>
    <t>MR-NIPCO-BASE|I-I2</t>
  </si>
  <si>
    <t>MR-DEMO-01|I-I2</t>
  </si>
  <si>
    <t>MR-NIPCO-BASE|I-I3</t>
  </si>
  <si>
    <t>MR-DEMO-01|I-I3</t>
  </si>
  <si>
    <t>MR-NIPCO-BASE|I-I4</t>
  </si>
  <si>
    <t>MR-DEMO-01|I-I4</t>
  </si>
  <si>
    <t>MR-NIPCO-BASE|I-I5</t>
  </si>
  <si>
    <t>MR-DEMO-01|I-I5</t>
  </si>
  <si>
    <t>MR-NIPCO-BASE|I-I6</t>
  </si>
  <si>
    <t>MR-DEMO-01|I-I6</t>
  </si>
  <si>
    <t>MR-NIPCO-BASE|I-I7</t>
  </si>
  <si>
    <t>MR-DEMO-01|I-I7</t>
  </si>
  <si>
    <t>MR-NIPCO-BASE|I-I8</t>
  </si>
  <si>
    <t>MR-DEMO-01|I-I8</t>
  </si>
  <si>
    <t>MR-NIPCO-BASE|I-I9</t>
  </si>
  <si>
    <t>MR-DEMO-01|I-I9</t>
  </si>
  <si>
    <t>MR-NIPCO-BASE|I-I10</t>
  </si>
  <si>
    <t>MR-DEMO-01|I-I10</t>
  </si>
  <si>
    <t>MR-NIPCO-BASE|I-I11</t>
  </si>
  <si>
    <t>MR-DEMO-01|I-I11</t>
  </si>
  <si>
    <t>MR-NIPCO-BASE|I-O</t>
  </si>
  <si>
    <t>MR-DEMO-01|I-O</t>
  </si>
  <si>
    <t>MR-NIPCO-BASE|EMS-I1</t>
  </si>
  <si>
    <t>MR-DEMO-01|EMS-I1</t>
  </si>
  <si>
    <t>MR-NIPCO-BASE|EMS-I2</t>
  </si>
  <si>
    <t>MR-DEMO-01|EMS-I2</t>
  </si>
  <si>
    <t>MR-NIPCO-BASE|EMS-I3</t>
  </si>
  <si>
    <t>MR-DEMO-01|EMS-I3</t>
  </si>
  <si>
    <t>MR-NIPCO-BASE|EMS-I4</t>
  </si>
  <si>
    <t>MR-DEMO-01|EMS-I4</t>
  </si>
  <si>
    <t>MR-NIPCO-BASE|EMS-I5</t>
  </si>
  <si>
    <t>MR-DEMO-01|EMS-I5</t>
  </si>
  <si>
    <t>MR-NIPCO-BASE|EMS-I6</t>
  </si>
  <si>
    <t>MR-DEMO-01|EMS-I6</t>
  </si>
  <si>
    <t>MR-NIPCO-BASE|EMS-I7</t>
  </si>
  <si>
    <t>MR-DEMO-01|EMS-I7</t>
  </si>
  <si>
    <t>MR-NIPCO-BASE|EMS-I8</t>
  </si>
  <si>
    <t>MR-DEMO-01|EMS-I8</t>
  </si>
  <si>
    <t>MR-NIPCO-BASE|EMS-I9</t>
  </si>
  <si>
    <t>MR-DEMO-01|EMS-I9</t>
  </si>
  <si>
    <t>MR-NIPCO-BASE|EMS-I10</t>
  </si>
  <si>
    <t>MR-DEMO-01|EMS-I10</t>
  </si>
  <si>
    <t>MR-NIPCO-BASE|EMS-I11</t>
  </si>
  <si>
    <t>MR-DEMO-01|EMS-I11</t>
  </si>
  <si>
    <t>MR-NIPCO-BASE|EMS-I12</t>
  </si>
  <si>
    <t>MR-DEMO-01|EMS-I12</t>
  </si>
  <si>
    <t>MR-NIPCO-BASE|EMS-O1</t>
  </si>
  <si>
    <t>MR-DEMO-01|EMS-O1</t>
  </si>
  <si>
    <t>MR-NIPCO-BASE|EMS-O2</t>
  </si>
  <si>
    <t>MR-DEMO-01|EMS-O2</t>
  </si>
  <si>
    <t>MR-NIPCO-BASE|EMS-O3</t>
  </si>
  <si>
    <t>MR-DEMO-01|EMS-O3</t>
  </si>
  <si>
    <t>MR-NIPCO-BASE|EMS-O4</t>
  </si>
  <si>
    <t>MR-DEMO-01|EMS-O4</t>
  </si>
  <si>
    <t>MR-NIPCO-BASE|EMS-O5</t>
  </si>
  <si>
    <t>MR-DEMO-01|EMS-O5</t>
  </si>
  <si>
    <t>MR-NIPCO-BASE|EMS-O6</t>
  </si>
  <si>
    <t>MR-DEMO-01|EMS-O6</t>
  </si>
  <si>
    <t>MR-NIPCO-BASE|EMS-O7</t>
  </si>
  <si>
    <t>MR-DEMO-01|EMS-O7</t>
  </si>
  <si>
    <t>MR-NIPCO-BASE|EMS-O8</t>
  </si>
  <si>
    <t>MR-DEMO-01|EMS-O8</t>
  </si>
  <si>
    <t>MR-NIPCO-BASE|OHS-I1</t>
  </si>
  <si>
    <t>MR-DEMO-01|OHS-I1</t>
  </si>
  <si>
    <t>MR-NIPCO-BASE|OHS-I2</t>
  </si>
  <si>
    <t>MR-DEMO-01|OHS-I2</t>
  </si>
  <si>
    <t>MR-NIPCO-BASE|OHS-I3</t>
  </si>
  <si>
    <t>MR-DEMO-01|OHS-I3</t>
  </si>
  <si>
    <t>MR-NIPCO-BASE|OHS-I4</t>
  </si>
  <si>
    <t>MR-DEMO-01|OHS-I4</t>
  </si>
  <si>
    <t>MR-NIPCO-BASE|OHS-I5</t>
  </si>
  <si>
    <t>MR-DEMO-01|OHS-I5</t>
  </si>
  <si>
    <t>MR-NIPCO-BASE|OHS-I6</t>
  </si>
  <si>
    <t>MR-DEMO-01|OHS-I6</t>
  </si>
  <si>
    <t>MR-NIPCO-BASE|OHS-I7</t>
  </si>
  <si>
    <t>MR-DEMO-01|OHS-I7</t>
  </si>
  <si>
    <t>MR-NIPCO-BASE|OHS-I8</t>
  </si>
  <si>
    <t>MR-DEMO-01|OHS-I8</t>
  </si>
  <si>
    <t>MR-NIPCO-BASE|OHS-I9</t>
  </si>
  <si>
    <t>MR-DEMO-01|OHS-I9</t>
  </si>
  <si>
    <t>MR-NIPCO-BASE|OHS-I10</t>
  </si>
  <si>
    <t>MR-DEMO-01|OHS-I10</t>
  </si>
  <si>
    <t>MR-NIPCO-BASE|OHS-I11</t>
  </si>
  <si>
    <t>MR-DEMO-01|OHS-I11</t>
  </si>
  <si>
    <t>MR-NIPCO-BASE|OHS-I12</t>
  </si>
  <si>
    <t>MR-DEMO-01|OHS-I12</t>
  </si>
  <si>
    <t>MR-NIPCO-BASE|OHS-I13</t>
  </si>
  <si>
    <t>MR-DEMO-01|OHS-I13</t>
  </si>
  <si>
    <t>MR-NIPCO-BASE|OHS-O1</t>
  </si>
  <si>
    <t>MR-DEMO-01|OHS-O1</t>
  </si>
  <si>
    <t>MR-NIPCO-BASE|OHS-O2</t>
  </si>
  <si>
    <t>MR-DEMO-01|OHS-O2</t>
  </si>
  <si>
    <t>MR-NIPCO-BASE|OHS-O3</t>
  </si>
  <si>
    <t>MR-DEMO-01|OHS-O3</t>
  </si>
  <si>
    <t>MR-NIPCO-BASE|OHS-O4</t>
  </si>
  <si>
    <t>MR-DEMO-01|OHS-O4</t>
  </si>
  <si>
    <t>MR-NIPCO-BASE|OHS-O5</t>
  </si>
  <si>
    <t>MR-DEMO-01|OHS-O5</t>
  </si>
  <si>
    <t>MR-NIPCO-BASE|OHS-O6</t>
  </si>
  <si>
    <t>MR-DEMO-01|OHS-O6</t>
  </si>
  <si>
    <t>MR-NIPCO-BASE|OHS-O7</t>
  </si>
  <si>
    <t>MR-DEMO-01|OHS-O7</t>
  </si>
  <si>
    <t>MR-NIPCO-BASE|OHS-O8</t>
  </si>
  <si>
    <t>MR-DEMO-01|OHS-O8</t>
  </si>
  <si>
    <t>MR-NIPCO-BASE|OHS-O9</t>
  </si>
  <si>
    <t>MR-DEMO-01|OHS-O9</t>
  </si>
  <si>
    <t>مستندات، پیوست‌ها و منابع رسمی</t>
  </si>
  <si>
    <t>لینک اینترنتی برای مراجعه اختیاری است؛ محاسبات فایل آفلاین‌اند. شواهد واقعی باید شناسه و محل بازیابی مشخص در سیستم تضمین داشته باشند.</t>
  </si>
  <si>
    <t>شناسه سند</t>
  </si>
  <si>
    <t>مسیر / پیوند</t>
  </si>
  <si>
    <t>نسخه / تاریخ</t>
  </si>
  <si>
    <t>مالک</t>
  </si>
  <si>
    <t>وضعیت دسترسی</t>
  </si>
  <si>
    <t>توضیح و محدودیت</t>
  </si>
  <si>
    <t>دو فایل مبنا</t>
  </si>
  <si>
    <t>HSE و LOG موجود در مخزن</t>
  </si>
  <si>
    <t>https://github.com/bagherbolandi/Management-Review</t>
  </si>
  <si>
    <t>دو blob ثبت‌شده در سوابق مبنا</t>
  </si>
  <si>
    <t>تضمین کیفیت</t>
  </si>
  <si>
    <t>دریافت شده</t>
  </si>
  <si>
    <t>منبع روایت؛ فایل پایش شاخص‌ها دریافت نشده</t>
  </si>
  <si>
    <t>DOC-E01</t>
  </si>
  <si>
    <t>پیوست سازمان</t>
  </si>
  <si>
    <t>فایل پایش شاخص‌های دوره</t>
  </si>
  <si>
    <t>مالکان شاخص / تضمین کیفیت</t>
  </si>
  <si>
    <t>در سیستم تضمین؛ بازیابی نشده</t>
  </si>
  <si>
    <t>مرجع معتبر به اعلام کاربر؛ دریافت نشده</t>
  </si>
  <si>
    <t>DOC-E02</t>
  </si>
  <si>
    <t>گزارش R-NP-14031201 و نتایج پایش</t>
  </si>
  <si>
    <t>تاریخ و دوره باید با اصل گزارش تطبیق یابد</t>
  </si>
  <si>
    <t>DOC-E03</t>
  </si>
  <si>
    <t>گزارش ممیزی 5S و چک‌لیست‌های IMS</t>
  </si>
  <si>
    <t>HSE / تضمین کیفیت</t>
  </si>
  <si>
    <t>ذکر پیوست در منبع؛ نگهداری در سیستم تضمین</t>
  </si>
  <si>
    <t>DOC-E04</t>
  </si>
  <si>
    <t>گزارش ممیزی داخلی و خارجی و پیگیری یافته‌ها</t>
  </si>
  <si>
    <t>شناسه، تاریخ و دامنه لازم است</t>
  </si>
  <si>
    <t>DOC-E05</t>
  </si>
  <si>
    <t>پارتوی کلیم و بازرسی جامع ابعادی</t>
  </si>
  <si>
    <t>کنترل کیفیت</t>
  </si>
  <si>
    <t>ذکر پیوست در منبع؛ بازیابی نشده</t>
  </si>
  <si>
    <t>DOC-E06</t>
  </si>
  <si>
    <t>گواهینامه‌ها و دامنه و نسخه الزامات مشتری</t>
  </si>
  <si>
    <t>برای تعیین ویرایش استانداردها لازم است</t>
  </si>
  <si>
    <t>DOC-E07</t>
  </si>
  <si>
    <t>صورت‌جلسه قبلی و مصوبات منابع</t>
  </si>
  <si>
    <t>دبیر بازنگری / مدیریت</t>
  </si>
  <si>
    <t>وضعیت و تأیید اثربخشی لازم است</t>
  </si>
  <si>
    <t>DOC-E08</t>
  </si>
  <si>
    <t>طرح جانمایی و برنامه الحاق فضا</t>
  </si>
  <si>
    <t>مهندسی / مدیریت سایت</t>
  </si>
  <si>
    <t>تاریخ‌های متعارض در منبع</t>
  </si>
  <si>
    <t>DOC-E09</t>
  </si>
  <si>
    <t>سوابق MSA، SPC و مشخصات مطالعه</t>
  </si>
  <si>
    <t>کیفیت / مهندسی</t>
  </si>
  <si>
    <t>دامنه و حدود پذیرش تکمیل شود</t>
  </si>
  <si>
    <t>DOC-E10</t>
  </si>
  <si>
    <t>فهرست تعهدات و ارزیابی انطباق</t>
  </si>
  <si>
    <t>برای تفسیر درصدهای انطباق لازم است</t>
  </si>
  <si>
    <t>DOC-E11</t>
  </si>
  <si>
    <t>حوادث، شبه‌حوادث، مانور و مشارکت کارکنان</t>
  </si>
  <si>
    <t>HSE / منابع انسانی</t>
  </si>
  <si>
    <t>نتایج تفصیلی در بسته نیست</t>
  </si>
  <si>
    <t>DOC-E12</t>
  </si>
  <si>
    <t>گزارش هزینه کیفیت و داده مالی</t>
  </si>
  <si>
    <t>مالی</t>
  </si>
  <si>
    <t>مخرج و تطبیق اجزا لازم است</t>
  </si>
  <si>
    <t>شاهد فرضی سناریو</t>
  </si>
  <si>
    <t>شاهد آموزشی؛ سند واقعی نیست</t>
  </si>
  <si>
    <t>فقط آزمون منطق</t>
  </si>
  <si>
    <t>مرجع عمومی</t>
  </si>
  <si>
    <t>استاندارد / اطلاعیه رسمی</t>
  </si>
  <si>
    <t>https://www.iso.org/standard/9001</t>
  </si>
  <si>
    <t>بررسی 2026-10-19</t>
  </si>
  <si>
    <t>منبع عمومی بررسی شد</t>
  </si>
  <si>
    <t>انتشار 2026-09-16 تأیید شد؛ متن کامل مجاز دریافت نشد.</t>
  </si>
  <si>
    <t>https://www.iso.org/standard/14001</t>
  </si>
  <si>
    <t>نسخه ۲۰۲۶ منتشرشده؛ تطبیق متن کامل و انتقال شرکت باز است.</t>
  </si>
  <si>
    <t>https://www.iso.org/standard/45001</t>
  </si>
  <si>
    <t>نسخه ۲۰۱۸ جاری؛ اصلاحیه اقلیم ۲۰۲۴؛ بازنگری بعدی در دست تدوین.</t>
  </si>
  <si>
    <t>وضعیت ویرایش دوم IATF</t>
  </si>
  <si>
    <t>https://www.iatfglobaloversight.org/wp/wp-content/uploads/2026/07/Stakeholder-Communique-SC-2026-005_IATF-16949-2nd-Edition-status.pdf</t>
  </si>
  <si>
    <t>اطلاعیه ژوئیه ۲۰۲۶: انتشار برنامه‌ریزی‌شده میانه ۲۰۲۷؛ زمان‌بندی قطعی نیست.</t>
  </si>
  <si>
    <t>IATF SIs نوامبر ۲۰۲۵</t>
  </si>
  <si>
    <t>https://www.iatfglobaloversight.org/wp/wp-content/uploads/2025/11/IATF-16949-SIs-Nov-2025.pdf</t>
  </si>
  <si>
    <t>مجموعه جاری نمایش‌داده‌شده در وبگاه رسمی بررسی شد؛ SI16 در ماتریس لحاظ شده است.</t>
  </si>
  <si>
    <t>روابط چندبه‌چند</t>
  </si>
  <si>
    <t>هر ردیف فقط یک ارتباط دارد. چند ورودی یا الزام با ردیف‌های جدا به یک تصمیم متصل می‌شوند؛ شناسه‌های جداشده با ویرگول برای کنترل رابطه استفاده نمی‌شوند.</t>
  </si>
  <si>
    <t>شناسه رابطه</t>
  </si>
  <si>
    <t>نوع مقصد</t>
  </si>
  <si>
    <t>شناسه مقصد</t>
  </si>
  <si>
    <t>کنترل رابطه</t>
  </si>
  <si>
    <t>L-0</t>
  </si>
  <si>
    <t>L-1</t>
  </si>
  <si>
    <t>L-2</t>
  </si>
  <si>
    <t>L-3</t>
  </si>
  <si>
    <t>L-4</t>
  </si>
  <si>
    <t>L-5</t>
  </si>
  <si>
    <t>L-6</t>
  </si>
  <si>
    <t>L-7</t>
  </si>
  <si>
    <t>L-8</t>
  </si>
  <si>
    <t>L-9</t>
  </si>
  <si>
    <t>L-10</t>
  </si>
  <si>
    <t>L-11</t>
  </si>
  <si>
    <t>L-12</t>
  </si>
  <si>
    <t>L-13</t>
  </si>
  <si>
    <t>L-14</t>
  </si>
  <si>
    <t>L-15</t>
  </si>
  <si>
    <t>L-16</t>
  </si>
  <si>
    <t>L-17</t>
  </si>
  <si>
    <t>L-18</t>
  </si>
  <si>
    <t>L-19</t>
  </si>
  <si>
    <t>L-20</t>
  </si>
  <si>
    <t>L-21</t>
  </si>
  <si>
    <t>L-22</t>
  </si>
  <si>
    <t>الزام</t>
  </si>
  <si>
    <t>L-23</t>
  </si>
  <si>
    <t>L-24</t>
  </si>
  <si>
    <t>L-25</t>
  </si>
  <si>
    <t>L-26</t>
  </si>
  <si>
    <t>L-27</t>
  </si>
  <si>
    <t>L-28</t>
  </si>
  <si>
    <t>L-29</t>
  </si>
  <si>
    <t>L-30</t>
  </si>
  <si>
    <t>L-31</t>
  </si>
  <si>
    <t>L-32</t>
  </si>
  <si>
    <t>L-33</t>
  </si>
  <si>
    <t>L-34</t>
  </si>
  <si>
    <t>L-MULTI</t>
  </si>
  <si>
    <t>L-MULTI2</t>
  </si>
  <si>
    <t>L-MULTI3</t>
  </si>
  <si>
    <t>سناریوها و آزمون منطق فایل</t>
  </si>
  <si>
    <t>همه سناریوهای S فرضی‌اند و با شرکت DEMO ذخیره شده‌اند. نتایج زیر پس از اجرای آزمون واقعی فرمول‌ها ثبت می‌شوند؛ داده اصلی در آزمون تغییر نمی‌کند.</t>
  </si>
  <si>
    <t>سناریو</t>
  </si>
  <si>
    <t>انتظار</t>
  </si>
  <si>
    <t>نتیجه آزمون</t>
  </si>
  <si>
    <t>کنترل انجام‌شده</t>
  </si>
  <si>
    <t>S1</t>
  </si>
  <si>
    <t>PPM مشتری بدون برنامه مصوب</t>
  </si>
  <si>
    <t>هشدار IATF فعال؛ پس از تصویب و برنامه معتبر رفع شود</t>
  </si>
  <si>
    <t>قبول در موتور محاسبه</t>
  </si>
  <si>
    <t>S1-initial: IATF: هدف مشتری؛ برنامه مصوب ندارد
S1-approved: برنامه مشتری ثبت شده؛ پایش اجرا لازم</t>
  </si>
  <si>
    <t>S2</t>
  </si>
  <si>
    <t>تأمین تجهیز ظرفیت</t>
  </si>
  <si>
    <t>تصمیم، درخواست منبع و اقدام به هم متصل باشند</t>
  </si>
  <si>
    <t>S2-resource: معتبر</t>
  </si>
  <si>
    <t>S3</t>
  </si>
  <si>
    <t>هدف مصرف انرژی محقق نشده</t>
  </si>
  <si>
    <t>برنامه مصوب موجود قابل شناسایی باشد؛ با حذف ارتباط هشدار فعال شود</t>
  </si>
  <si>
    <t>S3-plan: اقدام محیط‌زیستی ثبت شده
S3-missing-link: هدف محیط‌زیستی؛ تعیین اقدام لازم</t>
  </si>
  <si>
    <t>S4</t>
  </si>
  <si>
    <t>خطر ایمنی و منابع کنترلی</t>
  </si>
  <si>
    <t>منبع به تصمیم متصل؛ ابلاغ بدون شاهد ناقص بماند</t>
  </si>
  <si>
    <t>S4-communication: ابلاغ یا شاهد ناقص</t>
  </si>
  <si>
    <t>S5</t>
  </si>
  <si>
    <t>هدف محقق و عدم نیاز تغییر</t>
  </si>
  <si>
    <t>تعیین تکلیف مستند بدون اقدام پذیرفته شود</t>
  </si>
  <si>
    <t>S5-no-action: تعیین تکلیف مستند؛ بدون اقدام</t>
  </si>
  <si>
    <t>S6</t>
  </si>
  <si>
    <t>اجرای اقدام بدون اثربخشی</t>
  </si>
  <si>
    <t>تصمیم بسته نشود؛ انتخاب اثربخش بدون شاهد رد شود</t>
  </si>
  <si>
    <t>S6-open: اجراشده؛ اثربخشی تأیید نشده
S6-false-claim: ادعای اثربخشی فاقد شاهد
S6-complete: بسته؛ اثربخش</t>
  </si>
  <si>
    <t>S7</t>
  </si>
  <si>
    <t>رد منبع بدون ریسک باقی‌مانده</t>
  </si>
  <si>
    <t>هشدار نقص؛ پس از ثبت ریسک رفع شود</t>
  </si>
  <si>
    <t>S7-missing-risk: رد/تعویق؛ دلیل یا ریسک ناقص
S7-with-risk: معتبر</t>
  </si>
  <si>
    <t>جلسات و دوره‌های مستقل</t>
  </si>
  <si>
    <t>یک شناسه پایدار برای هر شرکت و جلسه؛ سوابق دوره قبل پاک یا بازنویسی نشوند. مرز دوره، تاریخ و مرجع تصویب به‌صورت مستقل ثبت می‌شوند.</t>
  </si>
  <si>
    <t>کد دوره</t>
  </si>
  <si>
    <t>تاریخ جلسه</t>
  </si>
  <si>
    <t>شروع دوره</t>
  </si>
  <si>
    <t>پایان دوره</t>
  </si>
  <si>
    <t>وضعیت جلسه</t>
  </si>
  <si>
    <t>تصویب‌کننده</t>
  </si>
  <si>
    <t>حاضرین</t>
  </si>
  <si>
    <t>توضیح دوره</t>
  </si>
  <si>
    <t>کنترل جلسه</t>
  </si>
  <si>
    <t>پیش‌نویس</t>
  </si>
  <si>
    <t>تکمیل شود</t>
  </si>
  <si>
    <t>مرداد تا مرداد، پس از مجمع؛ سال و روز دقیق تأیید شود</t>
  </si>
  <si>
    <t>مدیریت فرضی</t>
  </si>
  <si>
    <t>افراد فرضی</t>
  </si>
  <si>
    <t>سناریوهای آموزشی؛ داده واقعی نیست</t>
  </si>
  <si>
    <t>MR-DEMO-02</t>
  </si>
  <si>
    <t>P-DEMO-2</t>
  </si>
  <si>
    <t>نمونه دوره دوم برای آزمون تفکیک سوابق</t>
  </si>
  <si>
    <t>دامنه و ویرایش قابل اعمال هر شرکت</t>
  </si>
  <si>
    <t>انتشار استاندارد جدید با نسخه جاری گواهینامه شرکت یکسان نیست. IATF 2016 با تمام تغییرات ISO 9001:2026 خودکار معادل فرض نشده است.</t>
  </si>
  <si>
    <t>کلید شرکت و سیستم</t>
  </si>
  <si>
    <t>قابل اعمال؟</t>
  </si>
  <si>
    <t>نسخه جاری شرکت</t>
  </si>
  <si>
    <t>گواهینامه / دامنه</t>
  </si>
  <si>
    <t>وضعیت و برنامه انتقال</t>
  </si>
  <si>
    <t>دلیل کاربرد / عدم کاربرد</t>
  </si>
  <si>
    <t>مرجع تأیید دامنه</t>
  </si>
  <si>
    <t>تطبیق نسخه و متن</t>
  </si>
  <si>
    <t>NIPCO|QMS</t>
  </si>
  <si>
    <t>برنامه انتقال شرکت باید تأیید شود</t>
  </si>
  <si>
    <t>دامنه استانداردها به اعلام کاربر</t>
  </si>
  <si>
    <t>NIPCO|IATF</t>
  </si>
  <si>
    <t>NIPCO|EMS</t>
  </si>
  <si>
    <t>NIPCO|OHS</t>
  </si>
  <si>
    <t>DEMO|QMS</t>
  </si>
  <si>
    <t>ISO 9001:2015؛ فرضی</t>
  </si>
  <si>
    <t>فرضی؛ بدون گواهینامه واقعی</t>
  </si>
  <si>
    <t>سناریوی آموزشی</t>
  </si>
  <si>
    <t>DEMO|IATF</t>
  </si>
  <si>
    <t>IATF 16949:2016؛ فرضی</t>
  </si>
  <si>
    <t>DEMO|EMS</t>
  </si>
  <si>
    <t>ISO 14001:2015؛ فرضی</t>
  </si>
  <si>
    <t>DEMO|OHS</t>
  </si>
  <si>
    <t>ISO 45001:2018؛ فرضی</t>
  </si>
  <si>
    <t>سوابق مبنا؛ بدون تغییر اطلاعات تاریخی</t>
  </si>
  <si>
    <t>این پیوست صرفاً سابقه ورودی است. برای ثبت تصمیم جدید از بانک 07 استفاده شود. همه اعداد گزارش‌های اصلی، حتی مقادیر متعارض، در این سوابق باقی مانده‌اند.</t>
  </si>
  <si>
    <t>فایل</t>
  </si>
  <si>
    <t>کاربرگ</t>
  </si>
  <si>
    <t>سلول</t>
  </si>
  <si>
    <t>محتوای منبع</t>
  </si>
  <si>
    <t>قالب / مرجع</t>
  </si>
  <si>
    <t>SOURCE</t>
  </si>
  <si>
    <t>H.S.E 1405 03.xlsx؛ blob 1126178d4554d388074c901a6fbe9982112ae1ba</t>
  </si>
  <si>
    <t>https://github.com/bagherbolandi/Management-Review/blob/main/H.S.E%201405%2003.xlsx</t>
  </si>
  <si>
    <t>LOG</t>
  </si>
  <si>
    <t>LOG 404 MAIN.xlsx؛ blob 20764e840da2a561f1043cd446c16497be372a83</t>
  </si>
  <si>
    <t>https://github.com/bagherbolandi/Management-Review/blob/main/LOG%20404%20MAIN.xlsx</t>
  </si>
  <si>
    <t>README</t>
  </si>
  <si>
    <t>محتوا</t>
  </si>
  <si>
    <t># Management-Review</t>
  </si>
  <si>
    <t>فقط عنوان مخزن</t>
  </si>
  <si>
    <t>ISO</t>
  </si>
  <si>
    <t>مرجع تفسیری</t>
  </si>
  <si>
    <t>تفکیک سوابق نتایج بازنگری از شواهد پشتیبان؛ نسخه ۲۰۲۴</t>
  </si>
  <si>
    <t>https://committee.iso.org/files/live/sites/tc207sc1/files/ISO%2014001_2015%20TC207%20SC1%20reviewed%20interpretations%202024.pdf</t>
  </si>
  <si>
    <t>SI16؛ نتایج مرحله‌ای طراحی و توسعه؛ نسخه آوریل ۲۰۲۱، برای مبنای تطبیق نه ادعای آخرین ویرایش</t>
  </si>
  <si>
    <t>https://www.iatfglobaloversight.org/wp/wp-content/uploads/2021/04/IATF-16949-SIs-April-2021.pdf</t>
  </si>
  <si>
    <t>15</t>
  </si>
  <si>
    <t>C1</t>
  </si>
  <si>
    <t>بازنگری مدیریت (H.S.E) براساس الزامات I.M.S</t>
  </si>
  <si>
    <t>General</t>
  </si>
  <si>
    <t>N1</t>
  </si>
  <si>
    <t>تاریخ</t>
  </si>
  <si>
    <t>O1</t>
  </si>
  <si>
    <t>='1'!O1</t>
  </si>
  <si>
    <t>N2</t>
  </si>
  <si>
    <t>صفحه</t>
  </si>
  <si>
    <t>O2</t>
  </si>
  <si>
    <t>='14'!O2+1</t>
  </si>
  <si>
    <t>A3</t>
  </si>
  <si>
    <t>خروجی  بازنگری مدیریت</t>
  </si>
  <si>
    <t>N3</t>
  </si>
  <si>
    <t>O3</t>
  </si>
  <si>
    <t>A5</t>
  </si>
  <si>
    <t>C5</t>
  </si>
  <si>
    <t>ادامه اخذ گرید A</t>
  </si>
  <si>
    <t>N5</t>
  </si>
  <si>
    <t>مسولیت مدیریت/ کلیه فرایندها</t>
  </si>
  <si>
    <t>O5</t>
  </si>
  <si>
    <t>1405</t>
  </si>
  <si>
    <t>A6</t>
  </si>
  <si>
    <t>C6</t>
  </si>
  <si>
    <t>درخواست تغییر در ساختار اتوماسیون به گونه ای که پاسخ های که منجر به اثر بخشی نباشد به صادر کننده عودت گردد</t>
  </si>
  <si>
    <t>N6</t>
  </si>
  <si>
    <t>تضمین/IT</t>
  </si>
  <si>
    <t>O6</t>
  </si>
  <si>
    <t>1405/12</t>
  </si>
  <si>
    <t>A7</t>
  </si>
  <si>
    <t>C7</t>
  </si>
  <si>
    <t>پایش مستمر شاخص های مشتری و صدور اقدام اصلاحی در صورت بروز افزایش ppm</t>
  </si>
  <si>
    <t>N7</t>
  </si>
  <si>
    <t>بازرسی / آزمون</t>
  </si>
  <si>
    <t>O7</t>
  </si>
  <si>
    <t>ماهیانه</t>
  </si>
  <si>
    <t>A8</t>
  </si>
  <si>
    <t>رویدادها</t>
  </si>
  <si>
    <t>C8</t>
  </si>
  <si>
    <t>تدوین برنامه مدونی با چشم انداز چند ساله  برای تقویت و ارتقا پرسنل های چند مهارتی/ در صورت امکان job rotation</t>
  </si>
  <si>
    <t>N8</t>
  </si>
  <si>
    <t>O8</t>
  </si>
  <si>
    <t>A9</t>
  </si>
  <si>
    <t>پایش</t>
  </si>
  <si>
    <t>C9</t>
  </si>
  <si>
    <t>براساس گزارش شماره R-NP-14031201 به تاریخ اول اسفندماه 1403 انجام شده است و نوبت بعدی در سال 1404انجام خواهد شد .</t>
  </si>
  <si>
    <t>N9</t>
  </si>
  <si>
    <t>اداری/ بهداشت و محیط زیست</t>
  </si>
  <si>
    <t>O9</t>
  </si>
  <si>
    <t>A10</t>
  </si>
  <si>
    <t>انطباق</t>
  </si>
  <si>
    <t>C10</t>
  </si>
  <si>
    <t>براساس نتایج ممیزی داخلی - ممیزی های سوم شخص و ممیزی 5S بررسی و گزارش می گردد .</t>
  </si>
  <si>
    <t>N10</t>
  </si>
  <si>
    <t>O10</t>
  </si>
  <si>
    <t>A11</t>
  </si>
  <si>
    <t>ممیزی</t>
  </si>
  <si>
    <t>C11</t>
  </si>
  <si>
    <t>برنامه ممیزی براساس الزامات I.M.S جهت مدت زمان سه سال تدوین شده است و اجرا می گردد .</t>
  </si>
  <si>
    <t>N11</t>
  </si>
  <si>
    <t>Q.A</t>
  </si>
  <si>
    <t>O11</t>
  </si>
  <si>
    <t>A12</t>
  </si>
  <si>
    <t>مشارکت</t>
  </si>
  <si>
    <t>C12</t>
  </si>
  <si>
    <t>براساس الزامات استاندارد I.M.S در واحد ایمنی و بهداشت انجام می گدد .</t>
  </si>
  <si>
    <t>N12</t>
  </si>
  <si>
    <t>O12</t>
  </si>
  <si>
    <t>A13</t>
  </si>
  <si>
    <t>ریسک ها و فرصت ها</t>
  </si>
  <si>
    <t>C13</t>
  </si>
  <si>
    <t>N13</t>
  </si>
  <si>
    <t>O13</t>
  </si>
  <si>
    <t>A17</t>
  </si>
  <si>
    <t>شماره فرم : MA-F-19</t>
  </si>
  <si>
    <t>D17</t>
  </si>
  <si>
    <t>شماره بروزرسانی : 0</t>
  </si>
  <si>
    <t>J17</t>
  </si>
  <si>
    <t>تاریخ بروز رسانی : 99/05/10</t>
  </si>
  <si>
    <t>14</t>
  </si>
  <si>
    <t>بازنگری مدیریت (H.S.E)</t>
  </si>
  <si>
    <t>5</t>
  </si>
  <si>
    <t>ورودی بازنگری مدیریت</t>
  </si>
  <si>
    <t>C3</t>
  </si>
  <si>
    <t>هدف</t>
  </si>
  <si>
    <t>D3</t>
  </si>
  <si>
    <t>E3</t>
  </si>
  <si>
    <t>شاخص دوره قبل</t>
  </si>
  <si>
    <t>F3</t>
  </si>
  <si>
    <t>شاخص این دوره</t>
  </si>
  <si>
    <t>G3</t>
  </si>
  <si>
    <t>تحلیل و بررسی</t>
  </si>
  <si>
    <t>K3</t>
  </si>
  <si>
    <t>اقدام پیشنهادی/منابع مورد نیاز</t>
  </si>
  <si>
    <t>عملکرد ضمانت</t>
  </si>
  <si>
    <t>در حوزهای ایمنی و بهداشت - از اداره های قانونی و الزامات مقرارتی - عدم انطباق با الزامات گزارش نگردیده است .</t>
  </si>
  <si>
    <t>H.S.E</t>
  </si>
  <si>
    <t>پیوسته</t>
  </si>
  <si>
    <t>بازنگری  کارنامه H.S.E
درحوزه پایش</t>
  </si>
  <si>
    <t>در صفحه شش گزارش - موارد مربوط به پایش و اندازه گیری ثبت گردیده است .
جهت موارد عدم انطباق در گزارش باید اقدامات اصلاحی تعریف گردد و پیگیری های لازم جهت بهبود شرایط انجام گردد .
البته لازم به ذکر است به دلیل - برنامه ریزی سازمان جهت بهبود فضای سالن های تولید ؛ بسته بندی و ... و اضافه شدن فضای شرکت ایمن ایستاالکتریک 
موارد مربوط به پیاده سازی بهبود جریان مواد کالا - به تاریخ بعد از الحاق فضای شرکت ایمن ایستاالکتریک به شرکت نورایستاپلاستیک انجام خواهد گردید .</t>
  </si>
  <si>
    <t>اثر بخشی ممیزی ها</t>
  </si>
  <si>
    <t>متاسفانه اقدامات اصلاحی صادره ، به خوبی از سوی مالکان فرایندها تجزیه و تحلیل نمیگردد و صرفا اقداماتی جهت بسته شدن اقدام اصلاحی تعریف میگردد که منجر به بروز ایرادات تکراری چه در سطح سازمان و چه در نزد مشتری میگردد ، از آنجا که در ساختار اقدام اصلاحی موجود در سیستم اتوماسیون باکس اثربخش اقدام تعریف نشده است لذا بسته شدن اقدام معادل با اثربخش بودن تعریف میگردد</t>
  </si>
  <si>
    <t>K11</t>
  </si>
  <si>
    <t>تضمین/ IT</t>
  </si>
  <si>
    <t>1404/12</t>
  </si>
  <si>
    <t>A14</t>
  </si>
  <si>
    <t>خرابی های بالقوه  در حوزه ایمنی و بهداشت و محیط زیست   شناسایی شده از طریق تحلیل ریسک</t>
  </si>
  <si>
    <t>C14</t>
  </si>
  <si>
    <t>خرابی های بالقوه عرصه مصرف در قالب PFMEA بررسی و ارزیابی میگردد و در صورت صدور شکایت از سوی مشتریان ضمن صدور 8D و تحلیل و ریشه یابی ، در صورت لزوم  PFMEA به روز میگردد</t>
  </si>
  <si>
    <t>N14</t>
  </si>
  <si>
    <t>O14</t>
  </si>
  <si>
    <t>خرابی های بالفعل حوزه ایمنی و بهداشت و محیط زیست  و تاثیر آنها بر ایمنی و محیط زیست</t>
  </si>
  <si>
    <t>C17</t>
  </si>
  <si>
    <t>در حوزه خرابی های بالفعل عرصه حوزه ایمنی و بهداشت و محیط زیست  : ارتباط سازمان با مراجع قانونی ذی صلاح می باشد تا در صورت تغییرات در محدوده پذیرش الزمات قانونی - در اسرع وقت در سازمان اصلاح گردد .</t>
  </si>
  <si>
    <t>N17</t>
  </si>
  <si>
    <t>اداری</t>
  </si>
  <si>
    <t>O17</t>
  </si>
  <si>
    <t>A21</t>
  </si>
  <si>
    <t>D21</t>
  </si>
  <si>
    <t>J21</t>
  </si>
  <si>
    <t>8-9</t>
  </si>
  <si>
    <t>4</t>
  </si>
  <si>
    <t>پایش واندازه گیری</t>
  </si>
  <si>
    <t>B5</t>
  </si>
  <si>
    <t>اندازه گیری ذرات معلق ریز در هوا</t>
  </si>
  <si>
    <t>براساس گزارش شماره R-NP-14031201 به تاریخ اول اسفندماه 1405 انجام شده است و نوبت بعدی در سال 1406انجام خواهد شد .</t>
  </si>
  <si>
    <t>K5</t>
  </si>
  <si>
    <t>بهبود شرایط محیطی سالن تولید و کارگاه های پشتیبانی براساس چک لیست جدید 5S</t>
  </si>
  <si>
    <t>B7</t>
  </si>
  <si>
    <t>ارتعاشات</t>
  </si>
  <si>
    <t>B9</t>
  </si>
  <si>
    <t>رطوبت</t>
  </si>
  <si>
    <t>B11</t>
  </si>
  <si>
    <t>صدا</t>
  </si>
  <si>
    <t>B13</t>
  </si>
  <si>
    <t>روشنایی</t>
  </si>
  <si>
    <t>B15</t>
  </si>
  <si>
    <t>حوزه آتش نشانی و اطفاء و اعلان حریق</t>
  </si>
  <si>
    <t>C15</t>
  </si>
  <si>
    <t>نیازمند بازنگری طرح جانمایی سازمان بعداز انتقال شرکت ایمن ایستاالکتریک به محل جدید و اضافه شدن محوطه شرکت ایمن ایستابه شرکت نورایستاپلاستیک</t>
  </si>
  <si>
    <t>B17</t>
  </si>
  <si>
    <t>آب آشامیدنی</t>
  </si>
  <si>
    <t>با استقرار سیستم تصفیه آب - کیفیت آب تحت کنترل می باشد .</t>
  </si>
  <si>
    <t>B19</t>
  </si>
  <si>
    <t>معاینات طب کار</t>
  </si>
  <si>
    <t>C19</t>
  </si>
  <si>
    <t>هرسال یکبار انجام می گردد.</t>
  </si>
  <si>
    <t>C21</t>
  </si>
  <si>
    <t>روش اجرای مشاوره و مشارکت کارکنان با کد شماره H.S.E- P-05 براساس الزامات I.M.S بروزرسانی گردیده است و مستندات مرتبط تکمیل می گردد .</t>
  </si>
  <si>
    <t>K21</t>
  </si>
  <si>
    <t>برگزاری جلسات مشاوره کارکنان</t>
  </si>
  <si>
    <t>A25</t>
  </si>
  <si>
    <t>B25</t>
  </si>
  <si>
    <t>انسانی</t>
  </si>
  <si>
    <t>C25</t>
  </si>
  <si>
    <t>جهت بررسی کفایت منابع در حوزه ایمنی و بهداشت و محیط زیست 
براساس چک لیست بازنگری شده 5S که در آن الزامات استانداردهای ISO14001,ISO45001 نیز لحاظ گردیده است و گزارش آن به پیوست می باشد 
در حال حاضر میانگین انطباق سازمان در حدود 50 درصد می باشد و نیازمند ارتقاء سیستم می باشد و باید منابع و زیرساخت سازمان ارتقاء پیدا کند .
البته نکته مهم و حائز اهمیت این است در اولین اقدام باید تغییرات طرح جانمایی با اضافه شدن محوطه ایمن ایستاالکتریک بروز رسانی گردد .</t>
  </si>
  <si>
    <t>N25</t>
  </si>
  <si>
    <t>منابع/آموزش</t>
  </si>
  <si>
    <t>O25</t>
  </si>
  <si>
    <t>B26</t>
  </si>
  <si>
    <t>تجهیزاتی</t>
  </si>
  <si>
    <t>B30</t>
  </si>
  <si>
    <t>پایش و اندازه گیری</t>
  </si>
  <si>
    <t>B31</t>
  </si>
  <si>
    <t>فضا</t>
  </si>
  <si>
    <t>C33</t>
  </si>
  <si>
    <t>N33</t>
  </si>
  <si>
    <t>O33</t>
  </si>
  <si>
    <t>N34</t>
  </si>
  <si>
    <t>O34</t>
  </si>
  <si>
    <t>=O2+1</t>
  </si>
  <si>
    <t>A35</t>
  </si>
  <si>
    <t>C35</t>
  </si>
  <si>
    <t>D35</t>
  </si>
  <si>
    <t>E35</t>
  </si>
  <si>
    <t>F35</t>
  </si>
  <si>
    <t>G35</t>
  </si>
  <si>
    <t>K35</t>
  </si>
  <si>
    <t>N35</t>
  </si>
  <si>
    <t>O35</t>
  </si>
  <si>
    <t>A37</t>
  </si>
  <si>
    <t>اثر بخشی اقدامات انجام شده در پرداختن به ریسک و فرصت ها</t>
  </si>
  <si>
    <t>C37</t>
  </si>
  <si>
    <t>مهمترین ریسک در شرایط کنونی: عدم بروزرسانی طرح جانمایی سازمان و استقرار سیستم های ایمنی و بهداشت در سالن تولید و مسیر های لجستیکی</t>
  </si>
  <si>
    <t>O37</t>
  </si>
  <si>
    <t>A41</t>
  </si>
  <si>
    <t>D41</t>
  </si>
  <si>
    <t>J41</t>
  </si>
  <si>
    <t>3</t>
  </si>
  <si>
    <t>ممیزی داخلی درحوزه H.S.E</t>
  </si>
  <si>
    <t>توليد</t>
  </si>
  <si>
    <t>استناد به ممیزی 5S و پایش سطح انطباق سازمان با الزامات استاندارد I.M.S شامل ISO14001,ISO45001 
در حوزه منابع انسانی
پیوست</t>
  </si>
  <si>
    <t>0%</t>
  </si>
  <si>
    <t>G5</t>
  </si>
  <si>
    <t>بدلیل کمبود فضا و نبود انبار نیم ساخته مشکلات فوق ، ایجاد شده است</t>
  </si>
  <si>
    <t>با ساخت پالت های برنامه ریزی شده و فضای حاصل از جابجایی سایت ایمن ایستاالکتریک ، مشکل تا حدود زیادی مرتفع میشود</t>
  </si>
  <si>
    <t>مدیریت عامل/ بازرگانی</t>
  </si>
  <si>
    <t>B6</t>
  </si>
  <si>
    <t>منابع انسانی</t>
  </si>
  <si>
    <t>G6</t>
  </si>
  <si>
    <t>عدم تکمیل نیاز سنجی آموزشی</t>
  </si>
  <si>
    <t>K6</t>
  </si>
  <si>
    <t>تکمیل نیاز سنجی</t>
  </si>
  <si>
    <t>1405/012</t>
  </si>
  <si>
    <t>خرید داخلی</t>
  </si>
  <si>
    <t>عدم به روز بودن طرح اقتضایی/ ناقص بودن فرم ریسک تامین کنندگان/ ناقص بودن تست ریپورت های در یافتی/ اثر بخش نبودن اقدامات توسعه تامین کنندگان/عدم وجود پایش عملکرد (شرکت های پایا پلاست و پلیمر تدبیر نیکان)/ناقص بودن فرم استاندارد سفارش گذاری ( نبودن شیلد حرارتی و ورق smc)</t>
  </si>
  <si>
    <t>G7</t>
  </si>
  <si>
    <t>K7</t>
  </si>
  <si>
    <t>B8</t>
  </si>
  <si>
    <t>خرید خارجی</t>
  </si>
  <si>
    <t>عدم به روز بودن ریسک ها و طرح های اقتضایی                              عدم تکمیل فرم استاندارد سفارش گذاری و حمل</t>
  </si>
  <si>
    <t>G8</t>
  </si>
  <si>
    <t>K8</t>
  </si>
  <si>
    <t>D11</t>
  </si>
  <si>
    <t>E11</t>
  </si>
  <si>
    <t>F11</t>
  </si>
  <si>
    <t>G11</t>
  </si>
  <si>
    <t>بازرسي و آزمون</t>
  </si>
  <si>
    <t>استناد به ممیزی 5S و پایش سطح انطباق سازمان با الزامات استاندارد I.M.S شامل ISO14001,ISO45001 
در حوزه بازرسی و آزمون
پیوست</t>
  </si>
  <si>
    <t>G13</t>
  </si>
  <si>
    <t>عدم تکمیل نیاز سنجی آموزشی بر اساس الزامات استاندارد جامع</t>
  </si>
  <si>
    <t>K13</t>
  </si>
  <si>
    <t>B14</t>
  </si>
  <si>
    <t>فروش و بازنگری قرارداد</t>
  </si>
  <si>
    <t>در این دوره ممیزی نگردید</t>
  </si>
  <si>
    <t>استناد به ممیزی 5S و پایش سطح انطباق سازمان با الزامات استاندارد I.M.S شامل ISO14001,ISO45001 
در حوزه نگهداری و تعمیرات 
پیوست</t>
  </si>
  <si>
    <t>G15</t>
  </si>
  <si>
    <t>K15</t>
  </si>
  <si>
    <t>B16</t>
  </si>
  <si>
    <t>برنامه ریزی</t>
  </si>
  <si>
    <t>C16</t>
  </si>
  <si>
    <t>استناد به ممیزی 5S و پایش سطح انطباق سازمان با الزامات استاندارد I.M.S شامل ISO14001,ISO45001 
در حوزه برنامه ریزی
پیوست</t>
  </si>
  <si>
    <t>G16</t>
  </si>
  <si>
    <t>K16</t>
  </si>
  <si>
    <t>فرم بازنگری مدیریت</t>
  </si>
  <si>
    <t>N18</t>
  </si>
  <si>
    <t>O18</t>
  </si>
  <si>
    <t>=O10+1</t>
  </si>
  <si>
    <t>A19</t>
  </si>
  <si>
    <t>D19</t>
  </si>
  <si>
    <t>E19</t>
  </si>
  <si>
    <t>F19</t>
  </si>
  <si>
    <t>G19</t>
  </si>
  <si>
    <t>K19</t>
  </si>
  <si>
    <t>N19</t>
  </si>
  <si>
    <t>O19</t>
  </si>
  <si>
    <t>B21</t>
  </si>
  <si>
    <t>امور مهندسی</t>
  </si>
  <si>
    <t>G21</t>
  </si>
  <si>
    <t>A22</t>
  </si>
  <si>
    <t>D22</t>
  </si>
  <si>
    <t>J22</t>
  </si>
  <si>
    <t>C23</t>
  </si>
  <si>
    <t>N23</t>
  </si>
  <si>
    <t>O23</t>
  </si>
  <si>
    <t>='1'!O7</t>
  </si>
  <si>
    <t>N24</t>
  </si>
  <si>
    <t>O24</t>
  </si>
  <si>
    <t>=O16+1</t>
  </si>
  <si>
    <t>D25</t>
  </si>
  <si>
    <t>E25</t>
  </si>
  <si>
    <t>F25</t>
  </si>
  <si>
    <t>G25</t>
  </si>
  <si>
    <t>K25</t>
  </si>
  <si>
    <t>A27</t>
  </si>
  <si>
    <t>B27</t>
  </si>
  <si>
    <t>مسئولیت مدیریت /تضمین کیفیت</t>
  </si>
  <si>
    <t>C27</t>
  </si>
  <si>
    <t>*برنامه حسابرسی داخلی تدوین نشده است. *موارد چک لیست به طور کامل با استاندارد مطابقت ندارند و شواهد حسابرسی به درستی مستند نشده است.
*باید مروری بر مطالعات زمینه سازمانی - شامل عوامل داخلی و خارجی و استراتژی‌های کسب‌وکار - انجام شود.
*خط مشی سیستم مدیریت یکپارچه باید بررسی و با الزامات استانداردهای ISO 45001 و ISO 14001 همسو شود.
*برنامه‌ای برای دستیابی به اهداف تعریف نشده است.
*سند شناسایی نیازها و انتظارات ذینفعان باید اصلاح شود و همه ذینفعان شناسایی شوند.</t>
  </si>
  <si>
    <t>G27</t>
  </si>
  <si>
    <t>عدم تکمیل نیاز سنجی مربوط به پیاده سازی الزامات سیستم مدیریت جامع</t>
  </si>
  <si>
    <t>K27</t>
  </si>
  <si>
    <t>N27</t>
  </si>
  <si>
    <t>منابع /کلیه فرآیندها</t>
  </si>
  <si>
    <t>O27</t>
  </si>
  <si>
    <t>1405/09</t>
  </si>
  <si>
    <t>A28</t>
  </si>
  <si>
    <t>D28</t>
  </si>
  <si>
    <t>J28</t>
  </si>
  <si>
    <t>2</t>
  </si>
  <si>
    <t>='1'!O2+1</t>
  </si>
  <si>
    <t>عملکرد فرایند و انطباق الزامات و خدمات درحوزه H.S.E</t>
  </si>
  <si>
    <t>30</t>
  </si>
  <si>
    <t>D5</t>
  </si>
  <si>
    <t>45</t>
  </si>
  <si>
    <t>E5</t>
  </si>
  <si>
    <t>43</t>
  </si>
  <si>
    <t>F5</t>
  </si>
  <si>
    <t>35</t>
  </si>
  <si>
    <t>Q5</t>
  </si>
  <si>
    <t>کارا</t>
  </si>
  <si>
    <t>0.04</t>
  </si>
  <si>
    <t>D6</t>
  </si>
  <si>
    <t>0.08</t>
  </si>
  <si>
    <t>E6</t>
  </si>
  <si>
    <t>0.07</t>
  </si>
  <si>
    <t>F6</t>
  </si>
  <si>
    <t>Q6</t>
  </si>
  <si>
    <t>اث</t>
  </si>
  <si>
    <t>95</t>
  </si>
  <si>
    <t>D7</t>
  </si>
  <si>
    <t>80</t>
  </si>
  <si>
    <t>E7</t>
  </si>
  <si>
    <t>83</t>
  </si>
  <si>
    <t>F7</t>
  </si>
  <si>
    <t>شش ماهه</t>
  </si>
  <si>
    <t>Q7</t>
  </si>
  <si>
    <t>90</t>
  </si>
  <si>
    <t>D8</t>
  </si>
  <si>
    <t>70</t>
  </si>
  <si>
    <t>E8</t>
  </si>
  <si>
    <t>F8</t>
  </si>
  <si>
    <t>86</t>
  </si>
  <si>
    <t>Q8</t>
  </si>
  <si>
    <t>D9</t>
  </si>
  <si>
    <t>E9</t>
  </si>
  <si>
    <t>71</t>
  </si>
  <si>
    <t>F9</t>
  </si>
  <si>
    <t>Q9</t>
  </si>
  <si>
    <t>B10</t>
  </si>
  <si>
    <t>D10</t>
  </si>
  <si>
    <t>85</t>
  </si>
  <si>
    <t>E10</t>
  </si>
  <si>
    <t>91.45</t>
  </si>
  <si>
    <t>F10</t>
  </si>
  <si>
    <t>95.73</t>
  </si>
  <si>
    <t>Q10</t>
  </si>
  <si>
    <t>76</t>
  </si>
  <si>
    <t>96.2</t>
  </si>
  <si>
    <t>سالیانه</t>
  </si>
  <si>
    <t>Q11</t>
  </si>
  <si>
    <t>B12</t>
  </si>
  <si>
    <t>D12</t>
  </si>
  <si>
    <t>E12</t>
  </si>
  <si>
    <t>F12</t>
  </si>
  <si>
    <t>Q12</t>
  </si>
  <si>
    <t>D13</t>
  </si>
  <si>
    <t>E13</t>
  </si>
  <si>
    <t>F13</t>
  </si>
  <si>
    <t>Q13</t>
  </si>
  <si>
    <t>D14</t>
  </si>
  <si>
    <t>E14</t>
  </si>
  <si>
    <t>F14</t>
  </si>
  <si>
    <t>تیم CFT</t>
  </si>
  <si>
    <t>Q14</t>
  </si>
  <si>
    <t>D15</t>
  </si>
  <si>
    <t>E15</t>
  </si>
  <si>
    <t>0.821</t>
  </si>
  <si>
    <t>0.00%</t>
  </si>
  <si>
    <t>F15</t>
  </si>
  <si>
    <t>0.846</t>
  </si>
  <si>
    <t>N15</t>
  </si>
  <si>
    <t>O15</t>
  </si>
  <si>
    <t>Q15</t>
  </si>
  <si>
    <t>A16</t>
  </si>
  <si>
    <t>D16</t>
  </si>
  <si>
    <t>J16</t>
  </si>
  <si>
    <t>1</t>
  </si>
  <si>
    <t>فرم بازنگری مدیریت (H.S.E)</t>
  </si>
  <si>
    <t>1405/05/22</t>
  </si>
  <si>
    <t>A4</t>
  </si>
  <si>
    <t>وضعیت اقدامات بازنگری مدیریت قبلی</t>
  </si>
  <si>
    <t>B4</t>
  </si>
  <si>
    <t>فرصتهای بهبود :</t>
  </si>
  <si>
    <t>C4</t>
  </si>
  <si>
    <t>پیاده سازی الزامات I.M.S و اخذ گواهی نامه استاندارد</t>
  </si>
  <si>
    <t>G4</t>
  </si>
  <si>
    <t>درسال 1403 ممیزی در حوزه پیاده سازی الزامات I.M.S انجام شده است 
و موارد در سه حوزه انطباق و عدم انطباق و فرصت بهبود دسته بندی شده است .</t>
  </si>
  <si>
    <t>K4</t>
  </si>
  <si>
    <t>تدوین مستندات در حوزه I.M.S و جاری سازی آن در سازمان</t>
  </si>
  <si>
    <t>N4</t>
  </si>
  <si>
    <t>کلیه فرایندها</t>
  </si>
  <si>
    <t>O4</t>
  </si>
  <si>
    <t>نیازمندیهای منابع:</t>
  </si>
  <si>
    <t>تغییرات در سیستم مدیریت کیفیت:</t>
  </si>
  <si>
    <t>اضافه شدن الزامات I.M.S در حوزه مستندات مدیریت کیفیت</t>
  </si>
  <si>
    <t>تغییر در مسایل داخلی و خارجی سیستم استانداردI.M.S</t>
  </si>
  <si>
    <t>مسایل داخلی</t>
  </si>
  <si>
    <t>تعیین موارد پسماند درسازمان نورایستاپلاستیک وتعیین حوزه های ایمنی و زیست محیطی</t>
  </si>
  <si>
    <t>مالی /کلیه فرآیندها</t>
  </si>
  <si>
    <t>کنترل و کاهش و بهینه کردن مصارف برق ؛ گاز – گازوئیل</t>
  </si>
  <si>
    <t>بهینه کردن موارد مرتبط با رنگ</t>
  </si>
  <si>
    <t>حوزه مرتبط با تولید قطعات کامپوزیتی با استفاده از پسماند</t>
  </si>
  <si>
    <t>تعریف پایش واندازه گیری : براساس آیین نامه شماره 1570 انجام می گردد</t>
  </si>
  <si>
    <t>موارد مربوط به حوزه ایمنی و بهداشت  -آیین نامه های  اداری دولتی</t>
  </si>
  <si>
    <t>مسایل خارجی</t>
  </si>
  <si>
    <t>B20</t>
  </si>
  <si>
    <t>اداره بهداشت</t>
  </si>
  <si>
    <t>C20</t>
  </si>
  <si>
    <t>100</t>
  </si>
  <si>
    <t>D20</t>
  </si>
  <si>
    <t>E20</t>
  </si>
  <si>
    <t>88.3</t>
  </si>
  <si>
    <t>F20</t>
  </si>
  <si>
    <t>91.13</t>
  </si>
  <si>
    <t>رضایت مشتری خارجی</t>
  </si>
  <si>
    <t>اداره محیط زیست</t>
  </si>
  <si>
    <t>E21</t>
  </si>
  <si>
    <t>F21</t>
  </si>
  <si>
    <t>B22</t>
  </si>
  <si>
    <t>اداره کار</t>
  </si>
  <si>
    <t>C22</t>
  </si>
  <si>
    <t>E22</t>
  </si>
  <si>
    <t>92.4</t>
  </si>
  <si>
    <t>F22</t>
  </si>
  <si>
    <t>94.93</t>
  </si>
  <si>
    <t>A23</t>
  </si>
  <si>
    <t>رضایت ذینفعان</t>
  </si>
  <si>
    <t>B23</t>
  </si>
  <si>
    <t>سهامداران</t>
  </si>
  <si>
    <t>با توجه به تعهدات سال 1404 سازمان به سهامداران و برگزاری مجمع ، تعهدات تعیین شده محقق شده است.</t>
  </si>
  <si>
    <t>مدیریت</t>
  </si>
  <si>
    <t>B24</t>
  </si>
  <si>
    <t>کارکنان</t>
  </si>
  <si>
    <t>C24</t>
  </si>
  <si>
    <t>در قسمت شاخص های سازمانی به این مطلب اشاره شده است</t>
  </si>
  <si>
    <t>جامعه عام</t>
  </si>
  <si>
    <t>در قسمت شاخص های سازمانی (PPMخدمات پس از فروش) وخرابی های بالقوه عرصه مصرف شناسایی شده از طریق تحلیل ریسک به آن اشاره شده است</t>
  </si>
  <si>
    <t>تضمین کیفیت/مهندسی</t>
  </si>
  <si>
    <t>جامعه خاص</t>
  </si>
  <si>
    <t>C26</t>
  </si>
  <si>
    <t>در حوزه اداره کار، بیمه ، مالیات ، شهرداری ، شهرکهای صنعتی و محیط زیست مشکلی وجود نداشته است</t>
  </si>
  <si>
    <t>N26</t>
  </si>
  <si>
    <t>در حوزه شرکت های صنعتی هم جوار  مشکلی وجود نداشته است</t>
  </si>
  <si>
    <t>B28</t>
  </si>
  <si>
    <t>C28</t>
  </si>
  <si>
    <t>در حوزه شرکتهای معتبر صدور گواهی نامه لیفتراک+بالابر+جراثقال سقی  مشکلی وجود نداشته است</t>
  </si>
  <si>
    <t>N28</t>
  </si>
  <si>
    <t>B29</t>
  </si>
  <si>
    <t>C29</t>
  </si>
  <si>
    <t>در حوزه  شرکتهای معتبر صدور گواهی نامه سلامت کپسول های آتش نشانی و مخازن تحت  فشار و تست هیدرو استاتیک و شرکتهای معتبر صدور گواهی نامه  چاه ارت مشکلی وجود نداشته است</t>
  </si>
  <si>
    <t>N29</t>
  </si>
  <si>
    <t>A30</t>
  </si>
  <si>
    <t>میزان برآورده شدن دستیابی به اهداف کلان
درحوزه I.M.S</t>
  </si>
  <si>
    <t>C30</t>
  </si>
  <si>
    <t>D30</t>
  </si>
  <si>
    <t>E30</t>
  </si>
  <si>
    <t>82.43</t>
  </si>
  <si>
    <t>N30</t>
  </si>
  <si>
    <t>A31</t>
  </si>
  <si>
    <t>D31</t>
  </si>
  <si>
    <t>J31</t>
  </si>
  <si>
    <t>0</t>
  </si>
  <si>
    <t>A40</t>
  </si>
  <si>
    <t>امضاء مدیرعامل</t>
  </si>
  <si>
    <t>21</t>
  </si>
  <si>
    <t>شاخصهای لجستیکی</t>
  </si>
  <si>
    <t>مدیریت ، برنامه ریزی</t>
  </si>
  <si>
    <t>مالی - انبار</t>
  </si>
  <si>
    <t>گردش مالی موجودی  (ITR) سال 1402 انبار محصول=117.85  سالیانه</t>
  </si>
  <si>
    <t>مالی/فروش</t>
  </si>
  <si>
    <t>تحویل به موقع هدف  (OTD)= 100%</t>
  </si>
  <si>
    <t>H7</t>
  </si>
  <si>
    <t>95.11</t>
  </si>
  <si>
    <t>فروش</t>
  </si>
  <si>
    <t>مهندسی</t>
  </si>
  <si>
    <t>زمانهای انتظار لجستیکی . در برگه های فرایند لحاظ گردیده است   ولی به مرحله پایش نرسیده است. ( اجرا نگردیده است )</t>
  </si>
  <si>
    <t>مهندسی - تولید</t>
  </si>
  <si>
    <t>انحراف از برنامه تولید</t>
  </si>
  <si>
    <t>تحقق برنامه تولید = 88/29</t>
  </si>
  <si>
    <t>هزینه های لجستکی</t>
  </si>
  <si>
    <t>با توجه به نبود زیر ساختهای لجستیکی مالی  نیاز به ایجاد زیر ساخت دارد</t>
  </si>
  <si>
    <t>A18</t>
  </si>
  <si>
    <t>D18</t>
  </si>
  <si>
    <t>J18</t>
  </si>
  <si>
    <t>مدیریت برنامه ریزی</t>
  </si>
  <si>
    <t>پیگیری ساخت رک و پالت  جهت محصولات مایان و ریرا</t>
  </si>
  <si>
    <t>مدیریت گزینش اپراتور تولیدی خصوصا 6 ماهه دوم سال و خصوصا سه ماهه زمستان - در سه شیفت نیاز به 12 نفر نیرو جهت امور ربات و موارد مختلف است</t>
  </si>
  <si>
    <t>افزایش مهارت نیروی انسانی در خصوص نکات خاص لجستیکی و زمانهای انتظار و اقتصادی بودن پالتها و انباشتهای بین ایستگاهی و انبارهای مواد اولیه و محصول آموزش موارد آدیت لایه ای ،FR  جهت پرسنل تولیدی جهت توانمند سازی منابع انسانی تولیدی</t>
  </si>
  <si>
    <t>نیازمندی های منابع با توجه به چشم انداز سال 1405</t>
  </si>
  <si>
    <t>خریداری سه عدد ربات و انتقال به کارخانه سایت 1(به منظور افزایش ظرفیت تولید و کاهش زمان های انتظار و هزینه های کیفی)</t>
  </si>
  <si>
    <t>بازرگانی /مهندسی</t>
  </si>
  <si>
    <t>ساخت قالب دوم برای قطعات تک قالب جهت کاهش ریسک توقف تولید(- قالب سینی فن دنا ( دنا معمولی /دناپلاس ) -- قالب بیم تقویتی کوییک - قالب سینی فن 206 .)</t>
  </si>
  <si>
    <t>تحقیق و توسعه 
/بازرگانی /مهندسی</t>
  </si>
  <si>
    <t>ساخت به طور متوسط 40 پالت در ماه ( با توجه به کاهش سفارش مشتری براساس پیش بینی فروش مهرماه 1402 متوقف گردیده است )</t>
  </si>
  <si>
    <t>بازرگانی(تدارکات)</t>
  </si>
  <si>
    <t>تکمیل ساخت فضای انبار نیم ساخته/ مواد اولیه مربوط به سایت 2</t>
  </si>
  <si>
    <t>مدیریت سایت 2</t>
  </si>
  <si>
    <t>تکمیلفرآیند خریداری و نصب پرس پانچ سوم مربوط به سایت 2</t>
  </si>
  <si>
    <t>تشکیل کمیته 5S و اجرای آن/ جذب کارمند آموزش</t>
  </si>
  <si>
    <t>19</t>
  </si>
  <si>
    <t>بسته بندی و برچسب زنی</t>
  </si>
  <si>
    <t>قابلیت ردیابی از بعد از انجام عملیات پرس ناقص می باشد و قرار شده با خرید کامپیوتر در خط تولید مورد مذکور و گزارشات تولیدی اتوماسیون شود.
محصولات شرکت از مواد اولیه برچسب شناسایی خورده و بعد از اولین مرحله تولید ( پرس) بارکد روی محصول نصب می شود و تا محصول نهایی بارکد روی محصول تا رسیدن دست مشتری حفظ می شود . بارکدها یکه می باشد . محصول در سایر مراحل تولید توسط پالت مخصوص حمل شده و توسط برگ سفر قابل ردیابی و تعیین وضعیت می باشد. در مرحله بسته بندی بصورت کامل تمیز شده  با حفظ بارکد تحویل انبار محصول نهایی می شود .</t>
  </si>
  <si>
    <t>تولید</t>
  </si>
  <si>
    <t>حمل و نقل</t>
  </si>
  <si>
    <t>حمل و نقل از قسمت اعظم مواد اولیه تا انبار محصول نهایی توسط خود شرکت صورت می گیرد . از انبار محصول نهایی برای مونتاژ یا مشتری قسمتی توسط خود شرکت و قسمتی توسط حاملهای حائز شرایط صورت می گیرد . با توجه به اینکه بیشتر زنجیره تامین از مواد اولیه تا محصول نهایی توسط شرکتهای هلدینگ صورت می گیرد لذا فرایند یکپارچه سازی و استفاددر خصوص بحث حمل و نقل مشکل سوخت خودروهای سنگین است که در حال حاد شدن است. و در حال اندیشیدن تمهیداتی جهت تسهیل مورد فوق . البته ظاهرا موضوع کشوری است.ه از ظرفیت کامل حامل به خوبی استفاده می شود.</t>
  </si>
  <si>
    <t>تامین - فروش</t>
  </si>
  <si>
    <t>دریافت و ارسال</t>
  </si>
  <si>
    <t>دریافت و ارسال توسط انبار مواد اولیه و انبار محصول نهایی صورت می گیرد .
بار انداز دریافت و ارسال در محل شرکت جهت تخلیه و بارگیری در دو محل جداگانه صورت می گیرد و تداخل ورود و خروج به بارانداز زمان بارگیری و تخلیه ندارد و نیروهای دریافت و ارسال مستقل عمل می کنند . 
دریافت زیر نظر برنامه ریزی صورت می گیرد و ارسال تحت نظر فروش می باشد و در این زمینه حتی تداخل مدیریت ندارد . 
جهت میزان تولید و ارسال به انبار محصول نهایی همانطور که قبلا گفته شد . سیاست تولید کانبانی نیست و بصورت تولید انبوه می باشد.
دریافت  کالا ها از طریف انبار محصول و مواد اولیه  هنگام دریافت و ارسال نیاز به چک لیست دریافت و ارسال دارد  . الزامات لجستیکی ساپکو  . زمانهای بارگیری و تخلیه و منابع  آنها قابل ارزیابی و تعیین کفایت نمی کند . کار صورت می گیرد ولی قابل ارزیابی نیست.</t>
  </si>
  <si>
    <t>برنامه ریزی و فروش</t>
  </si>
  <si>
    <t>انبارش و نگهداری</t>
  </si>
  <si>
    <t>هر یک از مواد اولیه و محصول با توجه به شرایط تعریف شده از طرف واحد مهندسی . بصورت کاملا علمی و تحت کنترل طبق دستورالعمل چیدمان و انبارش نگهداری و حفظ می شوند . جهت موارد حاد که تولید با توجه به دستور مدیریت و برنامه ریزی بصورت انبوه می باشد. با هماهنگی از طرح های اقتضایی استفاده می شود . با توجه به تحویل به موقع بالا و شرایط مطلوب شاخص فوق این شرکت توانسته از بین تامین کنندگان به موقعیت برتری دست یابد .و با توجه به انواع ریسکهای تولیدی و حمل و نقل امتیاز صددرصد را نصیب خود نماید.  انبارش و نگهداری کالا و مواد اولیه شرایط مطلوبی دارد ولی نیاز به یک روش جهت ارزیابی سنجش منابع دارد .</t>
  </si>
  <si>
    <t>تولید - برنامه ریزی - فروش</t>
  </si>
  <si>
    <t>18</t>
  </si>
  <si>
    <t>در خصوص موارد مرتبط با ریسکها طرحهای مختلف اقتضایی پیش بینی شده . خصوصا در مورد قطع برق ژنراتور تهیه شده که بمحض قطع جریان برق وارد مدار شده و به میزان تولید لطمه وارد نمی شود . 
در مورد سایر موارد از قبیل لیفتراک و منابع انسانی و انواع حامل ها پیش بینی های لازم صورت گرفته است .
ریسک حملات سایبری که هنوز به مرحله قابل قبولی نرسیده و در حال پیگیری می باشد.</t>
  </si>
  <si>
    <t>صاحب فرایندها</t>
  </si>
  <si>
    <t>ریسک برنامه ریزی</t>
  </si>
  <si>
    <t>تبدیل تولید کششی به انبوه (MASS PRODUCTION ) به این روش انبار محصول نهایی همیشه بیشتر از موجودی برای ارسال خواهد داشت و در صورت ایجاد مشکل در تولید ، این انباشته میتواند برای تحویل به موقع مناسب باشد.ریسک فضای انبارش که با توجه به افزودن فضای شرقی قابل جبران است. و در حال انجام. شرکت ایمن ایستا به شرکت نیپکو اضافه می شود</t>
  </si>
  <si>
    <t>برنامه ریزی و مدیریت</t>
  </si>
  <si>
    <t>تولید و کنترل محصول</t>
  </si>
  <si>
    <t>با توجه به اهمیت تولید و منابع مورد نیاز آن تمهیدات لازم از قبیل لجستیک داخلی و پالتها و رک های مخصوص طراحی شده و ایستگاه به ایستگاه شناسایی و تعیین وضعیت محصول بخوبی انجام می شود و زمانهای انتظار محاسبه شده و در برگه های فرایند آورده شده است.
بعنوان مثال  1200 ثانیه زمان ورود  مواد اولیه تا رسیدن به انبار محصول نهایی می باشد . بر اساس تولید یک محصول و متوسط زمانهای ایستگاهی تولید و انتظار . کمبود منابع انسانی بارز ترین عامل ریسک تولید است و با تمهیدات اندیشیده شده برای نگهداشت نیروی جذب شده در حال جبران است ولی اثربخشی لازم راندارد.</t>
  </si>
  <si>
    <t>برنامه ریزی تامین</t>
  </si>
  <si>
    <t>با توجه به گستردگی دامنه تولید محصولات یکپارچگی تامین و زنجیره آن اهمیت زیادی داشته و قسمت اصلی زنجیره در هلدینگ می باشد . بطور مثال جریان ماده اصلی سینی فن که   SMC می باشد بصورت روزانه محموله ها از شرکت پایاپلاست ایرانیان وارد شرکت می شود . 
لجستیک خارجی توسط خود شرکت صورت می گیرد و با توجه به نزدیکی تامین کننده قادر به انجام ورود محموله بصورت حتی برخط می باشد. 
یا اغلب موارد مونتاژی شرکت نیپکو در خود شهر صنعتی اشتهارد  تامین می شود و توسط امکانات لجستیکی خود شرکت صورت می گیرد.  ارزیابی تامین کنندگان و ساختار تامین کننده یک ریسک می باشد که بعلت کمبود نیروی کارشناسی در شرکت اصلی در واحد خرید مورد مذکور با تعلل روبرو است.</t>
  </si>
  <si>
    <t>تامین</t>
  </si>
  <si>
    <t>17</t>
  </si>
  <si>
    <t>بازنگری مدیریت بر اساس الزامات خاص لجستیک ساپکو</t>
  </si>
  <si>
    <t>بینش ، راهبرد</t>
  </si>
  <si>
    <t>مستند سازی الزامات لجستیک ساپکو</t>
  </si>
  <si>
    <t>تدوین فرایندها بصورت  فلوچارت  در خصوص فرایندهایی که بیشترین ارتباط با موارد لجستیکی دارند . فرایند مسئولیت مدیریت ، فروش ، انبارهای مواد اولیه و محصول که دریافت و ارسال را شامل می شوند . فرایند برنامه ریزی ، خرید و تدارکات و تولید</t>
  </si>
  <si>
    <t>ادامه بازنگری روشهای اجرا ئی و دستورالعملها در راستای پوشش الزامات لجستیکی ساپکو  و</t>
  </si>
  <si>
    <t>ورژن دوم  ISSR-V2  که در دست اقدام می باشد.</t>
  </si>
  <si>
    <t>اطلاعات  فروش</t>
  </si>
  <si>
    <t>بر اساس پیش بینی فروش</t>
  </si>
  <si>
    <t>483192</t>
  </si>
  <si>
    <t>SMC=</t>
  </si>
  <si>
    <t>H11</t>
  </si>
  <si>
    <t>1211352</t>
  </si>
  <si>
    <t>I11</t>
  </si>
  <si>
    <t>LFT=</t>
  </si>
  <si>
    <t>J11</t>
  </si>
  <si>
    <t>پیش بینی تعداد روزهای کاری</t>
  </si>
  <si>
    <t>M11</t>
  </si>
  <si>
    <t>231</t>
  </si>
  <si>
    <t>تعداد پالتهای ارسالی</t>
  </si>
  <si>
    <t>81952</t>
  </si>
  <si>
    <t>تداد پالتهای دریافتی</t>
  </si>
  <si>
    <t>H12</t>
  </si>
  <si>
    <t>81651</t>
  </si>
  <si>
    <t>I12</t>
  </si>
  <si>
    <t>نیازمندی پالتهای در جریان بصورت امانی</t>
  </si>
  <si>
    <t>L12</t>
  </si>
  <si>
    <t>301</t>
  </si>
  <si>
    <t>M12</t>
  </si>
  <si>
    <t>پالت</t>
  </si>
  <si>
    <t>منابع  برنامه ریزی</t>
  </si>
  <si>
    <t>طبق اطلاعات واحد برنامه ریزی</t>
  </si>
  <si>
    <t>تعداد تولید</t>
  </si>
  <si>
    <t>637025</t>
  </si>
  <si>
    <t>646522</t>
  </si>
  <si>
    <t>G14</t>
  </si>
  <si>
    <t>H14</t>
  </si>
  <si>
    <t>برای سال 1405</t>
  </si>
  <si>
    <t>J14</t>
  </si>
  <si>
    <t>تعداد روزهای مورد نیاز</t>
  </si>
  <si>
    <t>M14</t>
  </si>
  <si>
    <t>311=</t>
  </si>
  <si>
    <t>متوسط حضور  پرسنل تولید 144 نفر برای سال 1404 نیاز است که کسری با توجه به اضافه کاری برطرف می شود. ولی در شش ماهه دوم نیاز به افزایش پرسنل تولیدی متوسط 171 نفر خواهد بود .کسری نیروی  با افزایش روزهای کاری قابل جبران می باشدو</t>
  </si>
  <si>
    <t>پالت تراک از طریق  پیمانکاران  در حال ساخت می باشد .</t>
  </si>
  <si>
    <t>قرار بر این شد تا پایان اردیبهشت سال 1406  شرکت ایمن ایستا در ضلع شرقی به شرکت نیپکو اضافه شود.</t>
  </si>
  <si>
    <t>منابع انسانی عامل کاهش تولید است و تمهیدات زیادی اندیشده شده ولی کماکان مشکل ادامه دارد و یک موضوع کشوری است.</t>
  </si>
  <si>
    <t>فرصت های برای بهبود</t>
  </si>
  <si>
    <t>درخواست تغییر در ساختار اتوماسیون به گونه ای که پاسخ های که منجر به اثر بخشی نباشد به صادر کننده عودت گردد
ارزیابی اجرای سیستم مدیریت کیفیت به صورت مستمر و بررسی پیاده سازی سیستم مدیریت کیفیت در فرآیندها</t>
  </si>
  <si>
    <t>تغییرات مورد نیاز در سیستم مدیریت کیفیت</t>
  </si>
  <si>
    <t>انجام ممیزی مراقبتی اول برنامه ریزی شده است .</t>
  </si>
  <si>
    <t>J19</t>
  </si>
  <si>
    <t>='13'!O2+1</t>
  </si>
  <si>
    <t>در حوزه خودروسازی سایپا  و ایران خودرو ، هیچگونه شکایت و برگشتی در حوزه مصرف اعلام نشده است</t>
  </si>
  <si>
    <t>مهندسی/ کنترل کیفیت</t>
  </si>
  <si>
    <t>بازنگری  کارنامه مشتری       1401-1402
1401/07/01
1402/06/31
1403/06/31
1404/12/29</t>
  </si>
  <si>
    <t>نتایج ارزیابی هفت معیار:</t>
  </si>
  <si>
    <t>صادرات</t>
  </si>
  <si>
    <t>ازداشبورد حذف شده است</t>
  </si>
  <si>
    <t>رقابت پذیری</t>
  </si>
  <si>
    <t>J7</t>
  </si>
  <si>
    <t>ساخت</t>
  </si>
  <si>
    <t>L7</t>
  </si>
  <si>
    <t>M7</t>
  </si>
  <si>
    <t>سرمایه گذاری</t>
  </si>
  <si>
    <t>87.16</t>
  </si>
  <si>
    <t>لجستیک</t>
  </si>
  <si>
    <t>50</t>
  </si>
  <si>
    <t>H8</t>
  </si>
  <si>
    <t>PPMکل</t>
  </si>
  <si>
    <t>M8</t>
  </si>
  <si>
    <t>819</t>
  </si>
  <si>
    <t>PPMسه ماهه</t>
  </si>
  <si>
    <t>929</t>
  </si>
  <si>
    <t>بیشترین شماره فنی کلیم:</t>
  </si>
  <si>
    <t>X7V7041001AB</t>
  </si>
  <si>
    <t>G9</t>
  </si>
  <si>
    <t>2244</t>
  </si>
  <si>
    <t>H9</t>
  </si>
  <si>
    <t>IK00799080</t>
  </si>
  <si>
    <t>J9</t>
  </si>
  <si>
    <t>1746</t>
  </si>
  <si>
    <t>K9</t>
  </si>
  <si>
    <t>YG20214191</t>
  </si>
  <si>
    <t>M9</t>
  </si>
  <si>
    <t>1211</t>
  </si>
  <si>
    <t>YG22213511</t>
  </si>
  <si>
    <t>825</t>
  </si>
  <si>
    <t>گرید</t>
  </si>
  <si>
    <t>B +</t>
  </si>
  <si>
    <t>بیشترین شماره فنی تکرار کلیم:</t>
  </si>
  <si>
    <t>G10</t>
  </si>
  <si>
    <t>160</t>
  </si>
  <si>
    <t>J10</t>
  </si>
  <si>
    <t>66</t>
  </si>
  <si>
    <t>M10</t>
  </si>
  <si>
    <t>217</t>
  </si>
  <si>
    <t>متاسفانه اقدامات اصلاحی صادره ، به خوبی از سوی مالکان فرایندها تجزیه و تحلیل نمیگردد و صرفا اقداماتی جهت بسته شدن اقدام اصلاحی تعریف میگردد که منجر به بروز ایرادات تکراری چه در سطح سازمان و چه در نزد مشتری میگردد ، از آنجا که در ساختار اقدام اصلاحی موجود در سیستم اتوماسیون باکس اثربخش اقدام تعریف نشده است لذا بسته شدن اقدام معادل با اثربخش بودن تعریف میگردد
قرار شد جهت افزایش اثر بخشی اقدامات اصلاحی از طرف مالکان فرایندها  کلاس آموزشی استفاده از اتوماسیون جهت مالکان فرایندها برگزار گردد</t>
  </si>
  <si>
    <t>خرابی های بالقوه عرصه مصرف شناسایی شده از طریق تحلیل ریسک</t>
  </si>
  <si>
    <t>EN/QC</t>
  </si>
  <si>
    <t>خرابی های بالفعل عرصه مصرف و تاثیر آنها بر ایمنی و محیط زیست</t>
  </si>
  <si>
    <t>در حوزه خرابی های بالفعل عرصه مصرف : بازدید از انبار داغی ها در دستور شرکت میباشد تا ضمن بررسی شاخص NTF ، موارد کیفی خرابی ها به واحدهای  مرتبط ؛  به ویژه مهندسی انتقال  خواهد یافت .</t>
  </si>
  <si>
    <t>='11-12'!O18+1</t>
  </si>
  <si>
    <t>نتایج بازرسی جامع ابعادی به پیوست ارائه میگردد</t>
  </si>
  <si>
    <t>ارزیابی های امکان سنجی ساخت</t>
  </si>
  <si>
    <t>در سال 1405 دو پروژه سینی زیر موتور آریا  و  سینی زیرموتورP 90  در حال پیگیری می باشد</t>
  </si>
  <si>
    <t>R&amp;D
ریرا در مهرماه در فاز تولید انبوه به صورت RAMP UP  قرار گرفته است 
ساینا سال از اردیبهشت سال 1403 در فاز تولید انبوه قرار گرفته است .</t>
  </si>
  <si>
    <t>جهت جبران حذف برخی از محصولات سازمان ، پروژه های سینی فن و سینی زیر موتور K125 و برخی از محصولات جدید گروه سایپا در جریان مذاکره با مشتری میباشد ، در صورت تایید بلافاصله فرایند تکوین آنها آغاز میگردد
در سال 1403  امکان سنجی آریا و خودرو های سنگین صورت گرفته و در حال ساخت قالبها و تجهیزات است . ادامه روند مذکور در سال 1405  پروژه آریا به مراحل پایانی و تولید خواهد رسید.</t>
  </si>
  <si>
    <t>بازنگری عملکرد در مقابل اهداف نگهداری</t>
  </si>
  <si>
    <t>ربات</t>
  </si>
  <si>
    <t>روند کلی شاخصهای  MTTR و MTBF  روند خوبی است ولی با توجه به فرسایش تجهیزات پایدار نیست . در بعضی موارد افزایشی بوده و در پاره ای موارد روند بهبود دارد . جهت تغیر معیار پذیرش و حرکت جهت بهبود ملاک سالیانه مورد ارزیابی است. و در دوره بعد مورد بررسی قرار می گیرد.</t>
  </si>
  <si>
    <t>پرس</t>
  </si>
  <si>
    <t>کمپرسور</t>
  </si>
  <si>
    <t>اکسترودر</t>
  </si>
  <si>
    <t>11-12</t>
  </si>
  <si>
    <t>7</t>
  </si>
  <si>
    <t>هزینه نقصان کیفیت</t>
  </si>
  <si>
    <t>درصد هزینه های پیشگیری نسبت به مجموع فروش یا هزینه های کیفی</t>
  </si>
  <si>
    <t>0.23</t>
  </si>
  <si>
    <t>0.285</t>
  </si>
  <si>
    <t>بیشترین هزینه در این بخش مربوط به هزینه های نگهداری و تعمیرات میباشد</t>
  </si>
  <si>
    <t>انجام تعمییرات پیش بینانه و پیش گیرانه جهت کنترل و کاهش هزینه های تعمییرات و نگهداری</t>
  </si>
  <si>
    <t>آموزش</t>
  </si>
  <si>
    <t>درصد هزینه های ارزیابی نسبت به مجموع فروش یا هزینه های کیفی</t>
  </si>
  <si>
    <t>0.309</t>
  </si>
  <si>
    <t>هزینه های ارزیابی در سه ماهه اول مربوط به تجمع ارزیابی های سازمان در این مدت می باشد .</t>
  </si>
  <si>
    <t>درصد هزینه های شکست داخلی نسبت به مجموع فروش یا هزینه های کیفی</t>
  </si>
  <si>
    <t>0.35</t>
  </si>
  <si>
    <t>0.354</t>
  </si>
  <si>
    <t>شماره</t>
  </si>
  <si>
    <t>8</t>
  </si>
  <si>
    <t>درصد هزینه های شکست خارجی نسبت به مجموع فروش یا هزینه های کیفی</t>
  </si>
  <si>
    <t>0.06</t>
  </si>
  <si>
    <t>میزان کلیمها و اخطارهای کیفی  دردوره محاسبه شده نسبت به دوره مشابه در سال قبل ؛ در سایت اصلی کم بوده و باعث کاهش میزان درصد هزینه شده است</t>
  </si>
  <si>
    <t>بهبود شرایط بسته بندی و ارسال قطعات به سایت های بیرون از تهران</t>
  </si>
  <si>
    <t>N21</t>
  </si>
  <si>
    <t>بازرگانی /فروش</t>
  </si>
  <si>
    <t>O21</t>
  </si>
  <si>
    <t>درصد هزینه های کیفی</t>
  </si>
  <si>
    <t>0.03</t>
  </si>
  <si>
    <t>0.025</t>
  </si>
  <si>
    <t>0.0258</t>
  </si>
  <si>
    <t>متوسط هزینه ماهیانه . 
کاهش میانگین ؛مربوط به عدم انجام ممیزی های سوم شخص به دلایل درگیری های نظامی در منطقه می باشد .</t>
  </si>
  <si>
    <t>شناسایی مواردی که باعث افزایش هزینه های شکست داخلی و خارجی و پیشگیری نسبت به فروش می گردد وتعریف اقدامات مناسب جهت رفع ریشه ای موارد عدم انطباق در کمیته C.F.T</t>
  </si>
  <si>
    <t>مدیریت ارشد
کلیه فرآیندها</t>
  </si>
  <si>
    <t>A29</t>
  </si>
  <si>
    <t>D29</t>
  </si>
  <si>
    <t>J29</t>
  </si>
  <si>
    <t>10-</t>
  </si>
  <si>
    <t>='8-9'!O26+1</t>
  </si>
  <si>
    <t>6</t>
  </si>
  <si>
    <t>ساخت فیکسچر خنک کاری جهت سینی زیر موتور ریرا 
ساخت رک خنک کاری جهت بیم تقویتی سینا سال</t>
  </si>
  <si>
    <t>مهندسی /نت</t>
  </si>
  <si>
    <t>انجام شده است</t>
  </si>
  <si>
    <t>شاخص های اثر بخشی فرایند</t>
  </si>
  <si>
    <t>از مهمترین شاخص های اثر بخشی که دارای انحراف قابل ملاحظه است</t>
  </si>
  <si>
    <t>-0.1</t>
  </si>
  <si>
    <t>-0.17</t>
  </si>
  <si>
    <t>-0.135</t>
  </si>
  <si>
    <t>-0.1038</t>
  </si>
  <si>
    <t>با توجه به بررسی های صورت گرفته انحرافات مربوط به انحراف خودروساز از برنامه تدوین شده خودش میباشد</t>
  </si>
  <si>
    <t>پایش مستمر سفارش مشتری و به روز آوری پیش بینی فروش سازمان در صورت نیاز</t>
  </si>
  <si>
    <t>درصد اثر بخشی  آموزش</t>
  </si>
  <si>
    <t>0.8</t>
  </si>
  <si>
    <t>0.74</t>
  </si>
  <si>
    <t>0.8567</t>
  </si>
  <si>
    <t>میانگین PPM داخلی پرس</t>
  </si>
  <si>
    <t>4000</t>
  </si>
  <si>
    <t>8000</t>
  </si>
  <si>
    <t>4462</t>
  </si>
  <si>
    <t>3727</t>
  </si>
  <si>
    <t>بیشترین ضایعات به محصولات LFT و قطعه 232با علل دفرمگی می باشد .</t>
  </si>
  <si>
    <t>K10</t>
  </si>
  <si>
    <t>با ساخت رک جهت خنک کاری قطعات اصلاح گردید .</t>
  </si>
  <si>
    <t>میانگین PPM داخلی ربات</t>
  </si>
  <si>
    <t>93</t>
  </si>
  <si>
    <t>343</t>
  </si>
  <si>
    <t>201</t>
  </si>
  <si>
    <t>586</t>
  </si>
  <si>
    <t>بیشترین ضایعات به محصولات SMC و قطعه X7با علل تریم نامناسب میباشد</t>
  </si>
  <si>
    <t>با تعویض کلمپ مشکل مرتفع گردید</t>
  </si>
  <si>
    <t>ساپکو PPM   خارجی</t>
  </si>
  <si>
    <t>600</t>
  </si>
  <si>
    <t>1000</t>
  </si>
  <si>
    <t>1577</t>
  </si>
  <si>
    <t>951.8</t>
  </si>
  <si>
    <t>G12</t>
  </si>
  <si>
    <t>تحلیل و بررسی  شاخص برگشت از مشتری در قالب پاراتو به پیوست می باشد .</t>
  </si>
  <si>
    <t>K12</t>
  </si>
  <si>
    <t>بازرسی و آزمون به همراه مهندسی و تولید</t>
  </si>
  <si>
    <t>سازه گستر PPM   خارجی</t>
  </si>
  <si>
    <t>780</t>
  </si>
  <si>
    <t>703.9</t>
  </si>
  <si>
    <t>شاخص های کارایی فرایند</t>
  </si>
  <si>
    <t>از مهمترین شاخص های کارایی که دارای انحراف قابل ملاحظه است</t>
  </si>
  <si>
    <t>2.8</t>
  </si>
  <si>
    <t>3.05</t>
  </si>
  <si>
    <t>E16</t>
  </si>
  <si>
    <t>F16</t>
  </si>
  <si>
    <t>8.3</t>
  </si>
  <si>
    <t>180</t>
  </si>
  <si>
    <t>250</t>
  </si>
  <si>
    <t>E17</t>
  </si>
  <si>
    <t>62</t>
  </si>
  <si>
    <t>F17</t>
  </si>
  <si>
    <t>70.5</t>
  </si>
  <si>
    <t>B18</t>
  </si>
  <si>
    <t>C18</t>
  </si>
  <si>
    <t>240</t>
  </si>
  <si>
    <t>E18</t>
  </si>
  <si>
    <t>365</t>
  </si>
  <si>
    <t>F18</t>
  </si>
  <si>
    <t>327.5</t>
  </si>
  <si>
    <t>='5-7'!O18+1</t>
  </si>
  <si>
    <t>نتایج پایش و اندازه گیری</t>
  </si>
  <si>
    <t>MSA PLAN سال 1405 تدوین شده است</t>
  </si>
  <si>
    <t>QC</t>
  </si>
  <si>
    <t>برنامه MSA سال1405 مطابق پلن تدوین شده جهت ابزارهای کنترلی فرایند تولید ( کولیس های 1 متر کنترلی کیفیت و 60 سانت آزمایشگاه ) انجام شده است</t>
  </si>
  <si>
    <t>R&amp;R کولیس 1متری:</t>
  </si>
  <si>
    <t>8.21</t>
  </si>
  <si>
    <t>CMK ماشین پانچ:</t>
  </si>
  <si>
    <t>1.89</t>
  </si>
  <si>
    <t>جهت سوراخ قطر 16 قطعه به شماره فنی  YG22213511</t>
  </si>
  <si>
    <t>MSAوصفی نیز برای تمام پرسنل کنترل کیفیت انجام شده است</t>
  </si>
  <si>
    <t>کنترل آماری فرایند</t>
  </si>
  <si>
    <t>SPC PLAN سال 1405 تدوین شده است )  ( تاریخ تدوین بهمن 1404 )</t>
  </si>
  <si>
    <t>برنامه SPC سال 1405  مطابق پلن تدوین شده انجام شده است( تاریخ تدوین بهمن 1404  ) -جهت خانواده سینی زیر موتور شماره فنی YG22213511  و فاصله محل اتصال به خودرو انجام شده که نتایج آن بدین شرح میباشد:CP=2.45, CPK=1.68</t>
  </si>
  <si>
    <t>کمبود اپراتور تولید</t>
  </si>
  <si>
    <t>G17</t>
  </si>
  <si>
    <t>بدلیل کمبود نیروی کار در منطقه ، میزان جذب کاهش یافته است</t>
  </si>
  <si>
    <t>K17</t>
  </si>
  <si>
    <t>کمبود پالت  یا کمبود فضای مسقف جهت انبارش قطعات</t>
  </si>
  <si>
    <t>K18</t>
  </si>
  <si>
    <t>ساخت 850 پالت ( بطور متوسط ماهیانه 50 پالت ) - ضمیمه شدن فضای شرکت ایمن ایستاالکتریک به فضای تولید و انبارش نیپکو .</t>
  </si>
  <si>
    <t>مدیریت/تدارکات</t>
  </si>
  <si>
    <t>کمبود نداریم</t>
  </si>
  <si>
    <t>کمبود انبار نیم ساخته / انبار محصول سایت 1</t>
  </si>
  <si>
    <t>K23</t>
  </si>
  <si>
    <t>با جابجایی شرکت ایمن ایستاالکتریک/ ساخت پالت /مشکل تا حد زیادی مرتفع میگردد</t>
  </si>
  <si>
    <t>بازرگانی /کارخانه</t>
  </si>
  <si>
    <t>کمبود فضای انبار نیم ساخته جهت سالن 2 به میزان 700 مترمربع کمبود فضای انبار محصول سالن 2 به میزان</t>
  </si>
  <si>
    <t>K24</t>
  </si>
  <si>
    <t>ساخت سوله جهت انبار مواد اولیه/محصول  در حال اجرا می باشد 
سوله سقف دارد ولی دیوار ندارد .</t>
  </si>
  <si>
    <t>مدیریت سالن 2</t>
  </si>
  <si>
    <t>O26</t>
  </si>
  <si>
    <t>D27</t>
  </si>
  <si>
    <t>E27</t>
  </si>
  <si>
    <t>F27</t>
  </si>
  <si>
    <t>مهمترین ریسک در شرایط کنونی: تحریم /عدم ثبات و امنیت در منطقه /بالا بودن ریسک عدم تامین مواد اولیه و ملزومات از خارج از کشور  /کمبود نقدینگی/ عدم پرداخت به موقع مطالبات توسط مشتری/ حذف برخی خودروها و در نتیجه حذف برخی از محصولات</t>
  </si>
  <si>
    <t>K29</t>
  </si>
  <si>
    <t>واگذاری فروش آزاد به نورایستا خراسان و افزایش میزان فروش بازار</t>
  </si>
  <si>
    <t>بازگانی نورایستا خراسان</t>
  </si>
  <si>
    <t>O29</t>
  </si>
  <si>
    <t>بطور مستمر</t>
  </si>
  <si>
    <t>K30</t>
  </si>
  <si>
    <t>اخذ محصولات جدید مربوط به خودروهای جدید و خودروهای تجاری 
پروژه در دست انجام قطعات  مایان می باشد</t>
  </si>
  <si>
    <t>تحقیق و توسعه
کلیه فرآیندها</t>
  </si>
  <si>
    <t>O30</t>
  </si>
  <si>
    <t>K31</t>
  </si>
  <si>
    <t>پایش فرآیندهای بورس</t>
  </si>
  <si>
    <t>N31</t>
  </si>
  <si>
    <t>O31</t>
  </si>
  <si>
    <t>1405/08</t>
  </si>
  <si>
    <t>K32</t>
  </si>
  <si>
    <t>انجام الزامات  IMS جهت گرید A ساپکو</t>
  </si>
  <si>
    <t>N32</t>
  </si>
  <si>
    <t>کلیه فرایندها/QE</t>
  </si>
  <si>
    <t>O32</t>
  </si>
  <si>
    <t>1406/02</t>
  </si>
  <si>
    <t>A33</t>
  </si>
  <si>
    <t>D33</t>
  </si>
  <si>
    <t>J33</t>
  </si>
  <si>
    <t>5-7 (2)</t>
  </si>
  <si>
    <t>='[1]2-4'!O39+1</t>
  </si>
  <si>
    <t>ممیزی داخلی</t>
  </si>
  <si>
    <t>مدیریت کیفیت</t>
  </si>
  <si>
    <t>1-بروز رسانی مدارک (7-5-1-1)بر اساس  الزامات جدید خودرو سازی صورت گیرد. ISSR_V2
مدارک در خصوص FR و سیستم تشدید نیاز به بازنگری دارد. الزامات مشتری
2-اثربخشی اقدامات اصلاحی ناقص انجام می شود.10-2-1
3-با توجه به عملکرد یکساله و بهبود بعضی از شاخصها در حوزه نت نیاز به تعریف مجدد از اهداف شاخص می باشد. تجزیه و تحلیل در این زمینه مشاهده نشد.9-3-2</t>
  </si>
  <si>
    <t>عدم اجرای بند استاندارد توسط مسئولین فرآیند</t>
  </si>
  <si>
    <t>شناسنامه فرآیندها براساس SIPOC تدوین گردد و شاخص ها بروز رسانی گردد .</t>
  </si>
  <si>
    <t>QA</t>
  </si>
  <si>
    <t>1-شرایط ماتریس مهارت مطلوب نیست 7-2-1.    2-اپراتورهایی که در سالن جدید هستند قابل شناسایی نیستند. الزام مشتری
3-انگیزش کارکنان و نظر سنجی اثربخشی اقدامات انگیزشی مشاهده نشد.7-3-2</t>
  </si>
  <si>
    <t>H.R</t>
  </si>
  <si>
    <t>1-اخذ  PPAP   و ارزیابی  نور ایستا خراسان صورت نگرفته است.(8-3 )  2-مدارک ارزیابی مشاهده نشد.(8-4-2-4-1)- 1-انطباق قانونی و مقرراتی در کنترل اقلام ورودی مشاهده نشد .8-6-5</t>
  </si>
  <si>
    <t>عدم پیگیری تدارکات داخلی از تامین کنندگان</t>
  </si>
  <si>
    <t>پیگیری از تامین کنندگان</t>
  </si>
  <si>
    <t>تدارکات داخلی</t>
  </si>
  <si>
    <t>زمان دموراژ با توجه به ثابت بودن و تحت کنترل نبودن لحاظ نشده. و زمانهای مرتبط به واردات کالا تحت کنترل نیست و خصوصا زمان اختصاص ارز که مرتبط با سیاستهای دولت می باشد.</t>
  </si>
  <si>
    <t>مسئولیت مدیریت / کلیه فرآیندها</t>
  </si>
  <si>
    <t>1-ردیابی قطعات از بعد از پرس انجام نمی شود8-5-2-1.2-  5S سالن تولید نیازمند برنامه ریزی است شرایط مطلوبی ندارد.
3-انبارش کالای نیمه ساخته با توجه به بروز نبودن تحت کنترل نیست .</t>
  </si>
  <si>
    <t>1-فرایندهای جایگزین (8-5-6-1-1)مشخصات مهندسی برای همه ایستگاه پرسکاری و کد قالبها صورت نگرفته.
2-بررسی الزامات قانونی در خصوص تامین کنندگان در داده های خرید مشاهده نشد.      8-4-2-2</t>
  </si>
  <si>
    <t>8-5-1-7- پایش زمان انتظار صورت نمی گیرد . و ازجمله الزامات  لجستیک ساپکو بصورت جامع اجرا نشده است.</t>
  </si>
  <si>
    <t>K14</t>
  </si>
  <si>
    <t>نت</t>
  </si>
  <si>
    <t>-</t>
  </si>
  <si>
    <t>.......</t>
  </si>
  <si>
    <t>N16</t>
  </si>
  <si>
    <t>O16</t>
  </si>
  <si>
    <t>بازرسی و آزمون</t>
  </si>
  <si>
    <t>1-اولین قطعه بعد از راه اندازی و اخرین قطعه قبل از توقف تولید مشاهده نشد.8-5-1-3</t>
  </si>
  <si>
    <t>عدم وجود برچسب جهت تایید قطعه اول</t>
  </si>
  <si>
    <t>برچسب جهت تایید قطعه اول شیفت تهیه شده است</t>
  </si>
  <si>
    <t>تحقیق توسعه</t>
  </si>
  <si>
    <t>1-مدارک امکانسنجی محصول آریا ناقص است. مدارک DFMEA و قیمت تمام شده مشاهده نشد. کنترل پروژه بر اساس تاریخ است . شرح کار مشاهده نشد.</t>
  </si>
  <si>
    <t>G18</t>
  </si>
  <si>
    <t>عدم تسلط کارشناس تکوین محصول در فرآیند تحقیق و توسعه</t>
  </si>
  <si>
    <t>پایش فرآیند تحقیق و توسعه</t>
  </si>
  <si>
    <t>بندهای لجستیک ساپکو بصورت جامع اجرا نشده است.</t>
  </si>
  <si>
    <t>عدم تسلط فرآیندهای سازمان به الزامات لجستیک</t>
  </si>
  <si>
    <t>آموزش فرآیندهای مرتبط با لجستیک</t>
  </si>
  <si>
    <t>انبارش</t>
  </si>
  <si>
    <t>1-چک لیست دریافت مواد اولیه مشاهده نشد.</t>
  </si>
  <si>
    <t>G20</t>
  </si>
  <si>
    <t>K20</t>
  </si>
  <si>
    <t>N20</t>
  </si>
  <si>
    <t>O20</t>
  </si>
  <si>
    <t>مسئولیت مدیریت</t>
  </si>
  <si>
    <t>1-مسئولیت عدم ارسال محصول نامنطبق بخوبی صورت نمی گیرد. مسئولین تولید با الزامات تائید قطعه آشنا نمی باشند. 5-3-2
2-مسئولیت نگهداری و تعمیرات دارای صلاحیت و شایستگی کافی نمی باشد. 7-2-1
3-نگهداری بهره ور جامع بخوبی صورت نمی گیرد 8-5-1-5</t>
  </si>
  <si>
    <t>سایت جنوبی</t>
  </si>
  <si>
    <t>تغییر عمده در سیستم مدیریت سالن جنوبی - تیم مستقر در سالن جنوبی فاقد آگاهی ؛ صلاحیت نسبت به پیاده سازی استاندارد می باشند .</t>
  </si>
  <si>
    <t>ریسک حملات سایبری   6-1-2-3</t>
  </si>
  <si>
    <t>G22</t>
  </si>
  <si>
    <t>عدم اجرای کامل حفاظت شبکه</t>
  </si>
  <si>
    <t>K22</t>
  </si>
  <si>
    <t>اجرای  حفاظت شبکه</t>
  </si>
  <si>
    <t>N22</t>
  </si>
  <si>
    <t>O22</t>
  </si>
  <si>
    <t>D23</t>
  </si>
  <si>
    <t>J23</t>
  </si>
  <si>
    <t>5-7</t>
  </si>
  <si>
    <t>='2-4'!O38+1</t>
  </si>
  <si>
    <t>1- بند 7-1-4 ( محیط عملیات فرایندها ) : 5S در خط تولید به طور مناسبی رعایت نمی شود . 
2- بند 7-1-3 ( زیر ساخت ) FIFO در خط تولید به درستی رعایت نمی شود . 
4- بند 8-7-1 ( کنترل محصول مشکوک ) : فضای مجزای برای اقلام مشکوک در تولید وجود ندارد</t>
  </si>
  <si>
    <t>با ساخت پالت های برنامه ریزی شده و فضای حاصل از جابجایی سایت نورایستا خراسان ، مشکل تا حدود زیادی مرتفع میشود</t>
  </si>
  <si>
    <t>بند 6-1-1 ( رسیدگی به ریسک ها و فرصت ها  ) ارزیابی ریسک فرایند منابع انسانی بروز نمی باشد . 
2- بند 5-1-1 ( مسئولیت سازمان )  سیاستهای مسئولیت سازمانی از جمله سیاستهای ضد ارتشاء . کدهای رفتاری کارکنان و سیاست اخلاقی افشاگری در سازمان اثربخش نمی باشد . 
3- بند 7-3 ( آگاهی پرسنل ) عدم وجود ساز و کار مناسبی جهت آگاهی پرسنل از پیامدهای عدم انطباق با نیازمندیها مشتریان و سازمان 
4- بند 7-1-6 ( دانش سازمانی ) طرحریزی و اجرای دانش سازمانی در سازمان اثربخش نمی باشد . 
5- بند 7-1 ( منابع ) برنامه ریزی تقویم آموزشی اثربخش نمی باشد . 
6- بند 5-3 ( نقش ها ، مسئولیت ها و اختیارات سازمانی ) شناسنامه شغل پرسنل نیازمند بروزرسانی می باشد از قبیل سرپرست کنترل کیفیت 
7- الزام مشتری STAS : ماتریس مهارت و سطوح احراز صلاحیت پرسنل تولید در ایستگاههای کاری مشاهده نشد . 
8- بند 7-1-3-1 ( طرحریزی کارخانه ، تسهیلات و تجهیزات ) تیم های چند تخصصی برای شناسایی ریسک ها ، توسعه و بهبود عملکرد فرایندهای سازمان وجود ندارد .</t>
  </si>
  <si>
    <t>1- آدیت لایه ای 2 و 3 انجام نمی شود .
2- عدم دسترسی به قطعات مرجع 
3- روش استارت آپ استاندارد و کامل نمی باشد(صدور مجوزهای راه اندازی و تصدیق فرآیند - موثر نمی باشد)
4- ردیابی و شناسایی قطعات دوباره کاری انجام نمی شود . 
5- وجود قطعات مشکوک در انبار و خط تولید</t>
  </si>
  <si>
    <t>براساس ممیزی لجستیک ساپکو موارد اقدام اصلاحی به صورت گانت چارت لجستیک در حال پیگیری و اجرا می باشد</t>
  </si>
  <si>
    <t>کمیته لجستیک</t>
  </si>
  <si>
    <t>1- بند 8-5-1-5  ( نگهداری بهره ور جامع ) لیست ماشین آلات نیازمند بروزرسانی می باشد به طور مثال عدم ثبت دستگاه یونیت سوراخکاری و برنامه نگهداری پیشیگرانه در لیست ماشین آلات . 
2- بند 6-2-1 ( اهداف کیفیت ) نحوه محاسبه شاخص های عملکردی به درستی انجام نشده است . به عنوان مثال مقدار MTTR برای پرس 1200 تن برای اردیبهشت ماه صحیح محاسبه نشده است</t>
  </si>
  <si>
    <t>1- افراد شاغل در انبار موارد اولیه فاقد آموزشهای ایمنی می باشند . 
2- مکانی مناسب جهت انجام عملیات بارانداز موجود نمی باشد . 
3- عدم دریافت موجودی واقعی با موجودی سیستم به علت بسته بودن سیستم توسط واحد مالی . 
4- در انبار مواد اولیه از آنالیز ABC ارزشی جهت سهولت در شناسایی اقلام تند مصرف و کند مصرف و راکد استفاده نمی شود . 
5- روشی نظامند در سیستم آدرس دهی در قفسه ها در انبار موجود نمی باشد . 
6- از سیستم مدیریت دیداری در انبار موارد اولیه استفاده نمی شود . ( حداکثر و حداقل سطوح موجودی ) 
7- ازریابی دوره ای انبار انجام نمی شود . 
8- بند 7-5-2 ( ایجاد و بروزرسانی ) روش اجرایی شناسایی و ردیابی محصولات بروز نمی باشد .</t>
  </si>
  <si>
    <t>2- بند 7-3-5 ( کنترل اطلاعات مدون ) ساز و کار مناسبی جهت حفظ ، نگهداری و Back up گیری از برنامه های تجهیزات وجود ندارد از قبیل ربات ها  
3- بند 7-1-3-1 ( طرحریزی کارخانه . تسهیلات و تجهیزات ) Layout  سالن تولید بروز نمی باشد . به عنوان مثال جایگاه دستگاه یونیت سوراخکاری در لی اوت قابل مشاهده نمی باشد . 
4- بند 7-5-2 ( ایجاد و بروزرسانی ) مستندات فنی از قبیل مستر لیست مدارک فنی بروز نمی باشد . 
5- بند 8-5-6-1 ( کنترل تغییرات ) فرایند تغییرات مهندسی اثر بخش نمی باشد به عنوان مثال تغییرات انجام شده در فرایند سوراخکاری محصولات سینی فن در مدارک فنی لحاظ نشده است . 
6- بند 6-3 ( طرح ریزی تغییرات ) فرایند طرح ریزی تغییرات اثر بخش نمی باشد به عنوان مثال پیامدهای بالقوه ناشی از تغییرات به درستی ارزیابی نشده است . 
7- بند 8-3-5-2 ( خروجی طراحی فرایند ساخت ) وجود مغایرت در اهمیت پارامترهای مهم محصول و فرایند به طور مثال درصد الیاف در جزو مشخصات مهم محصول با اهمیت A می باشد ولی در پارامترهای مهم فرایند با اهمیت B لحاظ شده است . 
8- بند 8-3-5-2 ( خروجی طراحی فرایند ساخت ) عدم عنوان یکی از OP ها  در FPC به عنوان مثال نصب فرم در قطعه 231 در FPC و برنامه کنترل مشاهده نشده است . 
9- بند 8-6-2( بازرسی جامع ابعادی و آزمون عملکردی )  داده ها و اطلاعات مربوط به بازرسی جامع ابعادی و آزمون عملکردی بروز نمی باشد . 
10- بند 9-1-1-2 ( شناسایی ابزارهای آماری ) استفاده از ابزارهای آماری در تحلیل ها اثر بخش نمی باشد . 
11- 10-2-1 (عدم انطباق و اقدام اصلاحی )  ریشه یابی اقدامات اصلاحی اثر بخش نمی باشد . به عنوان مثال اقدام اصلاحی به شماره SALE/01/163 به درستی ریشه یابی نشده است . 
12- بند 10-2-3 ( حل مسئله  ) استفاده از تکنیک حل مسئله در تحلیل مشکلات کیفی اثر بخش نمی باشد  . به عنوان مثال در اخطار کیفی سختی مونتاژ ( جا نرفتن                  ) از روش حل مسئله استفاده نشده است .                                      عدم وجود داده های خرید خارجی   / عدم وجود داده خرید شیلد حرارتی</t>
  </si>
  <si>
    <t>2-4</t>
  </si>
  <si>
    <t>بازنگری مدیریت</t>
  </si>
  <si>
    <t>عملکرد فرایند و انطباق محصولات و خدمات</t>
  </si>
  <si>
    <t>سه ماهه</t>
  </si>
  <si>
    <t>-0.11</t>
  </si>
  <si>
    <t>0.0%</t>
  </si>
  <si>
    <t>0.875</t>
  </si>
  <si>
    <t>0.0</t>
  </si>
  <si>
    <t>0.95</t>
  </si>
  <si>
    <t>0.00</t>
  </si>
  <si>
    <t>منابع/ آموزش</t>
  </si>
  <si>
    <t>5.99</t>
  </si>
  <si>
    <t>به دلیل شرایط جنگی حاکم بر کشور و تعدیل شیفت 
نسبت بدوره قبل کاهش داشته است .</t>
  </si>
  <si>
    <t>74</t>
  </si>
  <si>
    <t>0.88</t>
  </si>
  <si>
    <t>0.93</t>
  </si>
  <si>
    <t>4.5</t>
  </si>
  <si>
    <t>9</t>
  </si>
  <si>
    <t>افزایش حقوق ها در ابتدای سال شرایط را بهتر کرده است - لیکن با توجه به وضعیت معیشتی و تورم 
رضایت پرسنل کامل نمی باشد .</t>
  </si>
  <si>
    <t>4.97</t>
  </si>
  <si>
    <t>0.22</t>
  </si>
  <si>
    <t>0.1</t>
  </si>
  <si>
    <t>65</t>
  </si>
  <si>
    <t>60</t>
  </si>
  <si>
    <t>73.69</t>
  </si>
  <si>
    <t>75</t>
  </si>
  <si>
    <t>2.5</t>
  </si>
  <si>
    <t>2.3</t>
  </si>
  <si>
    <t>مالی/ تضمین</t>
  </si>
  <si>
    <t>تعداد پروژه های خودرو سبک 1  آریا  و سنگین 2  مایان و ایران خودرو دیزل</t>
  </si>
  <si>
    <t>تحقیق و توسعه</t>
  </si>
  <si>
    <t>Q16</t>
  </si>
  <si>
    <t>0.85</t>
  </si>
  <si>
    <t>0.97</t>
  </si>
  <si>
    <t>0.9825</t>
  </si>
  <si>
    <t>3سه ماهه</t>
  </si>
  <si>
    <t>Q17</t>
  </si>
  <si>
    <t>2100</t>
  </si>
  <si>
    <t>1800</t>
  </si>
  <si>
    <t>1004.63</t>
  </si>
  <si>
    <t>1610</t>
  </si>
  <si>
    <t>جذب نیروهای جدید و عدم دسترسی کامل به راندمان مناسب در تولید</t>
  </si>
  <si>
    <t>6959</t>
  </si>
  <si>
    <t>تولید/ مهندسی</t>
  </si>
  <si>
    <t>Q19</t>
  </si>
  <si>
    <t>400</t>
  </si>
  <si>
    <t>650</t>
  </si>
  <si>
    <t>203.82</t>
  </si>
  <si>
    <t>586.59</t>
  </si>
  <si>
    <t>Q20</t>
  </si>
  <si>
    <t>A24</t>
  </si>
  <si>
    <t>D24</t>
  </si>
  <si>
    <t>E24</t>
  </si>
  <si>
    <t>F24</t>
  </si>
  <si>
    <t>G24</t>
  </si>
  <si>
    <t>A26</t>
  </si>
  <si>
    <t>92</t>
  </si>
  <si>
    <t>D26</t>
  </si>
  <si>
    <t>E26</t>
  </si>
  <si>
    <t>82.29</t>
  </si>
  <si>
    <t>F26</t>
  </si>
  <si>
    <t>87.68</t>
  </si>
  <si>
    <t>G26</t>
  </si>
  <si>
    <t>کمبود نیروی انسانی</t>
  </si>
  <si>
    <t>9.88</t>
  </si>
  <si>
    <t>7.21</t>
  </si>
  <si>
    <t>مربوط به کمبود نیروی انسانی می باشد.</t>
  </si>
  <si>
    <t>Q27</t>
  </si>
  <si>
    <t>ک</t>
  </si>
  <si>
    <t>E28</t>
  </si>
  <si>
    <t>F28</t>
  </si>
  <si>
    <t>951.83</t>
  </si>
  <si>
    <t>G28</t>
  </si>
  <si>
    <t>تحلیل و بررسی براساس روش پاراتور به پیوست می باشد .</t>
  </si>
  <si>
    <t>K28</t>
  </si>
  <si>
    <t>سینی فن 206  سینی زیر موتور EF7 وسینی جاچراغی سمند</t>
  </si>
  <si>
    <t>بازرسی/ آزمون</t>
  </si>
  <si>
    <t>O28</t>
  </si>
  <si>
    <t>Q28</t>
  </si>
  <si>
    <t>ا</t>
  </si>
  <si>
    <t>E29</t>
  </si>
  <si>
    <t>F29</t>
  </si>
  <si>
    <t>Q29</t>
  </si>
  <si>
    <t>85.26</t>
  </si>
  <si>
    <t>F30</t>
  </si>
  <si>
    <t>90.87</t>
  </si>
  <si>
    <t>G30</t>
  </si>
  <si>
    <t>عدم اجرای جامع الزامات لجستیکی 
بالا بودن شاخص PPM سازمان در حوزه ساپکو</t>
  </si>
  <si>
    <t>Q30</t>
  </si>
  <si>
    <t>C31</t>
  </si>
  <si>
    <t>E31</t>
  </si>
  <si>
    <t>547</t>
  </si>
  <si>
    <t>F31</t>
  </si>
  <si>
    <t>703.92</t>
  </si>
  <si>
    <t>Q31</t>
  </si>
  <si>
    <t>B32</t>
  </si>
  <si>
    <t>C32</t>
  </si>
  <si>
    <t>D32</t>
  </si>
  <si>
    <t>E32</t>
  </si>
  <si>
    <t>F32</t>
  </si>
  <si>
    <t>Q32</t>
  </si>
  <si>
    <t>B33</t>
  </si>
  <si>
    <t>E33</t>
  </si>
  <si>
    <t>F33</t>
  </si>
  <si>
    <t>98.13</t>
  </si>
  <si>
    <t>Q33</t>
  </si>
  <si>
    <t>B34</t>
  </si>
  <si>
    <t>C34</t>
  </si>
  <si>
    <t>D34</t>
  </si>
  <si>
    <t>E34</t>
  </si>
  <si>
    <t>93.75</t>
  </si>
  <si>
    <t>F34</t>
  </si>
  <si>
    <t>96.58</t>
  </si>
  <si>
    <t>فروش  (رضایت مشتری)</t>
  </si>
  <si>
    <t>B35</t>
  </si>
  <si>
    <t>96.47</t>
  </si>
  <si>
    <t>B36</t>
  </si>
  <si>
    <t>C36</t>
  </si>
  <si>
    <t>D36</t>
  </si>
  <si>
    <t>215</t>
  </si>
  <si>
    <t>E36</t>
  </si>
  <si>
    <t>98.99</t>
  </si>
  <si>
    <t>F36</t>
  </si>
  <si>
    <t>74.86</t>
  </si>
  <si>
    <t>N36</t>
  </si>
  <si>
    <t>تعمیرات و نگهداری</t>
  </si>
  <si>
    <t>O36</t>
  </si>
  <si>
    <t>N37</t>
  </si>
  <si>
    <t>N38</t>
  </si>
  <si>
    <t>O38</t>
  </si>
  <si>
    <t>=O23+1</t>
  </si>
  <si>
    <t>A39</t>
  </si>
  <si>
    <t>C39</t>
  </si>
  <si>
    <t>D39</t>
  </si>
  <si>
    <t>E39</t>
  </si>
  <si>
    <t>F39</t>
  </si>
  <si>
    <t>G39</t>
  </si>
  <si>
    <t>K39</t>
  </si>
  <si>
    <t>N39</t>
  </si>
  <si>
    <t>O39</t>
  </si>
  <si>
    <t>B41</t>
  </si>
  <si>
    <t>C41</t>
  </si>
  <si>
    <t>E41</t>
  </si>
  <si>
    <t>348.31</t>
  </si>
  <si>
    <t>F41</t>
  </si>
  <si>
    <t>325</t>
  </si>
  <si>
    <t>B42</t>
  </si>
  <si>
    <t>C42</t>
  </si>
  <si>
    <t>D42</t>
  </si>
  <si>
    <t>E42</t>
  </si>
  <si>
    <t>F42</t>
  </si>
  <si>
    <t>40</t>
  </si>
  <si>
    <t>N42</t>
  </si>
  <si>
    <t>O42</t>
  </si>
  <si>
    <t>B43</t>
  </si>
  <si>
    <t>C43</t>
  </si>
  <si>
    <t>135</t>
  </si>
  <si>
    <t>D43</t>
  </si>
  <si>
    <t>105</t>
  </si>
  <si>
    <t>E43</t>
  </si>
  <si>
    <t>282.59</t>
  </si>
  <si>
    <t>F43</t>
  </si>
  <si>
    <t>174.5</t>
  </si>
  <si>
    <t>B44</t>
  </si>
  <si>
    <t>C44</t>
  </si>
  <si>
    <t>D44</t>
  </si>
  <si>
    <t>E44</t>
  </si>
  <si>
    <t>71.71</t>
  </si>
  <si>
    <t>F44</t>
  </si>
  <si>
    <t>88.6</t>
  </si>
  <si>
    <t>G44</t>
  </si>
  <si>
    <t>براساس تدوین گانت چارت ؛ ممیزی شناور از فرآینده جهت استقرار سیستم براساس استاندارد I.A.T.F وI.M.S پیاده سازی الزامات مشتری  ؛ برنامه ریزی و در حال انجام است .</t>
  </si>
  <si>
    <t>N44</t>
  </si>
  <si>
    <t>O44</t>
  </si>
  <si>
    <t>A48</t>
  </si>
  <si>
    <t>D48</t>
  </si>
  <si>
    <t>J48</t>
  </si>
  <si>
    <t>1 (2)</t>
  </si>
  <si>
    <t>فرم بازنگری مدیریت درحوزه I.M.S</t>
  </si>
  <si>
    <t>با توجه به نامه از طرف گروه ارزیابی ساپکو  برای ISSR-V2 سازمان جهت گواهینامه IMS  اقدام کرده است.</t>
  </si>
  <si>
    <t>اخذ گواهینامه انجام شده است - ممیزی مراقبتب اول برنامه ریزی شده است .</t>
  </si>
  <si>
    <t>تدوین مستندات جدید در راستای IMS</t>
  </si>
  <si>
    <t>ادارای /کلیه فرآیندها</t>
  </si>
  <si>
    <t>ارتقاء سیستم 5S در سازمان جهت بهبود شرایط ایمنی و بهداشت و حفظ محیط زیست</t>
  </si>
  <si>
    <t>تدوین مستندات 5S و جاری سازی آن در سازمان براساس گانت تهیه شده در حال انجام است .</t>
  </si>
  <si>
    <t>اقدامات لجستیکی ساپکو با توجه به محدودیت فضا .
نیاز به نیرو در واحد  تضمین در راستای  استاندارد جدید و آموزش جهت موارد  IMS برای ممیزی داخلی</t>
  </si>
  <si>
    <t>مقر گردید طی شش ماهه دوم 1405  یا تا پایان  آذر1405  فضای سوله ایمن ایستاالکتریک که در شرق شرکت می باشد به فضای نورایستاپلاستیک اضافه شود.</t>
  </si>
  <si>
    <t>افزایش اسکوپ استاندارد  و اخذ گواهینامه جدید</t>
  </si>
  <si>
    <t>تغییر در مسایل داخلی و خارجی سیستم مدیریت کیفیت در حوزه استاندارد 
I.M.S</t>
  </si>
  <si>
    <t>حوزه مرتبط با محاسبه و اعلام هزینه های لجستیکی</t>
  </si>
  <si>
    <t>ساخت پالت جهت افزایش انعطاف لجستیکی سازمان</t>
  </si>
  <si>
    <t>تعداد 50 عدد از هر پالت ساخته شده است و بنابراعلام تغييرات در برنامه ايرانخودرو متوقف گرديد</t>
  </si>
  <si>
    <t>راه اندازی جرثقیل سقفی در سایت اصلی نیپکو جهت افزایش انعطاف سازمان در کاهعش زمان انتظار تعویض قالب</t>
  </si>
  <si>
    <t>خرید و نصب و راه اندازی یک دستگاه پرس 500 تن در سایت دوم</t>
  </si>
  <si>
    <t>کمبود فضاری انبارش در تولید و انبار محصول به میزان 623 متر مربع می باشد .</t>
  </si>
  <si>
    <t>انتقال شرکت ایمن ایستالکتریک از همسایگی سایت های یک و دو نیپکو و افزایش فضای شرکت ایمن ایستا جهت رفع کمبود فضای انبارش</t>
  </si>
  <si>
    <t>مدیریت سازمان /مدیرعامل ایمن ایستا /مدیران سایتهای نیپکو</t>
  </si>
  <si>
    <t>با توجه به ادامه تحریم ها و مشکلات موجود در صنعت به ویژه صنعت خودرو ، هنوز مشکل عدم تامین نقدینگی مشتریان وجود دارد</t>
  </si>
  <si>
    <t>توجه به فروش After Market</t>
  </si>
  <si>
    <t>شرکت نورایستا خراسان</t>
  </si>
  <si>
    <t>از طریق جذب محصولات جدید</t>
  </si>
  <si>
    <t>تحقیق و توسعه/فروش</t>
  </si>
  <si>
    <t>از طریق اخذ گرید A</t>
  </si>
  <si>
    <t>CFT/MD</t>
  </si>
  <si>
    <t>حذف برخی از خودروها(پارس-تیبا-ساینا) از چرخه تولید و نتیجتا حذف برخی از محصولات تولیدی شرکت</t>
  </si>
  <si>
    <t>افزایش پروژه ها و جایگزینی محصولات حذف شده</t>
  </si>
  <si>
    <t>ورود به بازار بورس</t>
  </si>
  <si>
    <t>1405/04</t>
  </si>
  <si>
    <t>ساپکو</t>
  </si>
  <si>
    <t>1405/06</t>
  </si>
  <si>
    <t>سازه گستر</t>
  </si>
  <si>
    <t>سهامداران
سهامی عام /بورس</t>
  </si>
  <si>
    <t>به هر یک از پرسنل شرکت تعداد 300  سهم بصورت پاداش واگذار شد.</t>
  </si>
  <si>
    <t>چرخه محیط زیست محصول با استاندارد ISO 140001 ، مسئولیت اجتماعی در راستای اشتغالزایی و ارائه سهام برای خرید عموم</t>
  </si>
  <si>
    <t>میزان برآورده شدن دستیابی به اهداف کلان درحوزه I.M.S</t>
  </si>
  <si>
    <t>91.02</t>
  </si>
  <si>
    <t>76.23</t>
  </si>
  <si>
    <t>کاهش امتیاز O.T.D در تحویل قطعات ایساکو</t>
  </si>
  <si>
    <t>فرم بازنگری مدیریت در حوزه I.A.T.F</t>
  </si>
  <si>
    <t>انعقاد قرارداد جهت اخذ گواهینامه  IMS 
IPRO-03-14393-A به تاریخ 1403/05/10</t>
  </si>
  <si>
    <t>اخذ گرید A ساپکو مطابق با برنامه در حال اجرا میباشد</t>
  </si>
  <si>
    <t>در سال 1401 دو ممیزی در حوزه کیفیت توسط مشتری انجام شده و گرید B پلاس تثبیت شد. مقرر گردید ممیزی لجستیک در تاریخ 1402/06/12 انجام گرددیده است</t>
  </si>
  <si>
    <t>تدوین مستندات لجستیک و جاری سازی آن در سازمان براساس گانت تهیه شده در حال انجام است .</t>
  </si>
  <si>
    <t>مقر گردید طی شش ماهه دوم 1405  یا تا پایان  شهریور 1406  فضای سوله ایمن ایستاالکتریک که در شرق شرکت می باشد به فضای نورایستاپلاستیک اضافه شود.</t>
  </si>
  <si>
    <t>تغییر در مسایل داخلی و خارجی سیستم مدیریت کیفیت</t>
  </si>
  <si>
    <t>راه اندازی جرثقیل سقفی در سایت اصلی نیپکو جهت افزایش انعطاف سازمان در کاهش زمان انتظار تعویض قالب</t>
  </si>
  <si>
    <t>89.5</t>
  </si>
  <si>
    <t>90.4</t>
  </si>
  <si>
    <t>1405/05</t>
  </si>
  <si>
    <t>98</t>
  </si>
  <si>
    <t>91</t>
  </si>
  <si>
    <t>میزان برآورده شدن دستیابی به اهداف کلان</t>
  </si>
  <si>
    <t>ابلاغ نتایج مرتبط ایمنی و بهداشت</t>
  </si>
  <si>
    <t>مخاطب، تاریخ، روش و شاهد ابلاغ نتایج مرتبط باید ثبت شود. وجود تصمیم یا انجام اقدام به‌تنهایی شاهد ابلاغ نیست.</t>
  </si>
  <si>
    <t>شناسه ابلاغ</t>
  </si>
  <si>
    <t>مخاطب</t>
  </si>
  <si>
    <t>تاریخ ابلاغ</t>
  </si>
  <si>
    <t>روش ابلاغ</t>
  </si>
  <si>
    <t>شاهد ابلاغ</t>
  </si>
  <si>
    <t>نتیجه / بازخورد</t>
  </si>
  <si>
    <t>کنترل ابلاغ</t>
  </si>
  <si>
    <t>COM-S4</t>
  </si>
  <si>
    <t>کارکنان در معرض خطر و نماینده فرضی</t>
  </si>
  <si>
    <t>جلسه آموزشی فرضی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</si>
</sst>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name val="Carlito"/>
    </font>
    <font>
      <sz val="11"/>
      <color rgb="FF18364B"/>
      <name val="Arial"/>
      <family val="2"/>
    </font>
    <font>
      <b/>
      <sz val="17"/>
      <color rgb="FF143C5B"/>
      <name val="Arial"/>
      <family val="2"/>
    </font>
    <font>
      <sz val="10"/>
      <color rgb="FF536A7B"/>
      <name val="Arial"/>
      <family val="2"/>
    </font>
    <font>
      <b/>
      <sz val="11"/>
      <color rgb="FFFFFFFF"/>
      <name val="Arial"/>
      <family val="2"/>
    </font>
    <font>
      <sz val="14"/>
      <name val="B Nazanin"/>
      <charset val="178"/>
    </font>
    <font>
      <sz val="14"/>
      <color rgb="FF18364B"/>
      <name val="B Nazanin"/>
      <charset val="178"/>
    </font>
    <font>
      <b/>
      <sz val="14"/>
      <color rgb="FFFFFFFF"/>
      <name val="B Nazanin"/>
      <charset val="178"/>
    </font>
    <font>
      <b/>
      <sz val="18"/>
      <color rgb="FF143C5B"/>
      <name val="B Nazanin"/>
      <charset val="178"/>
    </font>
    <font>
      <sz val="16"/>
      <color rgb="FF536A7B"/>
      <name val="B Nazanin"/>
      <charset val="178"/>
    </font>
    <font>
      <b/>
      <sz val="18"/>
      <name val="B Nazanin"/>
      <charset val="178"/>
    </font>
    <font>
      <sz val="18"/>
      <color rgb="FF536A7B"/>
      <name val="B Nazanin"/>
      <charset val="178"/>
    </font>
  </fonts>
  <fills count="5">
    <fill>
      <patternFill patternType="none"/>
    </fill>
    <fill>
      <patternFill patternType="gray125"/>
    </fill>
    <fill>
      <patternFill patternType="solid">
        <fgColor rgb="FF143C5B"/>
      </patternFill>
    </fill>
    <fill>
      <patternFill patternType="solid">
        <fgColor rgb="FFEAF1F6"/>
      </patternFill>
    </fill>
    <fill>
      <patternFill patternType="solid">
        <fgColor rgb="FFFFF1C7"/>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right" vertical="top" wrapText="1"/>
    </xf>
    <xf numFmtId="0" fontId="4" fillId="2" borderId="0" xfId="0" applyFont="1" applyFill="1" applyAlignment="1">
      <alignment horizontal="center" vertical="top" wrapText="1"/>
    </xf>
    <xf numFmtId="0" fontId="1" fillId="3" borderId="0" xfId="0" applyFont="1" applyFill="1" applyAlignment="1">
      <alignment horizontal="right" vertical="top" wrapText="1"/>
    </xf>
    <xf numFmtId="164" fontId="1" fillId="0" borderId="0" xfId="0" applyNumberFormat="1" applyFont="1" applyAlignment="1">
      <alignment horizontal="right" vertical="top" wrapText="1"/>
    </xf>
    <xf numFmtId="0" fontId="0" fillId="3" borderId="0" xfId="0" applyFill="1"/>
    <xf numFmtId="164" fontId="1" fillId="3" borderId="0" xfId="0" applyNumberFormat="1" applyFont="1" applyFill="1" applyAlignment="1">
      <alignment horizontal="right" vertical="top" wrapText="1"/>
    </xf>
    <xf numFmtId="0" fontId="2" fillId="0" borderId="0" xfId="0" applyFont="1" applyAlignment="1">
      <alignment horizontal="center" vertical="top" wrapText="1"/>
    </xf>
    <xf numFmtId="0" fontId="3" fillId="0" borderId="0" xfId="0" applyFont="1" applyAlignment="1">
      <alignment horizontal="right" vertical="top" wrapText="1"/>
    </xf>
    <xf numFmtId="0" fontId="1" fillId="0" borderId="0" xfId="0" applyFont="1" applyAlignment="1">
      <alignment horizontal="right" vertical="top" wrapText="1"/>
    </xf>
    <xf numFmtId="0" fontId="5" fillId="0" borderId="0" xfId="0" applyFont="1" applyAlignment="1">
      <alignment vertical="center"/>
    </xf>
    <xf numFmtId="0" fontId="6" fillId="0" borderId="0" xfId="0" applyFont="1" applyAlignment="1">
      <alignment horizontal="right" vertical="center" wrapText="1"/>
    </xf>
    <xf numFmtId="0" fontId="7" fillId="2" borderId="0" xfId="0" applyFont="1" applyFill="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right" vertical="center" wrapText="1"/>
    </xf>
    <xf numFmtId="0" fontId="6"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xf numFmtId="0" fontId="5" fillId="0" borderId="0" xfId="0" applyFont="1" applyAlignment="1">
      <alignment vertical="center" wrapText="1"/>
    </xf>
    <xf numFmtId="0" fontId="10"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center"/>
    </xf>
    <xf numFmtId="0" fontId="5" fillId="4" borderId="0" xfId="0" applyFont="1" applyFill="1" applyAlignment="1">
      <alignment horizontal="center" vertical="center" wrapText="1"/>
    </xf>
    <xf numFmtId="164" fontId="5" fillId="4" borderId="0" xfId="0" applyNumberFormat="1" applyFont="1" applyFill="1" applyAlignment="1">
      <alignment horizontal="center" vertical="center" wrapText="1"/>
    </xf>
    <xf numFmtId="0" fontId="5" fillId="0" borderId="0" xfId="0" applyFont="1" applyAlignment="1">
      <alignment horizontal="center" wrapText="1"/>
    </xf>
    <xf numFmtId="0" fontId="11" fillId="0" borderId="0" xfId="0" applyFont="1" applyAlignment="1">
      <alignment horizontal="right" vertical="center" wrapText="1"/>
    </xf>
    <xf numFmtId="0" fontId="6" fillId="3" borderId="0" xfId="0" applyFont="1" applyFill="1" applyAlignment="1">
      <alignment horizontal="right" vertical="center" wrapText="1"/>
    </xf>
  </cellXfs>
  <cellStyles count="1">
    <cellStyle name="Normal" xfId="0" builtinId="0"/>
  </cellStyles>
  <dxfs count="65">
    <dxf>
      <font>
        <strike val="0"/>
        <outline val="0"/>
        <shadow val="0"/>
        <u val="none"/>
        <vertAlign val="baseline"/>
        <sz val="14"/>
        <name val="B Nazanin"/>
        <charset val="178"/>
        <scheme val="none"/>
      </font>
      <alignment horizontal="center"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horizontal="center" vertical="center" textRotation="0" indent="0" justifyLastLine="0" shrinkToFit="0" readingOrder="0"/>
    </dxf>
    <dxf>
      <font>
        <strike val="0"/>
        <outline val="0"/>
        <shadow val="0"/>
        <u val="none"/>
        <vertAlign val="baseline"/>
        <sz val="14"/>
        <name val="B Nazanin"/>
        <charset val="178"/>
        <scheme val="none"/>
      </font>
      <alignment horizontal="center" vertical="center" textRotation="0" indent="0" justifyLastLine="0" shrinkToFit="0" readingOrder="0"/>
    </dxf>
    <dxf>
      <font>
        <strike val="0"/>
        <outline val="0"/>
        <shadow val="0"/>
        <u val="none"/>
        <vertAlign val="baseline"/>
        <sz val="14"/>
        <name val="B Nazanin"/>
        <charset val="178"/>
        <scheme val="none"/>
      </font>
      <alignment horizontal="center" vertical="center" textRotation="0" indent="0" justifyLastLine="0" shrinkToFit="0" readingOrder="0"/>
    </dxf>
    <dxf>
      <font>
        <strike val="0"/>
        <outline val="0"/>
        <shadow val="0"/>
        <u val="none"/>
        <vertAlign val="baseline"/>
        <sz val="14"/>
        <name val="B Nazanin"/>
        <charset val="178"/>
        <scheme val="none"/>
      </font>
      <alignment horizontal="center" vertical="center" textRotation="0" indent="0" justifyLastLine="0" shrinkToFit="0" readingOrder="0"/>
    </dxf>
    <dxf>
      <font>
        <strike val="0"/>
        <outline val="0"/>
        <shadow val="0"/>
        <u val="none"/>
        <vertAlign val="baseline"/>
        <sz val="14"/>
        <name val="B Nazanin"/>
        <charset val="178"/>
        <scheme val="none"/>
      </font>
      <alignment horizontal="center" vertical="center" textRotation="0" indent="0" justifyLastLine="0" shrinkToFit="0" readingOrder="0"/>
    </dxf>
    <dxf>
      <font>
        <strike val="0"/>
        <outline val="0"/>
        <shadow val="0"/>
        <u val="none"/>
        <vertAlign val="baseline"/>
        <sz val="14"/>
        <name val="B Nazanin"/>
        <charset val="178"/>
        <scheme val="none"/>
      </font>
      <alignment horizontal="center" vertical="center" textRotation="0" indent="0" justifyLastLine="0" shrinkToFit="0" readingOrder="0"/>
    </dxf>
    <dxf>
      <font>
        <strike val="0"/>
        <outline val="0"/>
        <shadow val="0"/>
        <u val="none"/>
        <vertAlign val="baseline"/>
        <sz val="14"/>
        <name val="B Nazanin"/>
        <charset val="178"/>
        <scheme val="none"/>
      </font>
      <alignment horizontal="center" vertical="center" textRotation="0" indent="0" justifyLastLine="0" shrinkToFit="0" readingOrder="0"/>
    </dxf>
    <dxf>
      <font>
        <strike val="0"/>
        <outline val="0"/>
        <shadow val="0"/>
        <u val="none"/>
        <vertAlign val="baseline"/>
        <sz val="14"/>
        <name val="B Nazanin"/>
        <charset val="178"/>
        <scheme val="none"/>
      </font>
      <alignment horizontal="center"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horizontal="center"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strike val="0"/>
        <outline val="0"/>
        <shadow val="0"/>
        <u val="none"/>
        <vertAlign val="baseline"/>
        <sz val="14"/>
        <name val="B Nazanin"/>
        <charset val="178"/>
        <scheme val="none"/>
      </font>
      <alignment vertical="center" textRotation="0" indent="0" justifyLastLine="0" shrinkToFit="0" readingOrder="0"/>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
      <font>
        <color rgb="FF9C2424"/>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fa-IR" sz="1125">
                <a:latin typeface="Arial"/>
                <a:ea typeface="Arial"/>
                <a:cs typeface="Arial"/>
              </a:rPr>
              <a:t>تصمیم و اقدام در دامنه انتخابی</a:t>
            </a:r>
          </a:p>
        </c:rich>
      </c:tx>
      <c:overlay val="0"/>
    </c:title>
    <c:autoTitleDeleted val="0"/>
    <c:plotArea>
      <c:layout/>
      <c:barChart>
        <c:barDir val="col"/>
        <c:grouping val="clustered"/>
        <c:varyColors val="0"/>
        <c:ser>
          <c:idx val="0"/>
          <c:order val="0"/>
          <c:tx>
            <c:v>Series 1</c:v>
          </c:tx>
          <c:spPr>
            <a:solidFill>
              <a:srgbClr val="357B93"/>
            </a:solidFill>
          </c:spPr>
          <c:invertIfNegative val="0"/>
          <c:cat>
            <c:strRef>
              <c:f>'12-داشبورد مدیریتی'!$A$11:$A$13</c:f>
              <c:strCache>
                <c:ptCount val="3"/>
                <c:pt idx="0">
                  <c:v>اقدامات معوق</c:v>
                </c:pt>
                <c:pt idx="1">
                  <c:v>اقدامات بدون موعد</c:v>
                </c:pt>
                <c:pt idx="2">
                  <c:v>اجراشده بدون اثربخشی</c:v>
                </c:pt>
              </c:strCache>
            </c:strRef>
          </c:cat>
          <c:val>
            <c:numRef>
              <c:f>'12-داشبورد مدیریتی'!$B$11:$B$13</c:f>
              <c:numCache>
                <c:formatCode>General</c:formatCode>
                <c:ptCount val="3"/>
                <c:pt idx="0">
                  <c:v>0</c:v>
                </c:pt>
                <c:pt idx="1">
                  <c:v>21</c:v>
                </c:pt>
                <c:pt idx="2">
                  <c:v>0</c:v>
                </c:pt>
              </c:numCache>
            </c:numRef>
          </c:val>
          <c:extLst>
            <c:ext xmlns:c16="http://schemas.microsoft.com/office/drawing/2014/chart" uri="{C3380CC4-5D6E-409C-BE32-E72D297353CC}">
              <c16:uniqueId val="{00000000-ABA8-42E9-A12A-1C20E7461EA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825">
                <a:latin typeface="Arial"/>
                <a:ea typeface="Arial"/>
                <a:cs typeface="Arial"/>
              </a:defRPr>
            </a:pPr>
            <a:endParaRPr lang="fa-IR"/>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a:latin typeface="Arial"/>
                <a:ea typeface="Arial"/>
                <a:cs typeface="Arial"/>
              </a:defRPr>
            </a:pPr>
            <a:endParaRPr lang="fa-IR"/>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0</xdr:rowOff>
    </xdr:from>
    <xdr:to>
      <xdr:col>3</xdr:col>
      <xdr:colOff>0</xdr:colOff>
      <xdr:row>36</xdr:row>
      <xdr:rowOff>0</xdr:rowOff>
    </xdr:to>
    <xdr:graphicFrame macro="">
      <xdr:nvGraphicFramePr>
        <xdr:cNvPr id="2" name="Chart">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0000000}" name="IMS_Table_0" displayName="IMS_Table_0" ref="A7:C43" totalsRowShown="0" headerRowDxfId="36" dataDxfId="35">
  <autoFilter ref="A7:C43" xr:uid="{00000000-0009-0000-0100-000014000000}"/>
  <tableColumns count="3">
    <tableColumn id="1" xr3:uid="{00000000-0010-0000-0000-000001000000}" name="مرحله" dataDxfId="32"/>
    <tableColumn id="2" xr3:uid="{00000000-0010-0000-0000-000002000000}" name="روش استفاده" dataDxfId="33"/>
    <tableColumn id="3" xr3:uid="{00000000-0010-0000-0000-000003000000}" name="محل"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IMS_Table_2" displayName="IMS_Table_2" ref="A7:J81" totalsRowShown="0" headerRowDxfId="21" dataDxfId="20">
  <autoFilter ref="A7:J81" xr:uid="{00000000-0009-0000-0100-000001000000}"/>
  <tableColumns count="10">
    <tableColumn id="1" xr3:uid="{00000000-0010-0000-0100-000001000000}" name="شناسه الزام" dataDxfId="31"/>
    <tableColumn id="2" xr3:uid="{00000000-0010-0000-0100-000002000000}" name="سیستم" dataDxfId="30"/>
    <tableColumn id="3" xr3:uid="{00000000-0010-0000-0100-000003000000}" name="ویرایش مبنا" dataDxfId="29"/>
    <tableColumn id="4" xr3:uid="{00000000-0010-0000-0100-000004000000}" name="بند" dataDxfId="28"/>
    <tableColumn id="5" xr3:uid="{00000000-0010-0000-0100-000005000000}" name="نوع" dataDxfId="27"/>
    <tableColumn id="6" xr3:uid="{00000000-0010-0000-0100-000006000000}" name="خلاصه موضوع الزام" dataDxfId="26"/>
    <tableColumn id="7" xr3:uid="{00000000-0010-0000-0100-000007000000}" name="محل ثبت" dataDxfId="25"/>
    <tableColumn id="8" xr3:uid="{00000000-0010-0000-0100-000008000000}" name="شواهد موردنیاز" dataDxfId="24"/>
    <tableColumn id="9" xr3:uid="{00000000-0010-0000-0100-000009000000}" name="روش کنترل" dataDxfId="23"/>
    <tableColumn id="10" xr3:uid="{00000000-0010-0000-0100-00000A000000}" name="محدودیت / وضعیت نسخه"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IMS_Table_3" displayName="IMS_Table_3" ref="A7:R51" totalsRowShown="0" headerRowDxfId="3" dataDxfId="2">
  <autoFilter ref="A7:R51" xr:uid="{00000000-0009-0000-0100-000002000000}"/>
  <tableColumns count="18">
    <tableColumn id="1" xr3:uid="{00000000-0010-0000-0200-000001000000}" name="شناسه ورودی" dataDxfId="0"/>
    <tableColumn id="2" xr3:uid="{00000000-0010-0000-0200-000002000000}" name="شرکت" dataDxfId="1"/>
    <tableColumn id="3" xr3:uid="{00000000-0010-0000-0200-000003000000}" name="دوره" dataDxfId="19"/>
    <tableColumn id="4" xr3:uid="{00000000-0010-0000-0200-000004000000}" name="جلسه" dataDxfId="18"/>
    <tableColumn id="5" xr3:uid="{00000000-0010-0000-0200-000005000000}" name="نوع داده" dataDxfId="17"/>
    <tableColumn id="6" xr3:uid="{00000000-0010-0000-0200-000006000000}" name="فرآیند" dataDxfId="16"/>
    <tableColumn id="7" xr3:uid="{00000000-0010-0000-0200-000007000000}" name="سیستم" dataDxfId="15"/>
    <tableColumn id="8" xr3:uid="{00000000-0010-0000-0200-000008000000}" name="موضوع" dataDxfId="14"/>
    <tableColumn id="9" xr3:uid="{00000000-0010-0000-0200-000009000000}" name="مرجع اصلی" dataDxfId="13"/>
    <tableColumn id="10" xr3:uid="{00000000-0010-0000-0200-00000A000000}" name="تحلیل کارشناسی" dataDxfId="12"/>
    <tableColumn id="11" xr3:uid="{00000000-0010-0000-0200-00000B000000}" name="پیشنهاد پیش از جلسه" dataDxfId="11"/>
    <tableColumn id="12" xr3:uid="{00000000-0010-0000-0200-00000C000000}" name="شناسه شاهد" dataDxfId="10"/>
    <tableColumn id="13" xr3:uid="{00000000-0010-0000-0200-00000D000000}" name="وضعیت بررسی" dataDxfId="9"/>
    <tableColumn id="14" xr3:uid="{00000000-0010-0000-0200-00000E000000}" name="ریسک" dataDxfId="8"/>
    <tableColumn id="15" xr3:uid="{00000000-0010-0000-0200-00000F000000}" name="نتیجه بررسی مدیریت" dataDxfId="7"/>
    <tableColumn id="16" xr3:uid="{00000000-0010-0000-0200-000010000000}" name="بررسی‌کننده" dataDxfId="6"/>
    <tableColumn id="17" xr3:uid="{00000000-0010-0000-0200-000011000000}" name="مرجع تأیید" dataDxfId="5"/>
    <tableColumn id="18" xr3:uid="{00000000-0010-0000-0200-000012000000}" name="کنترل ورودی"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IMS_Table_4" displayName="IMS_Table_4" ref="A7:W60" totalsRowShown="0">
  <autoFilter ref="A7:W60" xr:uid="{00000000-0009-0000-0100-000003000000}"/>
  <tableColumns count="23">
    <tableColumn id="1" xr3:uid="{00000000-0010-0000-0300-000001000000}" name="شناسه شاخص"/>
    <tableColumn id="2" xr3:uid="{00000000-0010-0000-0300-000002000000}" name="شرکت"/>
    <tableColumn id="3" xr3:uid="{00000000-0010-0000-0300-000003000000}" name="دوره"/>
    <tableColumn id="4" xr3:uid="{00000000-0010-0000-0300-000004000000}" name="جلسه"/>
    <tableColumn id="5" xr3:uid="{00000000-0010-0000-0300-000005000000}" name="نوع داده"/>
    <tableColumn id="6" xr3:uid="{00000000-0010-0000-0300-000006000000}" name="شناسه ورودی"/>
    <tableColumn id="7" xr3:uid="{00000000-0010-0000-0300-000007000000}" name="فرآیند"/>
    <tableColumn id="8" xr3:uid="{00000000-0010-0000-0300-000008000000}" name="سیستم"/>
    <tableColumn id="9" xr3:uid="{00000000-0010-0000-0300-000009000000}" name="نام شاخص"/>
    <tableColumn id="10" xr3:uid="{00000000-0010-0000-0300-00000A000000}" name="واحد"/>
    <tableColumn id="11" xr3:uid="{00000000-0010-0000-0300-00000B000000}" name="جهت مطلوب"/>
    <tableColumn id="12" xr3:uid="{00000000-0010-0000-0300-00000C000000}" name="هدف مصوب"/>
    <tableColumn id="13" xr3:uid="{00000000-0010-0000-0300-00000D000000}" name="دوره قبل"/>
    <tableColumn id="14" xr3:uid="{00000000-0010-0000-0300-00000E000000}" name="واقعی"/>
    <tableColumn id="15" xr3:uid="{00000000-0010-0000-0300-00000F000000}" name="منشأ هدف"/>
    <tableColumn id="16" xr3:uid="{00000000-0010-0000-0300-000010000000}" name="مرجع داده و هدف"/>
    <tableColumn id="17" xr3:uid="{00000000-0010-0000-0300-000011000000}" name="اعتبار داده"/>
    <tableColumn id="18" xr3:uid="{00000000-0010-0000-0300-000012000000}" name="انحراف از هدف"/>
    <tableColumn id="19" xr3:uid="{00000000-0010-0000-0300-000013000000}" name="تغییر نسبت قبل"/>
    <tableColumn id="20" xr3:uid="{00000000-0010-0000-0300-000014000000}" name="تحقق هدف"/>
    <tableColumn id="21" xr3:uid="{00000000-0010-0000-0300-000015000000}" name="برنامه مرتبط معتبر"/>
    <tableColumn id="22" xr3:uid="{00000000-0010-0000-0300-000016000000}" name="هشدار اجرایی"/>
    <tableColumn id="23" xr3:uid="{00000000-0010-0000-0300-000017000000}" name="تحلیل مالک"/>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4000000}" name="IMS_Table_5" displayName="IMS_Table_5" ref="A7:L43" totalsRowShown="0">
  <autoFilter ref="A7:L43" xr:uid="{00000000-0009-0000-0100-00000F000000}"/>
  <tableColumns count="12">
    <tableColumn id="1" xr3:uid="{00000000-0010-0000-0400-000001000000}" name="شناسه مسئله"/>
    <tableColumn id="2" xr3:uid="{00000000-0010-0000-0400-000002000000}" name="شرکت"/>
    <tableColumn id="3" xr3:uid="{00000000-0010-0000-0400-000003000000}" name="دوره"/>
    <tableColumn id="4" xr3:uid="{00000000-0010-0000-0400-000004000000}" name="جلسه"/>
    <tableColumn id="5" xr3:uid="{00000000-0010-0000-0400-000005000000}" name="نوع داده"/>
    <tableColumn id="6" xr3:uid="{00000000-0010-0000-0400-000006000000}" name="ورودی مرتبط"/>
    <tableColumn id="7" xr3:uid="{00000000-0010-0000-0400-000007000000}" name="موضوع"/>
    <tableColumn id="8" xr3:uid="{00000000-0010-0000-0400-000008000000}" name="ریسک"/>
    <tableColumn id="9" xr3:uid="{00000000-0010-0000-0400-000009000000}" name="یافته و تحلیل"/>
    <tableColumn id="10" xr3:uid="{00000000-0010-0000-0400-00000A000000}" name="پیشنهاد تصمیم"/>
    <tableColumn id="11" xr3:uid="{00000000-0010-0000-0400-00000B000000}" name="اولویت"/>
    <tableColumn id="12" xr3:uid="{00000000-0010-0000-0400-00000C000000}" name="شاهد"/>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IMS_Table_6" displayName="IMS_Table_6" ref="A7:P39" totalsRowShown="0">
  <autoFilter ref="A7:P39" xr:uid="{00000000-0009-0000-0100-00000A000000}"/>
  <tableColumns count="16">
    <tableColumn id="1" xr3:uid="{00000000-0010-0000-0500-000001000000}" name="شناسه نتیجه"/>
    <tableColumn id="2" xr3:uid="{00000000-0010-0000-0500-000002000000}" name="شرکت"/>
    <tableColumn id="3" xr3:uid="{00000000-0010-0000-0500-000003000000}" name="دوره"/>
    <tableColumn id="4" xr3:uid="{00000000-0010-0000-0500-000004000000}" name="جلسه"/>
    <tableColumn id="5" xr3:uid="{00000000-0010-0000-0500-000005000000}" name="نوع داده"/>
    <tableColumn id="6" xr3:uid="{00000000-0010-0000-0500-000006000000}" name="سیستم"/>
    <tableColumn id="7" xr3:uid="{00000000-0010-0000-0500-000007000000}" name="موضوع ارزیابی"/>
    <tableColumn id="8" xr3:uid="{00000000-0010-0000-0500-000008000000}" name="شناسه شواهد"/>
    <tableColumn id="9" xr3:uid="{00000000-0010-0000-0500-000009000000}" name="جمع‌بندی تحلیلی"/>
    <tableColumn id="10" xr3:uid="{00000000-0010-0000-0500-00000A000000}" name="وضعیت ارزیابی"/>
    <tableColumn id="11" xr3:uid="{00000000-0010-0000-0500-00000B000000}" name="نظر مدیریت"/>
    <tableColumn id="12" xr3:uid="{00000000-0010-0000-0500-00000C000000}" name="ضرورت اقدام"/>
    <tableColumn id="13" xr3:uid="{00000000-0010-0000-0500-00000D000000}" name="تصمیم مرتبط"/>
    <tableColumn id="14" xr3:uid="{00000000-0010-0000-0500-00000E000000}" name="مرجع تأیید"/>
    <tableColumn id="15" xr3:uid="{00000000-0010-0000-0500-00000F000000}" name="تاریخ تأیید"/>
    <tableColumn id="16" xr3:uid="{00000000-0010-0000-0500-000010000000}" name="اعتبار نتیجه"/>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6000000}" name="IMS_Table_7" displayName="IMS_Table_7" ref="A7:AB43" totalsRowShown="0">
  <tableColumns count="28">
    <tableColumn id="1" xr3:uid="{00000000-0010-0000-0600-000001000000}" name="شناسه تصمیم"/>
    <tableColumn id="2" xr3:uid="{00000000-0010-0000-0600-000002000000}" name="شناسه جلسه"/>
    <tableColumn id="3" xr3:uid="{00000000-0010-0000-0600-000003000000}" name="شرکت"/>
    <tableColumn id="4" xr3:uid="{00000000-0010-0000-0600-000004000000}" name="دوره"/>
    <tableColumn id="5" xr3:uid="{00000000-0010-0000-0600-000005000000}" name="سیستم"/>
    <tableColumn id="6" xr3:uid="{00000000-0010-0000-0600-000006000000}" name="ورودی اصلی"/>
    <tableColumn id="7" xr3:uid="{00000000-0010-0000-0600-000007000000}" name="عنوان"/>
    <tableColumn id="8" xr3:uid="{00000000-0010-0000-0600-000008000000}" name="مستند و تحلیل"/>
    <tableColumn id="9" xr3:uid="{00000000-0010-0000-0600-000009000000}" name="نوع خروجی"/>
    <tableColumn id="10" xr3:uid="{00000000-0010-0000-0600-00000A000000}" name="نتیجه بررسی مدیریت"/>
    <tableColumn id="11" xr3:uid="{00000000-0010-0000-0600-00000B000000}" name="متن دقیق تصمیم"/>
    <tableColumn id="12" xr3:uid="{00000000-0010-0000-0600-00000C000000}" name="وضعیت تصمیم"/>
    <tableColumn id="13" xr3:uid="{00000000-0010-0000-0600-00000D000000}" name="دلیل و مستند"/>
    <tableColumn id="14" xr3:uid="{00000000-0010-0000-0600-00000E000000}" name="اقدام لازم؟"/>
    <tableColumn id="15" xr3:uid="{00000000-0010-0000-0600-00000F000000}" name="مسئول پاسخ‌گو"/>
    <tableColumn id="16" xr3:uid="{00000000-0010-0000-0600-000010000000}" name="همکاران"/>
    <tableColumn id="17" xr3:uid="{00000000-0010-0000-0600-000011000000}" name="منابع لازم"/>
    <tableColumn id="18" xr3:uid="{00000000-0010-0000-0600-000012000000}" name="مهلت میلادی"/>
    <tableColumn id="19" xr3:uid="{00000000-0010-0000-0600-000013000000}" name="معیار تحقق"/>
    <tableColumn id="20" xr3:uid="{00000000-0010-0000-0600-000014000000}" name="روش اثربخشی"/>
    <tableColumn id="21" xr3:uid="{00000000-0010-0000-0600-000015000000}" name="شناسه اقدامات؛ راهنما"/>
    <tableColumn id="22" xr3:uid="{00000000-0010-0000-0600-000016000000}" name="مرجع تصویب"/>
    <tableColumn id="23" xr3:uid="{00000000-0010-0000-0600-000017000000}" name="تاریخ تصویب"/>
    <tableColumn id="24" xr3:uid="{00000000-0010-0000-0600-000018000000}" name="نوع داده"/>
    <tableColumn id="25" xr3:uid="{00000000-0010-0000-0600-000019000000}" name="منشأ تصمیم"/>
    <tableColumn id="26" xr3:uid="{00000000-0010-0000-0600-00001A000000}" name="اعتبار تعیین تکلیف"/>
    <tableColumn id="27" xr3:uid="{00000000-0010-0000-0600-00001B000000}" name="وضعیت نهایی"/>
    <tableColumn id="28" xr3:uid="{00000000-0010-0000-0600-00001C000000}" name="ترتیب گزارش"/>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IMS_Table_8" displayName="IMS_Table_8" ref="A7:T41" totalsRowShown="0">
  <autoFilter ref="A7:T41" xr:uid="{00000000-0009-0000-0100-000005000000}"/>
  <tableColumns count="20">
    <tableColumn id="1" xr3:uid="{00000000-0010-0000-0700-000001000000}" name="شناسه اقدام"/>
    <tableColumn id="2" xr3:uid="{00000000-0010-0000-0700-000002000000}" name="شناسه تصمیم"/>
    <tableColumn id="3" xr3:uid="{00000000-0010-0000-0700-000003000000}" name="شرکت"/>
    <tableColumn id="4" xr3:uid="{00000000-0010-0000-0700-000004000000}" name="دوره"/>
    <tableColumn id="5" xr3:uid="{00000000-0010-0000-0700-000005000000}" name="جلسه"/>
    <tableColumn id="6" xr3:uid="{00000000-0010-0000-0700-000006000000}" name="نوع داده"/>
    <tableColumn id="7" xr3:uid="{00000000-0010-0000-0700-000007000000}" name="فعالیت اجرایی"/>
    <tableColumn id="8" xr3:uid="{00000000-0010-0000-0700-000008000000}" name="مسئول"/>
    <tableColumn id="9" xr3:uid="{00000000-0010-0000-0700-000009000000}" name="روز پیشنهادی"/>
    <tableColumn id="10" xr3:uid="{00000000-0010-0000-0700-00000A000000}" name="موعد مصوب میلادی"/>
    <tableColumn id="11" xr3:uid="{00000000-0010-0000-0700-00000B000000}" name="اولویت"/>
    <tableColumn id="12" xr3:uid="{00000000-0010-0000-0700-00000C000000}" name="وضعیت اجرا"/>
    <tableColumn id="13" xr3:uid="{00000000-0010-0000-0700-00000D000000}" name="معیار خاتمه"/>
    <tableColumn id="14" xr3:uid="{00000000-0010-0000-0700-00000E000000}" name="شناسه شاهد اجرا"/>
    <tableColumn id="15" xr3:uid="{00000000-0010-0000-0700-00000F000000}" name="تاریخ اجرا"/>
    <tableColumn id="16" xr3:uid="{00000000-0010-0000-0700-000010000000}" name="نتیجه اجرا"/>
    <tableColumn id="17" xr3:uid="{00000000-0010-0000-0700-000011000000}" name="کنترل ارتباط و اجرا"/>
    <tableColumn id="18" xr3:uid="{00000000-0010-0000-0700-000012000000}" name="وضعیت موعد"/>
    <tableColumn id="19" xr3:uid="{00000000-0010-0000-0700-000013000000}" name="ارزیابی معتبر"/>
    <tableColumn id="20" xr3:uid="{00000000-0010-0000-0700-000014000000}" name="وضعیت عملیاتی"/>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IMS_Table_9" displayName="IMS_Table_9" ref="A7:W23" totalsRowShown="0">
  <autoFilter ref="A7:W23" xr:uid="{00000000-0009-0000-0100-000007000000}"/>
  <tableColumns count="23">
    <tableColumn id="1" xr3:uid="{00000000-0010-0000-0800-000001000000}" name="شناسه درخواست"/>
    <tableColumn id="2" xr3:uid="{00000000-0010-0000-0800-000002000000}" name="تصمیم"/>
    <tableColumn id="3" xr3:uid="{00000000-0010-0000-0800-000003000000}" name="شرکت"/>
    <tableColumn id="4" xr3:uid="{00000000-0010-0000-0800-000004000000}" name="دوره"/>
    <tableColumn id="5" xr3:uid="{00000000-0010-0000-0800-000005000000}" name="جلسه"/>
    <tableColumn id="6" xr3:uid="{00000000-0010-0000-0800-000006000000}" name="نوع داده"/>
    <tableColumn id="7" xr3:uid="{00000000-0010-0000-0800-000007000000}" name="شرح نیاز / تغییر"/>
    <tableColumn id="8" xr3:uid="{00000000-0010-0000-0800-000008000000}" name="علت ضرورت"/>
    <tableColumn id="9" xr3:uid="{00000000-0010-0000-0800-000009000000}" name="نوع منبع"/>
    <tableColumn id="10" xr3:uid="{00000000-0010-0000-0800-00000A000000}" name="درخواست‌کننده"/>
    <tableColumn id="11" xr3:uid="{00000000-0010-0000-0800-00000B000000}" name="اولویت"/>
    <tableColumn id="12" xr3:uid="{00000000-0010-0000-0800-00000C000000}" name="برآورد هزینه"/>
    <tableColumn id="13" xr3:uid="{00000000-0010-0000-0800-00000D000000}" name="تصویب / رد / تعویق"/>
    <tableColumn id="14" xr3:uid="{00000000-0010-0000-0800-00000E000000}" name="مقدار مصوب"/>
    <tableColumn id="15" xr3:uid="{00000000-0010-0000-0800-00000F000000}" name="واحد و مبنای هزینه"/>
    <tableColumn id="16" xr3:uid="{00000000-0010-0000-0800-000010000000}" name="مرجع تصویب"/>
    <tableColumn id="17" xr3:uid="{00000000-0010-0000-0800-000011000000}" name="مسئول تأمین"/>
    <tableColumn id="18" xr3:uid="{00000000-0010-0000-0800-000012000000}" name="زمان موردنیاز"/>
    <tableColumn id="19" xr3:uid="{00000000-0010-0000-0800-000013000000}" name="وضعیت تأمین"/>
    <tableColumn id="20" xr3:uid="{00000000-0010-0000-0800-000014000000}" name="اثر مورد انتظار"/>
    <tableColumn id="21" xr3:uid="{00000000-0010-0000-0800-000015000000}" name="دلیل رد یا تعویق"/>
    <tableColumn id="22" xr3:uid="{00000000-0010-0000-0800-000016000000}" name="ریسک باقی‌مانده"/>
    <tableColumn id="23" xr3:uid="{00000000-0010-0000-0800-000017000000}" name="کنترل درخواست"/>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9000000}" name="IMS_Table_10" displayName="IMS_Table_10" ref="A7:Q23" totalsRowShown="0">
  <autoFilter ref="A7:Q23" xr:uid="{00000000-0009-0000-0100-000006000000}"/>
  <tableColumns count="17">
    <tableColumn id="1" xr3:uid="{00000000-0010-0000-0900-000001000000}" name="شناسه ارزیابی"/>
    <tableColumn id="2" xr3:uid="{00000000-0010-0000-0900-000002000000}" name="تصمیم"/>
    <tableColumn id="3" xr3:uid="{00000000-0010-0000-0900-000003000000}" name="اقدام"/>
    <tableColumn id="4" xr3:uid="{00000000-0010-0000-0900-000004000000}" name="شرکت"/>
    <tableColumn id="5" xr3:uid="{00000000-0010-0000-0900-000005000000}" name="دوره"/>
    <tableColumn id="6" xr3:uid="{00000000-0010-0000-0900-000006000000}" name="جلسه"/>
    <tableColumn id="7" xr3:uid="{00000000-0010-0000-0900-000007000000}" name="نوع داده"/>
    <tableColumn id="8" xr3:uid="{00000000-0010-0000-0900-000008000000}" name="نتیجه مورد انتظار"/>
    <tableColumn id="9" xr3:uid="{00000000-0010-0000-0900-000009000000}" name="معیار پذیرش"/>
    <tableColumn id="10" xr3:uid="{00000000-0010-0000-0900-00000A000000}" name="وضعیت اجرای اعلامی"/>
    <tableColumn id="11" xr3:uid="{00000000-0010-0000-0900-00000B000000}" name="شاهد ارزیابی"/>
    <tableColumn id="12" xr3:uid="{00000000-0010-0000-0900-00000C000000}" name="تاریخ بررسی"/>
    <tableColumn id="13" xr3:uid="{00000000-0010-0000-0900-00000D000000}" name="عملکرد پس از اقدام"/>
    <tableColumn id="14" xr3:uid="{00000000-0010-0000-0900-00000E000000}" name="نتیجه ارزیابی"/>
    <tableColumn id="15" xr3:uid="{00000000-0010-0000-0900-00000F000000}" name="ارزیاب"/>
    <tableColumn id="16" xr3:uid="{00000000-0010-0000-0900-000010000000}" name="اقدام تکمیلی"/>
    <tableColumn id="17" xr3:uid="{00000000-0010-0000-0900-000011000000}" name="اعتبار ارزیابی"/>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A000000}" name="IMS_Table_11" displayName="IMS_Table_11" ref="A7:G27" totalsRowShown="0">
  <autoFilter ref="A7:G27" xr:uid="{00000000-0009-0000-0100-000012000000}"/>
  <tableColumns count="7">
    <tableColumn id="1" xr3:uid="{00000000-0010-0000-0A00-000001000000}" name="ردیف"/>
    <tableColumn id="2" xr3:uid="{00000000-0010-0000-0A00-000002000000}" name="شناسه تصمیم"/>
    <tableColumn id="3" xr3:uid="{00000000-0010-0000-0A00-000003000000}" name="موضوع"/>
    <tableColumn id="4" xr3:uid="{00000000-0010-0000-0A00-000004000000}" name="تصمیم / پیشنهاد"/>
    <tableColumn id="5" xr3:uid="{00000000-0010-0000-0A00-000005000000}" name="مسئول"/>
    <tableColumn id="6" xr3:uid="{00000000-0010-0000-0A00-000006000000}" name="موعد"/>
    <tableColumn id="7" xr3:uid="{00000000-0010-0000-0A00-000007000000}" name="وضعیت"/>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B000000}" name="IMS_Table_12" displayName="IMS_Table_12" ref="A7:C17" totalsRowShown="0">
  <autoFilter ref="A7:C17" xr:uid="{00000000-0009-0000-0100-000013000000}"/>
  <tableColumns count="3">
    <tableColumn id="1" xr3:uid="{00000000-0010-0000-0B00-000001000000}" name="شاخص مدیریتی"/>
    <tableColumn id="2" xr3:uid="{00000000-0010-0000-0B00-000002000000}" name="تعداد"/>
    <tableColumn id="3" xr3:uid="{00000000-0010-0000-0B00-000003000000}" name="تفسیر"/>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IMS_Table_13" displayName="IMS_Table_13" ref="A7:O155" totalsRowShown="0">
  <autoFilter ref="A7:O155" xr:uid="{00000000-0009-0000-0100-00000E000000}"/>
  <tableColumns count="15">
    <tableColumn id="1" xr3:uid="{00000000-0010-0000-0C00-000001000000}" name="کلید کنترل"/>
    <tableColumn id="2" xr3:uid="{00000000-0010-0000-0C00-000002000000}" name="جلسه"/>
    <tableColumn id="3" xr3:uid="{00000000-0010-0000-0C00-000003000000}" name="شرکت"/>
    <tableColumn id="4" xr3:uid="{00000000-0010-0000-0C00-000004000000}" name="دوره"/>
    <tableColumn id="5" xr3:uid="{00000000-0010-0000-0C00-000005000000}" name="نوع داده"/>
    <tableColumn id="6" xr3:uid="{00000000-0010-0000-0C00-000006000000}" name="شناسه الزام"/>
    <tableColumn id="7" xr3:uid="{00000000-0010-0000-0C00-000007000000}" name="سیستم"/>
    <tableColumn id="8" xr3:uid="{00000000-0010-0000-0C00-000008000000}" name="بند"/>
    <tableColumn id="9" xr3:uid="{00000000-0010-0000-0C00-000009000000}" name="موضوع الزام"/>
    <tableColumn id="10" xr3:uid="{00000000-0010-0000-0C00-00000A000000}" name="نوع سابقه"/>
    <tableColumn id="11" xr3:uid="{00000000-0010-0000-0C00-00000B000000}" name="شناسه سابقه نتیجه"/>
    <tableColumn id="12" xr3:uid="{00000000-0010-0000-0C00-00000C000000}" name="دلیل عدم کاربرد"/>
    <tableColumn id="13" xr3:uid="{00000000-0010-0000-0C00-00000D000000}" name="مرجع تأیید عدم کاربرد"/>
    <tableColumn id="14" xr3:uid="{00000000-0010-0000-0C00-00000E000000}" name="کنترل پوشش"/>
    <tableColumn id="15" xr3:uid="{00000000-0010-0000-0C00-00000F000000}" name="توضیح / اصلاح لازم"/>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D000000}" name="IMS_Table_14" displayName="IMS_Table_14" ref="A7:I38" totalsRowShown="0">
  <autoFilter ref="A7:I38" xr:uid="{00000000-0009-0000-0100-00000B000000}"/>
  <tableColumns count="9">
    <tableColumn id="1" xr3:uid="{00000000-0010-0000-0D00-000001000000}" name="شناسه سند"/>
    <tableColumn id="2" xr3:uid="{00000000-0010-0000-0D00-000002000000}" name="شرکت"/>
    <tableColumn id="3" xr3:uid="{00000000-0010-0000-0D00-000003000000}" name="نوع"/>
    <tableColumn id="4" xr3:uid="{00000000-0010-0000-0D00-000004000000}" name="عنوان"/>
    <tableColumn id="5" xr3:uid="{00000000-0010-0000-0D00-000005000000}" name="مسیر / پیوند"/>
    <tableColumn id="6" xr3:uid="{00000000-0010-0000-0D00-000006000000}" name="نسخه / تاریخ"/>
    <tableColumn id="7" xr3:uid="{00000000-0010-0000-0D00-000007000000}" name="مالک"/>
    <tableColumn id="8" xr3:uid="{00000000-0010-0000-0D00-000008000000}" name="وضعیت دسترسی"/>
    <tableColumn id="9" xr3:uid="{00000000-0010-0000-0D00-000009000000}" name="توضیح و محدودیت"/>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E000000}" name="IMS_Table_15" displayName="IMS_Table_15" ref="A7:E60" totalsRowShown="0">
  <autoFilter ref="A7:E60" xr:uid="{00000000-0009-0000-0100-00000C000000}"/>
  <tableColumns count="5">
    <tableColumn id="1" xr3:uid="{00000000-0010-0000-0E00-000001000000}" name="شناسه رابطه"/>
    <tableColumn id="2" xr3:uid="{00000000-0010-0000-0E00-000002000000}" name="تصمیم"/>
    <tableColumn id="3" xr3:uid="{00000000-0010-0000-0E00-000003000000}" name="نوع مقصد"/>
    <tableColumn id="4" xr3:uid="{00000000-0010-0000-0E00-000004000000}" name="شناسه مقصد"/>
    <tableColumn id="5" xr3:uid="{00000000-0010-0000-0E00-000005000000}" name="کنترل رابطه"/>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F000000}" name="IMS_Table_16" displayName="IMS_Table_16" ref="A7:E14" totalsRowShown="0">
  <autoFilter ref="A7:E14" xr:uid="{00000000-0009-0000-0100-000015000000}"/>
  <tableColumns count="5">
    <tableColumn id="1" xr3:uid="{00000000-0010-0000-0F00-000001000000}" name="آزمون"/>
    <tableColumn id="2" xr3:uid="{00000000-0010-0000-0F00-000002000000}" name="سناریو"/>
    <tableColumn id="3" xr3:uid="{00000000-0010-0000-0F00-000003000000}" name="انتظار"/>
    <tableColumn id="4" xr3:uid="{00000000-0010-0000-0F00-000004000000}" name="نتیجه آزمون"/>
    <tableColumn id="5" xr3:uid="{00000000-0010-0000-0F00-000005000000}" name="کنترل انجام‌شده"/>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10000000}" name="IMS_Table_17" displayName="IMS_Table_17" ref="A7:M20" totalsRowShown="0">
  <autoFilter ref="A7:M20" xr:uid="{00000000-0009-0000-0100-000008000000}"/>
  <tableColumns count="13">
    <tableColumn id="1" xr3:uid="{00000000-0010-0000-1000-000001000000}" name="شناسه جلسه"/>
    <tableColumn id="2" xr3:uid="{00000000-0010-0000-1000-000002000000}" name="کد شرکت"/>
    <tableColumn id="3" xr3:uid="{00000000-0010-0000-1000-000003000000}" name="کد دوره"/>
    <tableColumn id="4" xr3:uid="{00000000-0010-0000-1000-000004000000}" name="نوع داده"/>
    <tableColumn id="5" xr3:uid="{00000000-0010-0000-1000-000005000000}" name="تاریخ جلسه"/>
    <tableColumn id="6" xr3:uid="{00000000-0010-0000-1000-000006000000}" name="شروع دوره"/>
    <tableColumn id="7" xr3:uid="{00000000-0010-0000-1000-000007000000}" name="پایان دوره"/>
    <tableColumn id="8" xr3:uid="{00000000-0010-0000-1000-000008000000}" name="وضعیت جلسه"/>
    <tableColumn id="9" xr3:uid="{00000000-0010-0000-1000-000009000000}" name="تصویب‌کننده"/>
    <tableColumn id="10" xr3:uid="{00000000-0010-0000-1000-00000A000000}" name="مرجع تصویب"/>
    <tableColumn id="11" xr3:uid="{00000000-0010-0000-1000-00000B000000}" name="حاضرین"/>
    <tableColumn id="12" xr3:uid="{00000000-0010-0000-1000-00000C000000}" name="توضیح دوره"/>
    <tableColumn id="13" xr3:uid="{00000000-0010-0000-1000-00000D000000}" name="کنترل جلسه"/>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11000000}" name="IMS_Table_18" displayName="IMS_Table_18" ref="A7:J27" totalsRowShown="0">
  <autoFilter ref="A7:J27" xr:uid="{00000000-0009-0000-0100-000009000000}"/>
  <tableColumns count="10">
    <tableColumn id="1" xr3:uid="{00000000-0010-0000-1100-000001000000}" name="کلید شرکت و سیستم"/>
    <tableColumn id="2" xr3:uid="{00000000-0010-0000-1100-000002000000}" name="شرکت"/>
    <tableColumn id="3" xr3:uid="{00000000-0010-0000-1100-000003000000}" name="سیستم"/>
    <tableColumn id="4" xr3:uid="{00000000-0010-0000-1100-000004000000}" name="قابل اعمال؟"/>
    <tableColumn id="5" xr3:uid="{00000000-0010-0000-1100-000005000000}" name="نسخه جاری شرکت"/>
    <tableColumn id="6" xr3:uid="{00000000-0010-0000-1100-000006000000}" name="گواهینامه / دامنه"/>
    <tableColumn id="7" xr3:uid="{00000000-0010-0000-1100-000007000000}" name="وضعیت و برنامه انتقال"/>
    <tableColumn id="8" xr3:uid="{00000000-0010-0000-1100-000008000000}" name="دلیل کاربرد / عدم کاربرد"/>
    <tableColumn id="9" xr3:uid="{00000000-0010-0000-1100-000009000000}" name="مرجع تأیید دامنه"/>
    <tableColumn id="10" xr3:uid="{00000000-0010-0000-1100-00000A000000}" name="تطبیق نسخه و متن"/>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2000000}" name="IMS_Table_19" displayName="IMS_Table_19" ref="A7:E1677" totalsRowShown="0">
  <autoFilter ref="A7:E1677" xr:uid="{00000000-0009-0000-0100-000010000000}"/>
  <tableColumns count="5">
    <tableColumn id="1" xr3:uid="{00000000-0010-0000-1200-000001000000}" name="فایل"/>
    <tableColumn id="2" xr3:uid="{00000000-0010-0000-1200-000002000000}" name="کاربرگ"/>
    <tableColumn id="3" xr3:uid="{00000000-0010-0000-1200-000003000000}" name="سلول"/>
    <tableColumn id="4" xr3:uid="{00000000-0010-0000-1200-000004000000}" name="محتوای منبع"/>
    <tableColumn id="5" xr3:uid="{00000000-0010-0000-1200-000005000000}" name="قالب / مرجع"/>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3000000}" name="IMS_Table_20" displayName="IMS_Table_20" ref="A7:L20" totalsRowShown="0">
  <autoFilter ref="A7:L20" xr:uid="{00000000-0009-0000-0100-00000D000000}"/>
  <tableColumns count="12">
    <tableColumn id="1" xr3:uid="{00000000-0010-0000-1300-000001000000}" name="شناسه ابلاغ"/>
    <tableColumn id="2" xr3:uid="{00000000-0010-0000-1300-000002000000}" name="تصمیم"/>
    <tableColumn id="3" xr3:uid="{00000000-0010-0000-1300-000003000000}" name="شرکت"/>
    <tableColumn id="4" xr3:uid="{00000000-0010-0000-1300-000004000000}" name="دوره"/>
    <tableColumn id="5" xr3:uid="{00000000-0010-0000-1300-000005000000}" name="جلسه"/>
    <tableColumn id="6" xr3:uid="{00000000-0010-0000-1300-000006000000}" name="نوع داده"/>
    <tableColumn id="7" xr3:uid="{00000000-0010-0000-1300-000007000000}" name="مخاطب"/>
    <tableColumn id="8" xr3:uid="{00000000-0010-0000-1300-000008000000}" name="تاریخ ابلاغ"/>
    <tableColumn id="9" xr3:uid="{00000000-0010-0000-1300-000009000000}" name="روش ابلاغ"/>
    <tableColumn id="10" xr3:uid="{00000000-0010-0000-1300-00000A000000}" name="شاهد ابلاغ"/>
    <tableColumn id="11" xr3:uid="{00000000-0010-0000-1300-00000B000000}" name="نتیجه / بازخورد"/>
    <tableColumn id="12" xr3:uid="{00000000-0010-0000-1300-00000C000000}" name="کنترل ابلا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C5B"/>
    <pageSetUpPr fitToPage="1"/>
  </sheetPr>
  <dimension ref="A1:C43"/>
  <sheetViews>
    <sheetView showGridLines="0" rightToLeft="1" zoomScale="85" workbookViewId="0">
      <pane ySplit="7" topLeftCell="A8" activePane="bottomLeft" state="frozen"/>
      <selection pane="bottomLeft" activeCell="B13" sqref="B13"/>
    </sheetView>
  </sheetViews>
  <sheetFormatPr defaultRowHeight="22.5"/>
  <cols>
    <col min="1" max="1" width="25" style="16" customWidth="1"/>
    <col min="2" max="2" width="105" style="10" customWidth="1"/>
    <col min="3" max="3" width="45" style="16" customWidth="1"/>
    <col min="4" max="16384" width="9" style="10"/>
  </cols>
  <sheetData>
    <row r="1" spans="1:3" ht="33.950000000000003" customHeight="1">
      <c r="A1" s="13" t="s">
        <v>0</v>
      </c>
      <c r="B1" s="13"/>
      <c r="C1" s="13"/>
    </row>
    <row r="2" spans="1:3" ht="26.1" customHeight="1">
      <c r="A2" s="14" t="s">
        <v>1</v>
      </c>
      <c r="B2" s="14"/>
      <c r="C2" s="14"/>
    </row>
    <row r="3" spans="1:3" ht="26.1" customHeight="1">
      <c r="A3" s="14"/>
      <c r="B3" s="14"/>
      <c r="C3" s="14"/>
    </row>
    <row r="4" spans="1:3">
      <c r="A4" s="15"/>
      <c r="B4" s="11"/>
      <c r="C4" s="15"/>
    </row>
    <row r="5" spans="1:3">
      <c r="A5" s="15"/>
      <c r="B5" s="11"/>
      <c r="C5" s="15"/>
    </row>
    <row r="6" spans="1:3">
      <c r="A6" s="15"/>
      <c r="B6" s="11"/>
      <c r="C6" s="15"/>
    </row>
    <row r="7" spans="1:3" ht="48" customHeight="1">
      <c r="A7" s="12" t="s">
        <v>2</v>
      </c>
      <c r="B7" s="12" t="s">
        <v>3</v>
      </c>
      <c r="C7" s="12" t="s">
        <v>4</v>
      </c>
    </row>
    <row r="8" spans="1:3" ht="48" customHeight="1">
      <c r="A8" s="15" t="s">
        <v>5</v>
      </c>
      <c r="B8" s="11" t="s">
        <v>6</v>
      </c>
      <c r="C8" s="15" t="s">
        <v>7</v>
      </c>
    </row>
    <row r="9" spans="1:3" ht="48" customHeight="1">
      <c r="A9" s="15" t="s">
        <v>8</v>
      </c>
      <c r="B9" s="11" t="s">
        <v>9</v>
      </c>
      <c r="C9" s="15" t="s">
        <v>10</v>
      </c>
    </row>
    <row r="10" spans="1:3" ht="48" customHeight="1">
      <c r="A10" s="15" t="s">
        <v>11</v>
      </c>
      <c r="B10" s="11" t="s">
        <v>12</v>
      </c>
      <c r="C10" s="15" t="s">
        <v>13</v>
      </c>
    </row>
    <row r="11" spans="1:3" ht="48" customHeight="1">
      <c r="A11" s="15" t="s">
        <v>14</v>
      </c>
      <c r="B11" s="11" t="s">
        <v>15</v>
      </c>
      <c r="C11" s="15" t="s">
        <v>16</v>
      </c>
    </row>
    <row r="12" spans="1:3" ht="48" customHeight="1">
      <c r="A12" s="15" t="s">
        <v>17</v>
      </c>
      <c r="B12" s="11" t="s">
        <v>18</v>
      </c>
      <c r="C12" s="15" t="s">
        <v>19</v>
      </c>
    </row>
    <row r="13" spans="1:3" ht="48" customHeight="1">
      <c r="A13" s="15" t="s">
        <v>20</v>
      </c>
      <c r="B13" s="11" t="s">
        <v>21</v>
      </c>
      <c r="C13" s="15" t="s">
        <v>22</v>
      </c>
    </row>
    <row r="14" spans="1:3" ht="48" customHeight="1">
      <c r="A14" s="15" t="s">
        <v>23</v>
      </c>
      <c r="B14" s="11" t="s">
        <v>24</v>
      </c>
      <c r="C14" s="15" t="s">
        <v>25</v>
      </c>
    </row>
    <row r="15" spans="1:3" ht="48" customHeight="1">
      <c r="A15" s="15" t="s">
        <v>26</v>
      </c>
      <c r="B15" s="11" t="s">
        <v>27</v>
      </c>
      <c r="C15" s="15" t="s">
        <v>28</v>
      </c>
    </row>
    <row r="16" spans="1:3" ht="48" customHeight="1">
      <c r="A16" s="15" t="s">
        <v>29</v>
      </c>
      <c r="B16" s="11" t="s">
        <v>30</v>
      </c>
      <c r="C16" s="15" t="s">
        <v>31</v>
      </c>
    </row>
    <row r="17" spans="1:3" ht="48" customHeight="1">
      <c r="A17" s="15" t="s">
        <v>32</v>
      </c>
      <c r="B17" s="11" t="s">
        <v>33</v>
      </c>
      <c r="C17" s="15" t="s">
        <v>34</v>
      </c>
    </row>
    <row r="18" spans="1:3" ht="48" customHeight="1">
      <c r="A18" s="15" t="s">
        <v>35</v>
      </c>
      <c r="B18" s="11" t="s">
        <v>36</v>
      </c>
      <c r="C18" s="15" t="s">
        <v>37</v>
      </c>
    </row>
    <row r="19" spans="1:3" ht="48" customHeight="1">
      <c r="A19" s="15" t="s">
        <v>38</v>
      </c>
      <c r="B19" s="11" t="s">
        <v>39</v>
      </c>
      <c r="C19" s="15" t="s">
        <v>40</v>
      </c>
    </row>
    <row r="20" spans="1:3" ht="48" customHeight="1">
      <c r="A20" s="15" t="s">
        <v>41</v>
      </c>
      <c r="B20" s="11" t="s">
        <v>42</v>
      </c>
      <c r="C20" s="15" t="s">
        <v>43</v>
      </c>
    </row>
    <row r="21" spans="1:3" ht="48" customHeight="1">
      <c r="A21" s="15" t="s">
        <v>44</v>
      </c>
      <c r="B21" s="11" t="s">
        <v>45</v>
      </c>
      <c r="C21" s="15" t="s">
        <v>46</v>
      </c>
    </row>
    <row r="22" spans="1:3" ht="48" customHeight="1">
      <c r="A22" s="15" t="s">
        <v>47</v>
      </c>
      <c r="B22" s="11" t="s">
        <v>48</v>
      </c>
      <c r="C22" s="15" t="s">
        <v>49</v>
      </c>
    </row>
    <row r="23" spans="1:3" ht="48" customHeight="1">
      <c r="A23" s="15" t="s">
        <v>50</v>
      </c>
      <c r="B23" s="11" t="s">
        <v>51</v>
      </c>
      <c r="C23" s="15" t="s">
        <v>52</v>
      </c>
    </row>
    <row r="24" spans="1:3" ht="36" customHeight="1">
      <c r="A24" s="15" t="s">
        <v>53</v>
      </c>
      <c r="B24" s="11" t="s">
        <v>54</v>
      </c>
      <c r="C24" s="15" t="s">
        <v>55</v>
      </c>
    </row>
    <row r="25" spans="1:3" ht="36" customHeight="1">
      <c r="A25" s="15" t="s">
        <v>53</v>
      </c>
      <c r="B25" s="11" t="s">
        <v>56</v>
      </c>
      <c r="C25" s="15" t="s">
        <v>55</v>
      </c>
    </row>
    <row r="26" spans="1:3" ht="36" customHeight="1">
      <c r="A26" s="15" t="s">
        <v>53</v>
      </c>
      <c r="B26" s="11" t="s">
        <v>57</v>
      </c>
      <c r="C26" s="15" t="s">
        <v>55</v>
      </c>
    </row>
    <row r="27" spans="1:3" ht="36" customHeight="1">
      <c r="A27" s="15" t="s">
        <v>53</v>
      </c>
      <c r="B27" s="11" t="s">
        <v>58</v>
      </c>
      <c r="C27" s="15" t="s">
        <v>55</v>
      </c>
    </row>
    <row r="28" spans="1:3" ht="36" customHeight="1">
      <c r="A28" s="15" t="s">
        <v>53</v>
      </c>
      <c r="B28" s="11" t="s">
        <v>59</v>
      </c>
      <c r="C28" s="15" t="s">
        <v>55</v>
      </c>
    </row>
    <row r="29" spans="1:3" ht="36" customHeight="1">
      <c r="A29" s="15" t="s">
        <v>53</v>
      </c>
      <c r="B29" s="11" t="s">
        <v>60</v>
      </c>
      <c r="C29" s="15" t="s">
        <v>55</v>
      </c>
    </row>
    <row r="30" spans="1:3" ht="36" customHeight="1">
      <c r="A30" s="15" t="s">
        <v>53</v>
      </c>
      <c r="B30" s="11" t="s">
        <v>61</v>
      </c>
      <c r="C30" s="15" t="s">
        <v>55</v>
      </c>
    </row>
    <row r="31" spans="1:3" ht="36" customHeight="1">
      <c r="A31" s="15" t="s">
        <v>53</v>
      </c>
      <c r="B31" s="11" t="s">
        <v>62</v>
      </c>
      <c r="C31" s="15" t="s">
        <v>55</v>
      </c>
    </row>
    <row r="32" spans="1:3" ht="36" customHeight="1">
      <c r="A32" s="15" t="s">
        <v>53</v>
      </c>
      <c r="B32" s="11" t="s">
        <v>63</v>
      </c>
      <c r="C32" s="15" t="s">
        <v>55</v>
      </c>
    </row>
    <row r="33" spans="1:3" ht="36" customHeight="1">
      <c r="A33" s="15" t="s">
        <v>53</v>
      </c>
      <c r="B33" s="11" t="s">
        <v>64</v>
      </c>
      <c r="C33" s="15" t="s">
        <v>55</v>
      </c>
    </row>
    <row r="34" spans="1:3" ht="36" customHeight="1">
      <c r="A34" s="15" t="s">
        <v>53</v>
      </c>
      <c r="B34" s="11" t="s">
        <v>65</v>
      </c>
      <c r="C34" s="15" t="s">
        <v>55</v>
      </c>
    </row>
    <row r="35" spans="1:3" ht="36" customHeight="1">
      <c r="A35" s="15" t="s">
        <v>53</v>
      </c>
      <c r="B35" s="11" t="s">
        <v>66</v>
      </c>
      <c r="C35" s="15" t="s">
        <v>55</v>
      </c>
    </row>
    <row r="36" spans="1:3" ht="36" customHeight="1">
      <c r="A36" s="15" t="s">
        <v>53</v>
      </c>
      <c r="B36" s="11" t="s">
        <v>67</v>
      </c>
      <c r="C36" s="15" t="s">
        <v>55</v>
      </c>
    </row>
    <row r="37" spans="1:3" ht="36" customHeight="1">
      <c r="A37" s="15" t="s">
        <v>53</v>
      </c>
      <c r="B37" s="11" t="s">
        <v>68</v>
      </c>
      <c r="C37" s="15" t="s">
        <v>55</v>
      </c>
    </row>
    <row r="38" spans="1:3" ht="36" customHeight="1">
      <c r="A38" s="15" t="s">
        <v>53</v>
      </c>
      <c r="B38" s="11" t="s">
        <v>69</v>
      </c>
      <c r="C38" s="15" t="s">
        <v>55</v>
      </c>
    </row>
    <row r="39" spans="1:3" ht="36" customHeight="1">
      <c r="A39" s="15" t="s">
        <v>53</v>
      </c>
      <c r="B39" s="11" t="s">
        <v>70</v>
      </c>
      <c r="C39" s="15" t="s">
        <v>55</v>
      </c>
    </row>
    <row r="40" spans="1:3" ht="36" customHeight="1">
      <c r="A40" s="15" t="s">
        <v>53</v>
      </c>
      <c r="B40" s="11" t="s">
        <v>71</v>
      </c>
      <c r="C40" s="15" t="s">
        <v>55</v>
      </c>
    </row>
    <row r="41" spans="1:3" ht="36" customHeight="1">
      <c r="A41" s="15" t="s">
        <v>53</v>
      </c>
      <c r="B41" s="11" t="s">
        <v>72</v>
      </c>
      <c r="C41" s="15" t="s">
        <v>55</v>
      </c>
    </row>
    <row r="42" spans="1:3" ht="36" customHeight="1">
      <c r="A42" s="15" t="s">
        <v>53</v>
      </c>
      <c r="B42" s="11" t="s">
        <v>73</v>
      </c>
      <c r="C42" s="15" t="s">
        <v>55</v>
      </c>
    </row>
    <row r="43" spans="1:3" ht="36" customHeight="1">
      <c r="A43" s="15" t="s">
        <v>53</v>
      </c>
      <c r="B43" s="11" t="s">
        <v>74</v>
      </c>
      <c r="C43" s="15" t="s">
        <v>55</v>
      </c>
    </row>
  </sheetData>
  <mergeCells count="2">
    <mergeCell ref="A1:C1"/>
    <mergeCell ref="A2:C3"/>
  </mergeCells>
  <hyperlinks>
    <hyperlink ref="B24" location="'01-تنظیمات'!A1" display="01-تنظیمات" xr:uid="{00000000-0004-0000-0000-000000000000}"/>
    <hyperlink ref="B25" location="'02-ماتریس الزامات'!A1" display="02-ماتریس الزامات" xr:uid="{00000000-0004-0000-0000-000001000000}"/>
    <hyperlink ref="B26" location="'03-ورودی‌های بازنگری'!A1" display="03-ورودی‌های بازنگری" xr:uid="{00000000-0004-0000-0000-000002000000}"/>
    <hyperlink ref="B27" location="'04-تحلیل شاخص‌ها'!A1" display="04-تحلیل شاخص‌ها" xr:uid="{00000000-0004-0000-0000-000003000000}"/>
    <hyperlink ref="B28" location="'05-موضوعات مدیریتی'!A1" display="05-موضوعات مدیریتی" xr:uid="{00000000-0004-0000-0000-000004000000}"/>
    <hyperlink ref="B29" location="'06-نتایج بازنگری'!A1" display="06-نتایج بازنگری" xr:uid="{00000000-0004-0000-0000-000005000000}"/>
    <hyperlink ref="B30" location="'07-تصمیمات و مصوبات'!A1" display="07-تصمیمات و مصوبات" xr:uid="{00000000-0004-0000-0000-000006000000}"/>
    <hyperlink ref="B31" location="'08-برنامه اقدامات'!A1" display="08-برنامه اقدامات" xr:uid="{00000000-0004-0000-0000-000007000000}"/>
    <hyperlink ref="B32" location="'09-منابع و تغییرات'!A1" display="09-منابع و تغییرات" xr:uid="{00000000-0004-0000-0000-000008000000}"/>
    <hyperlink ref="B33" location="'10-ارزیابی اثربخشی'!A1" display="10-ارزیابی اثربخشی" xr:uid="{00000000-0004-0000-0000-000009000000}"/>
    <hyperlink ref="B34" location="'11-صورت‌جلسه'!A1" display="11-صورت‌جلسه" xr:uid="{00000000-0004-0000-0000-00000A000000}"/>
    <hyperlink ref="B35" location="'12-داشبورد مدیریتی'!A1" display="12-داشبورد مدیریتی" xr:uid="{00000000-0004-0000-0000-00000B000000}"/>
    <hyperlink ref="B36" location="'13-کنترل انطباق'!A1" display="13-کنترل انطباق" xr:uid="{00000000-0004-0000-0000-00000C000000}"/>
    <hyperlink ref="B37" location="'14-مستندات و پیوست‌ها'!A1" display="14-مستندات و پیوست‌ها" xr:uid="{00000000-0004-0000-0000-00000D000000}"/>
    <hyperlink ref="B38" location="'15-روابط'!A1" display="15-روابط" xr:uid="{00000000-0004-0000-0000-00000E000000}"/>
    <hyperlink ref="B39" location="'16-آزمون‌ها'!A1" display="16-آزمون‌ها" xr:uid="{00000000-0004-0000-0000-00000F000000}"/>
    <hyperlink ref="B40" location="'17-جلسات و دوره‌ها'!A1" display="17-جلسات و دوره‌ها" xr:uid="{00000000-0004-0000-0000-000010000000}"/>
    <hyperlink ref="B41" location="'18-دامنه استانداردها'!A1" display="18-دامنه استانداردها" xr:uid="{00000000-0004-0000-0000-000011000000}"/>
    <hyperlink ref="B42" location="'19-سوابق مبنا'!A1" display="19-سوابق مبنا" xr:uid="{00000000-0004-0000-0000-000012000000}"/>
    <hyperlink ref="B43" location="'20-ابلاغ نتایج'!A1" display="20-ابلاغ نتایج" xr:uid="{00000000-0004-0000-0000-000013000000}"/>
  </hyperlinks>
  <printOptions horizontalCentered="1"/>
  <pageMargins left="0.25" right="0.25" top="0.5" bottom="0.5" header="0.2" footer="0.2"/>
  <pageSetup paperSize="8" scale="85"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32"/>
  <sheetViews>
    <sheetView showGridLines="0" rightToLeft="1" zoomScale="85" workbookViewId="0">
      <selection activeCell="C11" sqref="C11"/>
    </sheetView>
  </sheetViews>
  <sheetFormatPr defaultRowHeight="22.5"/>
  <cols>
    <col min="1" max="1" width="23.625" style="21" bestFit="1" customWidth="1"/>
    <col min="2" max="2" width="36.5" style="21" customWidth="1"/>
    <col min="3" max="3" width="38.875" style="24" customWidth="1"/>
    <col min="4" max="4" width="35.125" style="21" customWidth="1"/>
    <col min="5" max="6" width="12" style="17" customWidth="1"/>
    <col min="7" max="16384" width="9" style="17"/>
  </cols>
  <sheetData>
    <row r="1" spans="1:6" ht="42" customHeight="1">
      <c r="A1" s="19" t="s">
        <v>75</v>
      </c>
      <c r="B1" s="19"/>
      <c r="C1" s="19"/>
      <c r="D1" s="19"/>
      <c r="E1" s="19"/>
      <c r="F1" s="19"/>
    </row>
    <row r="2" spans="1:6" ht="42" customHeight="1">
      <c r="A2" s="20"/>
      <c r="B2" s="20"/>
      <c r="C2" s="20"/>
      <c r="D2" s="20"/>
      <c r="E2" s="18"/>
      <c r="F2" s="18"/>
    </row>
    <row r="3" spans="1:6" ht="42" customHeight="1">
      <c r="A3" s="20" t="s">
        <v>76</v>
      </c>
      <c r="B3" s="22" t="s">
        <v>77</v>
      </c>
      <c r="C3" s="20" t="s">
        <v>78</v>
      </c>
      <c r="D3" s="20"/>
      <c r="E3" s="18"/>
      <c r="F3" s="18"/>
    </row>
    <row r="4" spans="1:6" ht="42" customHeight="1">
      <c r="A4" s="20" t="s">
        <v>79</v>
      </c>
      <c r="B4" s="22" t="s">
        <v>80</v>
      </c>
      <c r="C4" s="20" t="s">
        <v>81</v>
      </c>
      <c r="D4" s="20"/>
      <c r="E4" s="18"/>
      <c r="F4" s="18"/>
    </row>
    <row r="5" spans="1:6" ht="42" customHeight="1">
      <c r="A5" s="20" t="s">
        <v>82</v>
      </c>
      <c r="B5" s="22" t="s">
        <v>83</v>
      </c>
      <c r="C5" s="20" t="s">
        <v>84</v>
      </c>
      <c r="D5" s="20"/>
      <c r="E5" s="18"/>
      <c r="F5" s="18"/>
    </row>
    <row r="6" spans="1:6" ht="42" customHeight="1">
      <c r="A6" s="20" t="s">
        <v>85</v>
      </c>
      <c r="B6" s="23">
        <v>46314</v>
      </c>
      <c r="C6" s="20" t="s">
        <v>86</v>
      </c>
      <c r="D6" s="20"/>
      <c r="E6" s="18"/>
      <c r="F6" s="18"/>
    </row>
    <row r="7" spans="1:6" ht="42" customHeight="1">
      <c r="A7" s="20" t="s">
        <v>87</v>
      </c>
      <c r="B7" s="22" t="s">
        <v>88</v>
      </c>
      <c r="C7" s="20" t="s">
        <v>89</v>
      </c>
      <c r="D7" s="20"/>
      <c r="E7" s="18"/>
      <c r="F7" s="18"/>
    </row>
    <row r="8" spans="1:6" ht="42" customHeight="1">
      <c r="A8" s="20" t="s">
        <v>90</v>
      </c>
      <c r="B8" s="22">
        <v>1</v>
      </c>
      <c r="C8" s="20" t="s">
        <v>91</v>
      </c>
      <c r="D8" s="20"/>
      <c r="E8" s="18"/>
      <c r="F8" s="18"/>
    </row>
    <row r="9" spans="1:6" ht="42" customHeight="1">
      <c r="A9" s="20"/>
      <c r="B9" s="20"/>
      <c r="C9" s="20"/>
      <c r="D9" s="20"/>
      <c r="E9" s="18"/>
      <c r="F9" s="18"/>
    </row>
    <row r="10" spans="1:6" ht="42" customHeight="1">
      <c r="A10" s="20" t="s">
        <v>92</v>
      </c>
      <c r="B10" s="20" t="s">
        <v>93</v>
      </c>
      <c r="C10" s="20" t="s">
        <v>94</v>
      </c>
      <c r="D10" s="20" t="s">
        <v>95</v>
      </c>
      <c r="E10" s="18"/>
      <c r="F10" s="18"/>
    </row>
    <row r="11" spans="1:6" ht="42" customHeight="1">
      <c r="A11" s="20" t="s">
        <v>77</v>
      </c>
      <c r="B11" s="20" t="s">
        <v>96</v>
      </c>
      <c r="C11" s="20" t="s">
        <v>97</v>
      </c>
      <c r="D11" s="20" t="s">
        <v>98</v>
      </c>
      <c r="E11" s="18"/>
      <c r="F11" s="18"/>
    </row>
    <row r="12" spans="1:6" ht="42" customHeight="1">
      <c r="A12" s="20" t="s">
        <v>99</v>
      </c>
      <c r="B12" s="20" t="s">
        <v>100</v>
      </c>
      <c r="C12" s="20" t="s">
        <v>101</v>
      </c>
      <c r="D12" s="20" t="s">
        <v>102</v>
      </c>
      <c r="E12" s="18"/>
      <c r="F12" s="18"/>
    </row>
    <row r="13" spans="1:6" ht="42" customHeight="1">
      <c r="A13" s="20" t="s">
        <v>103</v>
      </c>
      <c r="B13" s="20" t="s">
        <v>104</v>
      </c>
      <c r="C13" s="20" t="s">
        <v>97</v>
      </c>
      <c r="D13" s="20" t="s">
        <v>105</v>
      </c>
      <c r="E13" s="18"/>
      <c r="F13" s="18"/>
    </row>
    <row r="14" spans="1:6" ht="42" customHeight="1">
      <c r="A14" s="20" t="s">
        <v>106</v>
      </c>
      <c r="B14" s="20" t="s">
        <v>107</v>
      </c>
      <c r="C14" s="20" t="s">
        <v>108</v>
      </c>
      <c r="D14" s="20" t="s">
        <v>109</v>
      </c>
      <c r="E14" s="18"/>
      <c r="F14" s="18"/>
    </row>
    <row r="15" spans="1:6" ht="42" customHeight="1">
      <c r="A15" s="20"/>
      <c r="B15" s="20"/>
      <c r="C15" s="20"/>
      <c r="D15" s="20"/>
      <c r="E15" s="18"/>
      <c r="F15" s="18"/>
    </row>
    <row r="16" spans="1:6" ht="42" customHeight="1">
      <c r="A16" s="20"/>
      <c r="B16" s="20"/>
      <c r="C16" s="20"/>
      <c r="D16" s="20"/>
      <c r="E16" s="18"/>
      <c r="F16" s="18"/>
    </row>
    <row r="17" spans="1:6" ht="42" customHeight="1">
      <c r="A17" s="20" t="s">
        <v>110</v>
      </c>
      <c r="B17" s="20" t="s">
        <v>111</v>
      </c>
      <c r="C17" s="20" t="s">
        <v>112</v>
      </c>
      <c r="D17" s="20" t="s">
        <v>113</v>
      </c>
      <c r="E17" s="18"/>
      <c r="F17" s="18"/>
    </row>
    <row r="18" spans="1:6" ht="42" customHeight="1">
      <c r="A18" s="20" t="s">
        <v>114</v>
      </c>
      <c r="B18" s="20" t="s">
        <v>115</v>
      </c>
      <c r="C18" s="20" t="s">
        <v>116</v>
      </c>
      <c r="D18" s="20" t="s">
        <v>117</v>
      </c>
      <c r="E18" s="18"/>
      <c r="F18" s="18"/>
    </row>
    <row r="19" spans="1:6" ht="42" customHeight="1">
      <c r="A19" s="20" t="s">
        <v>118</v>
      </c>
      <c r="B19" s="20" t="s">
        <v>119</v>
      </c>
      <c r="C19" s="20" t="s">
        <v>120</v>
      </c>
      <c r="D19" s="20" t="s">
        <v>121</v>
      </c>
      <c r="E19" s="18"/>
      <c r="F19" s="18"/>
    </row>
    <row r="20" spans="1:6" ht="42" customHeight="1">
      <c r="A20" s="20" t="s">
        <v>122</v>
      </c>
      <c r="B20" s="20" t="s">
        <v>123</v>
      </c>
      <c r="C20" s="20" t="s">
        <v>116</v>
      </c>
      <c r="D20" s="20" t="s">
        <v>124</v>
      </c>
      <c r="E20" s="18"/>
      <c r="F20" s="18"/>
    </row>
    <row r="21" spans="1:6" ht="42" customHeight="1">
      <c r="A21" s="20" t="s">
        <v>125</v>
      </c>
      <c r="B21" s="20" t="s">
        <v>126</v>
      </c>
      <c r="C21" s="20" t="s">
        <v>116</v>
      </c>
      <c r="D21" s="20" t="s">
        <v>124</v>
      </c>
      <c r="E21" s="18"/>
      <c r="F21" s="18"/>
    </row>
    <row r="22" spans="1:6" ht="42" customHeight="1">
      <c r="A22" s="20" t="s">
        <v>127</v>
      </c>
      <c r="B22" s="20" t="s">
        <v>126</v>
      </c>
      <c r="C22" s="20" t="s">
        <v>128</v>
      </c>
      <c r="D22" s="20" t="s">
        <v>129</v>
      </c>
      <c r="E22" s="18"/>
      <c r="F22" s="18"/>
    </row>
    <row r="23" spans="1:6" ht="42" customHeight="1">
      <c r="A23" s="20" t="s">
        <v>130</v>
      </c>
      <c r="B23" s="20" t="s">
        <v>131</v>
      </c>
      <c r="C23" s="20" t="s">
        <v>106</v>
      </c>
      <c r="D23" s="20" t="s">
        <v>132</v>
      </c>
      <c r="E23" s="18"/>
      <c r="F23" s="18"/>
    </row>
    <row r="24" spans="1:6" ht="42" customHeight="1">
      <c r="A24" s="20"/>
      <c r="B24" s="20"/>
      <c r="C24" s="20"/>
      <c r="D24" s="20"/>
      <c r="E24" s="18"/>
      <c r="F24" s="18"/>
    </row>
    <row r="25" spans="1:6" ht="42" customHeight="1">
      <c r="A25" s="20"/>
      <c r="B25" s="20"/>
      <c r="C25" s="20"/>
      <c r="D25" s="20"/>
      <c r="E25" s="18"/>
      <c r="F25" s="18"/>
    </row>
    <row r="26" spans="1:6" ht="42" customHeight="1">
      <c r="A26" s="20" t="s">
        <v>133</v>
      </c>
      <c r="B26" s="20" t="s">
        <v>134</v>
      </c>
      <c r="C26" s="20" t="s">
        <v>135</v>
      </c>
      <c r="D26" s="20" t="s">
        <v>108</v>
      </c>
      <c r="E26" s="18"/>
      <c r="F26" s="18"/>
    </row>
    <row r="27" spans="1:6" ht="42" customHeight="1">
      <c r="A27" s="20" t="s">
        <v>136</v>
      </c>
      <c r="B27" s="20" t="s">
        <v>137</v>
      </c>
      <c r="C27" s="20" t="s">
        <v>138</v>
      </c>
      <c r="D27" s="20" t="s">
        <v>139</v>
      </c>
      <c r="E27" s="18"/>
      <c r="F27" s="18"/>
    </row>
    <row r="28" spans="1:6" ht="42" customHeight="1">
      <c r="A28" s="20" t="s">
        <v>140</v>
      </c>
      <c r="B28" s="20" t="s">
        <v>141</v>
      </c>
      <c r="C28" s="20" t="s">
        <v>142</v>
      </c>
      <c r="D28" s="20" t="s">
        <v>143</v>
      </c>
      <c r="E28" s="18"/>
      <c r="F28" s="18"/>
    </row>
    <row r="29" spans="1:6" ht="42" customHeight="1">
      <c r="A29" s="20" t="s">
        <v>144</v>
      </c>
      <c r="B29" s="20" t="s">
        <v>145</v>
      </c>
      <c r="C29" s="20" t="s">
        <v>146</v>
      </c>
      <c r="D29" s="20" t="s">
        <v>147</v>
      </c>
      <c r="E29" s="18"/>
      <c r="F29" s="18"/>
    </row>
    <row r="30" spans="1:6" ht="42" customHeight="1">
      <c r="A30" s="20" t="s">
        <v>148</v>
      </c>
      <c r="B30" s="20" t="s">
        <v>149</v>
      </c>
      <c r="C30" s="20" t="s">
        <v>150</v>
      </c>
      <c r="D30" s="20" t="s">
        <v>151</v>
      </c>
      <c r="E30" s="18"/>
      <c r="F30" s="18"/>
    </row>
    <row r="31" spans="1:6" ht="42" customHeight="1">
      <c r="A31" s="20" t="s">
        <v>152</v>
      </c>
      <c r="B31" s="20" t="s">
        <v>153</v>
      </c>
      <c r="C31" s="20" t="s">
        <v>154</v>
      </c>
      <c r="D31" s="20" t="s">
        <v>155</v>
      </c>
      <c r="E31" s="18"/>
      <c r="F31" s="18"/>
    </row>
    <row r="32" spans="1:6" ht="42" customHeight="1">
      <c r="A32" s="20" t="s">
        <v>156</v>
      </c>
      <c r="B32" s="20" t="s">
        <v>157</v>
      </c>
      <c r="C32" s="20" t="s">
        <v>158</v>
      </c>
      <c r="D32" s="20" t="s">
        <v>72</v>
      </c>
      <c r="E32" s="18"/>
      <c r="F32" s="18"/>
    </row>
  </sheetData>
  <mergeCells count="1">
    <mergeCell ref="A1:F1"/>
  </mergeCells>
  <dataValidations count="5">
    <dataValidation type="list" sqref="B3" xr:uid="{00000000-0002-0000-0100-000000000000}">
      <formula1>"NIPCO,DEMO,همه واقعی"</formula1>
    </dataValidation>
    <dataValidation type="list" sqref="B4" xr:uid="{00000000-0002-0000-0100-000001000000}">
      <formula1>"P-BASE,P-DEMO,P-DEMO-2,همه"</formula1>
    </dataValidation>
    <dataValidation type="list" sqref="B5" xr:uid="{00000000-0002-0000-0100-000002000000}">
      <formula1>"MR-NIPCO-BASE,MR-DEMO-01,MR-DEMO-02"</formula1>
    </dataValidation>
    <dataValidation type="list" sqref="B7" xr:uid="{00000000-0002-0000-0100-000003000000}">
      <formula1>"پیش از جلسه,پس از جلسه"</formula1>
    </dataValidation>
    <dataValidation type="whole" operator="greaterThanOrEqual" sqref="B8" xr:uid="{00000000-0002-0000-0100-000004000000}">
      <formula1>1</formula1>
    </dataValidation>
  </dataValidations>
  <printOptions horizontalCentered="1"/>
  <pageMargins left="0.25" right="0.25" top="0.5" bottom="0.5" header="0.2" footer="0.2"/>
  <pageSetup paperSize="8" scale="85" fitToHeight="0" orientation="landscape"/>
  <headerFooter>
    <oddHeader>&amp;LIMS / v02&amp;Cبازنگری مدیریت یکپارچه&amp;Rهلدینگ نیکان</oddHeader>
    <oddFooter>&amp;L&amp;A&amp;Cصفحه &amp;P از &amp;N&amp;Rوضعیت تصویب مطابق محتوای گزارش</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C5B"/>
    <pageSetUpPr fitToPage="1"/>
  </sheetPr>
  <dimension ref="A1:J81"/>
  <sheetViews>
    <sheetView showGridLines="0" rightToLeft="1" topLeftCell="E1" zoomScale="85" workbookViewId="0">
      <pane ySplit="7" topLeftCell="A8" activePane="bottomLeft" state="frozen"/>
      <selection pane="bottomLeft" activeCell="G8" sqref="G8"/>
    </sheetView>
  </sheetViews>
  <sheetFormatPr defaultRowHeight="22.5"/>
  <cols>
    <col min="1" max="1" width="15.75" style="16" bestFit="1" customWidth="1"/>
    <col min="2" max="2" width="12.125" style="16" bestFit="1" customWidth="1"/>
    <col min="3" max="3" width="28.125" style="16" bestFit="1" customWidth="1"/>
    <col min="4" max="4" width="22.125" style="16" bestFit="1" customWidth="1"/>
    <col min="5" max="5" width="8.75" style="16" bestFit="1" customWidth="1"/>
    <col min="6" max="6" width="44.875" style="16" bestFit="1" customWidth="1"/>
    <col min="7" max="7" width="13.875" style="16" bestFit="1" customWidth="1"/>
    <col min="8" max="8" width="44.875" style="10" bestFit="1" customWidth="1"/>
    <col min="9" max="9" width="47.5" style="10" bestFit="1" customWidth="1"/>
    <col min="10" max="10" width="61.75" style="10" bestFit="1" customWidth="1"/>
    <col min="11" max="16384" width="9" style="10"/>
  </cols>
  <sheetData>
    <row r="1" spans="1:10" ht="33.950000000000003" customHeight="1">
      <c r="A1" s="13" t="s">
        <v>159</v>
      </c>
      <c r="B1" s="13"/>
      <c r="C1" s="13"/>
      <c r="D1" s="13"/>
      <c r="E1" s="13"/>
      <c r="F1" s="13"/>
      <c r="G1" s="13"/>
      <c r="H1" s="13"/>
      <c r="I1" s="13"/>
      <c r="J1" s="13"/>
    </row>
    <row r="2" spans="1:10" ht="26.1" customHeight="1">
      <c r="A2" s="25" t="s">
        <v>160</v>
      </c>
      <c r="B2" s="25"/>
      <c r="C2" s="25"/>
      <c r="D2" s="25"/>
      <c r="E2" s="25"/>
      <c r="F2" s="25"/>
      <c r="G2" s="25"/>
      <c r="H2" s="25"/>
      <c r="I2" s="25"/>
      <c r="J2" s="25"/>
    </row>
    <row r="3" spans="1:10" ht="26.1" customHeight="1">
      <c r="A3" s="25"/>
      <c r="B3" s="25"/>
      <c r="C3" s="25"/>
      <c r="D3" s="25"/>
      <c r="E3" s="25"/>
      <c r="F3" s="25"/>
      <c r="G3" s="25"/>
      <c r="H3" s="25"/>
      <c r="I3" s="25"/>
      <c r="J3" s="25"/>
    </row>
    <row r="4" spans="1:10">
      <c r="A4" s="15"/>
      <c r="B4" s="15"/>
      <c r="C4" s="15"/>
      <c r="D4" s="15"/>
      <c r="E4" s="15"/>
      <c r="F4" s="15"/>
      <c r="G4" s="15"/>
      <c r="H4" s="11"/>
      <c r="I4" s="11"/>
      <c r="J4" s="11"/>
    </row>
    <row r="5" spans="1:10">
      <c r="A5" s="15"/>
      <c r="B5" s="15"/>
      <c r="C5" s="15"/>
      <c r="D5" s="15"/>
      <c r="E5" s="15"/>
      <c r="F5" s="15"/>
      <c r="G5" s="15"/>
      <c r="H5" s="11"/>
      <c r="I5" s="11"/>
      <c r="J5" s="11"/>
    </row>
    <row r="6" spans="1:10">
      <c r="A6" s="15"/>
      <c r="B6" s="15"/>
      <c r="C6" s="15"/>
      <c r="D6" s="15"/>
      <c r="E6" s="15"/>
      <c r="F6" s="15"/>
      <c r="G6" s="15"/>
      <c r="H6" s="11"/>
      <c r="I6" s="11"/>
      <c r="J6" s="11"/>
    </row>
    <row r="7" spans="1:10" ht="48" customHeight="1">
      <c r="A7" s="12" t="s">
        <v>161</v>
      </c>
      <c r="B7" s="12" t="s">
        <v>112</v>
      </c>
      <c r="C7" s="12" t="s">
        <v>162</v>
      </c>
      <c r="D7" s="12" t="s">
        <v>163</v>
      </c>
      <c r="E7" s="12" t="s">
        <v>164</v>
      </c>
      <c r="F7" s="12" t="s">
        <v>165</v>
      </c>
      <c r="G7" s="12" t="s">
        <v>166</v>
      </c>
      <c r="H7" s="12" t="s">
        <v>167</v>
      </c>
      <c r="I7" s="12" t="s">
        <v>168</v>
      </c>
      <c r="J7" s="12" t="s">
        <v>169</v>
      </c>
    </row>
    <row r="8" spans="1:10" ht="48" customHeight="1">
      <c r="A8" s="15" t="s">
        <v>170</v>
      </c>
      <c r="B8" s="15" t="s">
        <v>171</v>
      </c>
      <c r="C8" s="15" t="s">
        <v>172</v>
      </c>
      <c r="D8" s="15" t="s">
        <v>173</v>
      </c>
      <c r="E8" s="15" t="s">
        <v>174</v>
      </c>
      <c r="F8" s="15" t="s">
        <v>175</v>
      </c>
      <c r="G8" s="15" t="s">
        <v>176</v>
      </c>
      <c r="H8" s="11" t="s">
        <v>177</v>
      </c>
      <c r="I8" s="11" t="s">
        <v>178</v>
      </c>
      <c r="J8" s="11" t="s">
        <v>179</v>
      </c>
    </row>
    <row r="9" spans="1:10" ht="48" customHeight="1">
      <c r="A9" s="15" t="s">
        <v>180</v>
      </c>
      <c r="B9" s="15" t="s">
        <v>171</v>
      </c>
      <c r="C9" s="15" t="s">
        <v>172</v>
      </c>
      <c r="D9" s="15" t="s">
        <v>173</v>
      </c>
      <c r="E9" s="15" t="s">
        <v>174</v>
      </c>
      <c r="F9" s="15" t="s">
        <v>181</v>
      </c>
      <c r="G9" s="15" t="s">
        <v>182</v>
      </c>
      <c r="H9" s="11" t="s">
        <v>177</v>
      </c>
      <c r="I9" s="11" t="s">
        <v>178</v>
      </c>
      <c r="J9" s="11" t="s">
        <v>179</v>
      </c>
    </row>
    <row r="10" spans="1:10" ht="48" customHeight="1">
      <c r="A10" s="15" t="s">
        <v>183</v>
      </c>
      <c r="B10" s="15" t="s">
        <v>171</v>
      </c>
      <c r="C10" s="15" t="s">
        <v>172</v>
      </c>
      <c r="D10" s="15" t="s">
        <v>173</v>
      </c>
      <c r="E10" s="15" t="s">
        <v>174</v>
      </c>
      <c r="F10" s="15" t="s">
        <v>184</v>
      </c>
      <c r="G10" s="15" t="s">
        <v>185</v>
      </c>
      <c r="H10" s="11" t="s">
        <v>177</v>
      </c>
      <c r="I10" s="11" t="s">
        <v>178</v>
      </c>
      <c r="J10" s="11" t="s">
        <v>179</v>
      </c>
    </row>
    <row r="11" spans="1:10" ht="48" customHeight="1">
      <c r="A11" s="15" t="s">
        <v>186</v>
      </c>
      <c r="B11" s="15" t="s">
        <v>171</v>
      </c>
      <c r="C11" s="15" t="s">
        <v>172</v>
      </c>
      <c r="D11" s="15" t="s">
        <v>173</v>
      </c>
      <c r="E11" s="15" t="s">
        <v>174</v>
      </c>
      <c r="F11" s="15" t="s">
        <v>187</v>
      </c>
      <c r="G11" s="15" t="s">
        <v>188</v>
      </c>
      <c r="H11" s="11" t="s">
        <v>177</v>
      </c>
      <c r="I11" s="11" t="s">
        <v>178</v>
      </c>
      <c r="J11" s="11" t="s">
        <v>179</v>
      </c>
    </row>
    <row r="12" spans="1:10" ht="48" customHeight="1">
      <c r="A12" s="15" t="s">
        <v>189</v>
      </c>
      <c r="B12" s="15" t="s">
        <v>171</v>
      </c>
      <c r="C12" s="15" t="s">
        <v>172</v>
      </c>
      <c r="D12" s="15" t="s">
        <v>173</v>
      </c>
      <c r="E12" s="15" t="s">
        <v>174</v>
      </c>
      <c r="F12" s="15" t="s">
        <v>190</v>
      </c>
      <c r="G12" s="15" t="s">
        <v>188</v>
      </c>
      <c r="H12" s="11" t="s">
        <v>177</v>
      </c>
      <c r="I12" s="11" t="s">
        <v>178</v>
      </c>
      <c r="J12" s="11" t="s">
        <v>179</v>
      </c>
    </row>
    <row r="13" spans="1:10" ht="48" customHeight="1">
      <c r="A13" s="15" t="s">
        <v>191</v>
      </c>
      <c r="B13" s="15" t="s">
        <v>171</v>
      </c>
      <c r="C13" s="15" t="s">
        <v>172</v>
      </c>
      <c r="D13" s="15" t="s">
        <v>173</v>
      </c>
      <c r="E13" s="15" t="s">
        <v>174</v>
      </c>
      <c r="F13" s="15" t="s">
        <v>192</v>
      </c>
      <c r="G13" s="15" t="s">
        <v>193</v>
      </c>
      <c r="H13" s="11" t="s">
        <v>177</v>
      </c>
      <c r="I13" s="11" t="s">
        <v>178</v>
      </c>
      <c r="J13" s="11" t="s">
        <v>179</v>
      </c>
    </row>
    <row r="14" spans="1:10" ht="48" customHeight="1">
      <c r="A14" s="15" t="s">
        <v>194</v>
      </c>
      <c r="B14" s="15" t="s">
        <v>171</v>
      </c>
      <c r="C14" s="15" t="s">
        <v>172</v>
      </c>
      <c r="D14" s="15" t="s">
        <v>173</v>
      </c>
      <c r="E14" s="15" t="s">
        <v>174</v>
      </c>
      <c r="F14" s="15" t="s">
        <v>195</v>
      </c>
      <c r="G14" s="15" t="s">
        <v>196</v>
      </c>
      <c r="H14" s="11" t="s">
        <v>177</v>
      </c>
      <c r="I14" s="11" t="s">
        <v>178</v>
      </c>
      <c r="J14" s="11" t="s">
        <v>179</v>
      </c>
    </row>
    <row r="15" spans="1:10" ht="48" customHeight="1">
      <c r="A15" s="15" t="s">
        <v>197</v>
      </c>
      <c r="B15" s="15" t="s">
        <v>171</v>
      </c>
      <c r="C15" s="15" t="s">
        <v>172</v>
      </c>
      <c r="D15" s="15" t="s">
        <v>173</v>
      </c>
      <c r="E15" s="15" t="s">
        <v>174</v>
      </c>
      <c r="F15" s="15" t="s">
        <v>198</v>
      </c>
      <c r="G15" s="15" t="s">
        <v>199</v>
      </c>
      <c r="H15" s="11" t="s">
        <v>177</v>
      </c>
      <c r="I15" s="11" t="s">
        <v>178</v>
      </c>
      <c r="J15" s="11" t="s">
        <v>179</v>
      </c>
    </row>
    <row r="16" spans="1:10" ht="48" customHeight="1">
      <c r="A16" s="15" t="s">
        <v>200</v>
      </c>
      <c r="B16" s="15" t="s">
        <v>171</v>
      </c>
      <c r="C16" s="15" t="s">
        <v>172</v>
      </c>
      <c r="D16" s="15" t="s">
        <v>173</v>
      </c>
      <c r="E16" s="15" t="s">
        <v>174</v>
      </c>
      <c r="F16" s="15" t="s">
        <v>201</v>
      </c>
      <c r="G16" s="15" t="s">
        <v>202</v>
      </c>
      <c r="H16" s="11" t="s">
        <v>177</v>
      </c>
      <c r="I16" s="11" t="s">
        <v>178</v>
      </c>
      <c r="J16" s="11" t="s">
        <v>179</v>
      </c>
    </row>
    <row r="17" spans="1:10" ht="48" customHeight="1">
      <c r="A17" s="15" t="s">
        <v>203</v>
      </c>
      <c r="B17" s="15" t="s">
        <v>171</v>
      </c>
      <c r="C17" s="15" t="s">
        <v>172</v>
      </c>
      <c r="D17" s="15" t="s">
        <v>173</v>
      </c>
      <c r="E17" s="15" t="s">
        <v>174</v>
      </c>
      <c r="F17" s="15" t="s">
        <v>204</v>
      </c>
      <c r="G17" s="15" t="s">
        <v>205</v>
      </c>
      <c r="H17" s="11" t="s">
        <v>177</v>
      </c>
      <c r="I17" s="11" t="s">
        <v>178</v>
      </c>
      <c r="J17" s="11" t="s">
        <v>179</v>
      </c>
    </row>
    <row r="18" spans="1:10" ht="48" customHeight="1">
      <c r="A18" s="15" t="s">
        <v>206</v>
      </c>
      <c r="B18" s="15" t="s">
        <v>171</v>
      </c>
      <c r="C18" s="15" t="s">
        <v>172</v>
      </c>
      <c r="D18" s="15" t="s">
        <v>173</v>
      </c>
      <c r="E18" s="15" t="s">
        <v>174</v>
      </c>
      <c r="F18" s="15" t="s">
        <v>207</v>
      </c>
      <c r="G18" s="15" t="s">
        <v>208</v>
      </c>
      <c r="H18" s="11" t="s">
        <v>177</v>
      </c>
      <c r="I18" s="11" t="s">
        <v>178</v>
      </c>
      <c r="J18" s="11" t="s">
        <v>179</v>
      </c>
    </row>
    <row r="19" spans="1:10" ht="48" customHeight="1">
      <c r="A19" s="15" t="s">
        <v>209</v>
      </c>
      <c r="B19" s="15" t="s">
        <v>171</v>
      </c>
      <c r="C19" s="15" t="s">
        <v>172</v>
      </c>
      <c r="D19" s="15" t="s">
        <v>173</v>
      </c>
      <c r="E19" s="15" t="s">
        <v>174</v>
      </c>
      <c r="F19" s="15" t="s">
        <v>210</v>
      </c>
      <c r="G19" s="15" t="s">
        <v>196</v>
      </c>
      <c r="H19" s="11" t="s">
        <v>177</v>
      </c>
      <c r="I19" s="11" t="s">
        <v>178</v>
      </c>
      <c r="J19" s="11" t="s">
        <v>179</v>
      </c>
    </row>
    <row r="20" spans="1:10" ht="48" customHeight="1">
      <c r="A20" s="15" t="s">
        <v>211</v>
      </c>
      <c r="B20" s="15" t="s">
        <v>171</v>
      </c>
      <c r="C20" s="15" t="s">
        <v>172</v>
      </c>
      <c r="D20" s="15" t="s">
        <v>173</v>
      </c>
      <c r="E20" s="15" t="s">
        <v>174</v>
      </c>
      <c r="F20" s="15" t="s">
        <v>212</v>
      </c>
      <c r="G20" s="15" t="s">
        <v>213</v>
      </c>
      <c r="H20" s="11" t="s">
        <v>177</v>
      </c>
      <c r="I20" s="11" t="s">
        <v>178</v>
      </c>
      <c r="J20" s="11" t="s">
        <v>179</v>
      </c>
    </row>
    <row r="21" spans="1:10" ht="48" customHeight="1">
      <c r="A21" s="15" t="s">
        <v>214</v>
      </c>
      <c r="B21" s="15" t="s">
        <v>171</v>
      </c>
      <c r="C21" s="15" t="s">
        <v>172</v>
      </c>
      <c r="D21" s="15" t="s">
        <v>173</v>
      </c>
      <c r="E21" s="15" t="s">
        <v>174</v>
      </c>
      <c r="F21" s="15" t="s">
        <v>215</v>
      </c>
      <c r="G21" s="15" t="s">
        <v>176</v>
      </c>
      <c r="H21" s="11" t="s">
        <v>177</v>
      </c>
      <c r="I21" s="11" t="s">
        <v>178</v>
      </c>
      <c r="J21" s="11" t="s">
        <v>179</v>
      </c>
    </row>
    <row r="22" spans="1:10" ht="48" customHeight="1">
      <c r="A22" s="15" t="s">
        <v>216</v>
      </c>
      <c r="B22" s="15" t="s">
        <v>171</v>
      </c>
      <c r="C22" s="15" t="s">
        <v>217</v>
      </c>
      <c r="D22" s="15" t="s">
        <v>218</v>
      </c>
      <c r="E22" s="15" t="s">
        <v>219</v>
      </c>
      <c r="F22" s="15" t="s">
        <v>220</v>
      </c>
      <c r="G22" s="15" t="s">
        <v>221</v>
      </c>
      <c r="H22" s="11" t="s">
        <v>222</v>
      </c>
      <c r="I22" s="11" t="s">
        <v>178</v>
      </c>
      <c r="J22" s="11" t="s">
        <v>179</v>
      </c>
    </row>
    <row r="23" spans="1:10" ht="48" customHeight="1">
      <c r="A23" s="15" t="s">
        <v>223</v>
      </c>
      <c r="B23" s="15" t="s">
        <v>171</v>
      </c>
      <c r="C23" s="15" t="s">
        <v>217</v>
      </c>
      <c r="D23" s="15" t="s">
        <v>224</v>
      </c>
      <c r="E23" s="15" t="s">
        <v>225</v>
      </c>
      <c r="F23" s="15" t="s">
        <v>226</v>
      </c>
      <c r="G23" s="15" t="s">
        <v>227</v>
      </c>
      <c r="H23" s="11" t="s">
        <v>228</v>
      </c>
      <c r="I23" s="11" t="s">
        <v>178</v>
      </c>
      <c r="J23" s="11" t="s">
        <v>179</v>
      </c>
    </row>
    <row r="24" spans="1:10" ht="48" customHeight="1">
      <c r="A24" s="15" t="s">
        <v>229</v>
      </c>
      <c r="B24" s="15" t="s">
        <v>171</v>
      </c>
      <c r="C24" s="15" t="s">
        <v>217</v>
      </c>
      <c r="D24" s="15" t="s">
        <v>224</v>
      </c>
      <c r="E24" s="15" t="s">
        <v>225</v>
      </c>
      <c r="F24" s="15" t="s">
        <v>230</v>
      </c>
      <c r="G24" s="15" t="s">
        <v>227</v>
      </c>
      <c r="H24" s="11" t="s">
        <v>228</v>
      </c>
      <c r="I24" s="11" t="s">
        <v>178</v>
      </c>
      <c r="J24" s="11" t="s">
        <v>179</v>
      </c>
    </row>
    <row r="25" spans="1:10" ht="48" customHeight="1">
      <c r="A25" s="15" t="s">
        <v>231</v>
      </c>
      <c r="B25" s="15" t="s">
        <v>171</v>
      </c>
      <c r="C25" s="15" t="s">
        <v>217</v>
      </c>
      <c r="D25" s="15" t="s">
        <v>224</v>
      </c>
      <c r="E25" s="15" t="s">
        <v>225</v>
      </c>
      <c r="F25" s="15" t="s">
        <v>232</v>
      </c>
      <c r="G25" s="15" t="s">
        <v>227</v>
      </c>
      <c r="H25" s="11" t="s">
        <v>228</v>
      </c>
      <c r="I25" s="11" t="s">
        <v>178</v>
      </c>
      <c r="J25" s="11" t="s">
        <v>179</v>
      </c>
    </row>
    <row r="26" spans="1:10" ht="48" customHeight="1">
      <c r="A26" s="15" t="s">
        <v>233</v>
      </c>
      <c r="B26" s="15" t="s">
        <v>171</v>
      </c>
      <c r="C26" s="15" t="s">
        <v>217</v>
      </c>
      <c r="D26" s="15" t="s">
        <v>224</v>
      </c>
      <c r="E26" s="15" t="s">
        <v>225</v>
      </c>
      <c r="F26" s="15" t="s">
        <v>234</v>
      </c>
      <c r="G26" s="15" t="s">
        <v>227</v>
      </c>
      <c r="H26" s="11" t="s">
        <v>228</v>
      </c>
      <c r="I26" s="11" t="s">
        <v>178</v>
      </c>
      <c r="J26" s="11" t="s">
        <v>179</v>
      </c>
    </row>
    <row r="27" spans="1:10" ht="48" customHeight="1">
      <c r="A27" s="15" t="s">
        <v>235</v>
      </c>
      <c r="B27" s="15" t="s">
        <v>236</v>
      </c>
      <c r="C27" s="15" t="s">
        <v>237</v>
      </c>
      <c r="D27" s="15" t="s">
        <v>238</v>
      </c>
      <c r="E27" s="15" t="s">
        <v>219</v>
      </c>
      <c r="F27" s="15" t="s">
        <v>239</v>
      </c>
      <c r="G27" s="15" t="s">
        <v>221</v>
      </c>
      <c r="H27" s="11" t="s">
        <v>240</v>
      </c>
      <c r="I27" s="11" t="s">
        <v>178</v>
      </c>
      <c r="J27" s="11" t="s">
        <v>241</v>
      </c>
    </row>
    <row r="28" spans="1:10" ht="48" customHeight="1">
      <c r="A28" s="15" t="s">
        <v>242</v>
      </c>
      <c r="B28" s="15" t="s">
        <v>236</v>
      </c>
      <c r="C28" s="15" t="s">
        <v>237</v>
      </c>
      <c r="D28" s="15" t="s">
        <v>243</v>
      </c>
      <c r="E28" s="15" t="s">
        <v>244</v>
      </c>
      <c r="F28" s="15" t="s">
        <v>245</v>
      </c>
      <c r="G28" s="15" t="s">
        <v>246</v>
      </c>
      <c r="H28" s="11" t="s">
        <v>240</v>
      </c>
      <c r="I28" s="11" t="s">
        <v>178</v>
      </c>
      <c r="J28" s="11" t="s">
        <v>241</v>
      </c>
    </row>
    <row r="29" spans="1:10" ht="48" customHeight="1">
      <c r="A29" s="15" t="s">
        <v>247</v>
      </c>
      <c r="B29" s="15" t="s">
        <v>236</v>
      </c>
      <c r="C29" s="15" t="s">
        <v>237</v>
      </c>
      <c r="D29" s="15" t="s">
        <v>248</v>
      </c>
      <c r="E29" s="15" t="s">
        <v>244</v>
      </c>
      <c r="F29" s="15" t="s">
        <v>249</v>
      </c>
      <c r="G29" s="15" t="s">
        <v>188</v>
      </c>
      <c r="H29" s="11" t="s">
        <v>240</v>
      </c>
      <c r="I29" s="11" t="s">
        <v>178</v>
      </c>
      <c r="J29" s="11" t="s">
        <v>241</v>
      </c>
    </row>
    <row r="30" spans="1:10" ht="48" customHeight="1">
      <c r="A30" s="15" t="s">
        <v>250</v>
      </c>
      <c r="B30" s="15" t="s">
        <v>236</v>
      </c>
      <c r="C30" s="15" t="s">
        <v>237</v>
      </c>
      <c r="D30" s="15" t="s">
        <v>251</v>
      </c>
      <c r="E30" s="15" t="s">
        <v>244</v>
      </c>
      <c r="F30" s="15" t="s">
        <v>252</v>
      </c>
      <c r="G30" s="15" t="s">
        <v>193</v>
      </c>
      <c r="H30" s="11" t="s">
        <v>240</v>
      </c>
      <c r="I30" s="11" t="s">
        <v>178</v>
      </c>
      <c r="J30" s="11" t="s">
        <v>241</v>
      </c>
    </row>
    <row r="31" spans="1:10" ht="48" customHeight="1">
      <c r="A31" s="15" t="s">
        <v>253</v>
      </c>
      <c r="B31" s="15" t="s">
        <v>236</v>
      </c>
      <c r="C31" s="15" t="s">
        <v>237</v>
      </c>
      <c r="D31" s="15" t="s">
        <v>254</v>
      </c>
      <c r="E31" s="15" t="s">
        <v>244</v>
      </c>
      <c r="F31" s="15" t="s">
        <v>255</v>
      </c>
      <c r="G31" s="15" t="s">
        <v>256</v>
      </c>
      <c r="H31" s="11" t="s">
        <v>240</v>
      </c>
      <c r="I31" s="11" t="s">
        <v>178</v>
      </c>
      <c r="J31" s="11" t="s">
        <v>241</v>
      </c>
    </row>
    <row r="32" spans="1:10" ht="48" customHeight="1">
      <c r="A32" s="15" t="s">
        <v>257</v>
      </c>
      <c r="B32" s="15" t="s">
        <v>236</v>
      </c>
      <c r="C32" s="15" t="s">
        <v>237</v>
      </c>
      <c r="D32" s="15" t="s">
        <v>258</v>
      </c>
      <c r="E32" s="15" t="s">
        <v>244</v>
      </c>
      <c r="F32" s="15" t="s">
        <v>259</v>
      </c>
      <c r="G32" s="15" t="s">
        <v>185</v>
      </c>
      <c r="H32" s="11" t="s">
        <v>240</v>
      </c>
      <c r="I32" s="11" t="s">
        <v>178</v>
      </c>
      <c r="J32" s="11" t="s">
        <v>241</v>
      </c>
    </row>
    <row r="33" spans="1:10" ht="48" customHeight="1">
      <c r="A33" s="15" t="s">
        <v>260</v>
      </c>
      <c r="B33" s="15" t="s">
        <v>236</v>
      </c>
      <c r="C33" s="15" t="s">
        <v>237</v>
      </c>
      <c r="D33" s="15" t="s">
        <v>261</v>
      </c>
      <c r="E33" s="15" t="s">
        <v>244</v>
      </c>
      <c r="F33" s="15" t="s">
        <v>262</v>
      </c>
      <c r="G33" s="15" t="s">
        <v>263</v>
      </c>
      <c r="H33" s="11" t="s">
        <v>240</v>
      </c>
      <c r="I33" s="11" t="s">
        <v>178</v>
      </c>
      <c r="J33" s="11" t="s">
        <v>241</v>
      </c>
    </row>
    <row r="34" spans="1:10" ht="48" customHeight="1">
      <c r="A34" s="15" t="s">
        <v>264</v>
      </c>
      <c r="B34" s="15" t="s">
        <v>236</v>
      </c>
      <c r="C34" s="15" t="s">
        <v>237</v>
      </c>
      <c r="D34" s="15" t="s">
        <v>265</v>
      </c>
      <c r="E34" s="15" t="s">
        <v>244</v>
      </c>
      <c r="F34" s="15" t="s">
        <v>266</v>
      </c>
      <c r="G34" s="15" t="s">
        <v>193</v>
      </c>
      <c r="H34" s="11" t="s">
        <v>240</v>
      </c>
      <c r="I34" s="11" t="s">
        <v>178</v>
      </c>
      <c r="J34" s="11" t="s">
        <v>241</v>
      </c>
    </row>
    <row r="35" spans="1:10" ht="48" customHeight="1">
      <c r="A35" s="15" t="s">
        <v>267</v>
      </c>
      <c r="B35" s="15" t="s">
        <v>236</v>
      </c>
      <c r="C35" s="15" t="s">
        <v>237</v>
      </c>
      <c r="D35" s="15" t="s">
        <v>268</v>
      </c>
      <c r="E35" s="15" t="s">
        <v>244</v>
      </c>
      <c r="F35" s="15" t="s">
        <v>269</v>
      </c>
      <c r="G35" s="15" t="s">
        <v>185</v>
      </c>
      <c r="H35" s="11" t="s">
        <v>240</v>
      </c>
      <c r="I35" s="11" t="s">
        <v>178</v>
      </c>
      <c r="J35" s="11" t="s">
        <v>241</v>
      </c>
    </row>
    <row r="36" spans="1:10" ht="48" customHeight="1">
      <c r="A36" s="15" t="s">
        <v>270</v>
      </c>
      <c r="B36" s="15" t="s">
        <v>236</v>
      </c>
      <c r="C36" s="15" t="s">
        <v>237</v>
      </c>
      <c r="D36" s="15" t="s">
        <v>271</v>
      </c>
      <c r="E36" s="15" t="s">
        <v>244</v>
      </c>
      <c r="F36" s="15" t="s">
        <v>272</v>
      </c>
      <c r="G36" s="15" t="s">
        <v>193</v>
      </c>
      <c r="H36" s="11" t="s">
        <v>240</v>
      </c>
      <c r="I36" s="11" t="s">
        <v>178</v>
      </c>
      <c r="J36" s="11" t="s">
        <v>241</v>
      </c>
    </row>
    <row r="37" spans="1:10" ht="48" customHeight="1">
      <c r="A37" s="15" t="s">
        <v>273</v>
      </c>
      <c r="B37" s="15" t="s">
        <v>236</v>
      </c>
      <c r="C37" s="15" t="s">
        <v>237</v>
      </c>
      <c r="D37" s="15" t="s">
        <v>274</v>
      </c>
      <c r="E37" s="15" t="s">
        <v>244</v>
      </c>
      <c r="F37" s="15" t="s">
        <v>275</v>
      </c>
      <c r="G37" s="15" t="s">
        <v>193</v>
      </c>
      <c r="H37" s="11" t="s">
        <v>240</v>
      </c>
      <c r="I37" s="11" t="s">
        <v>178</v>
      </c>
      <c r="J37" s="11" t="s">
        <v>241</v>
      </c>
    </row>
    <row r="38" spans="1:10" ht="48" customHeight="1">
      <c r="A38" s="15" t="s">
        <v>276</v>
      </c>
      <c r="B38" s="15" t="s">
        <v>236</v>
      </c>
      <c r="C38" s="15" t="s">
        <v>237</v>
      </c>
      <c r="D38" s="15" t="s">
        <v>277</v>
      </c>
      <c r="E38" s="15" t="s">
        <v>244</v>
      </c>
      <c r="F38" s="15" t="s">
        <v>278</v>
      </c>
      <c r="G38" s="15" t="s">
        <v>256</v>
      </c>
      <c r="H38" s="11" t="s">
        <v>240</v>
      </c>
      <c r="I38" s="11" t="s">
        <v>178</v>
      </c>
      <c r="J38" s="11" t="s">
        <v>241</v>
      </c>
    </row>
    <row r="39" spans="1:10" ht="48" customHeight="1">
      <c r="A39" s="15" t="s">
        <v>279</v>
      </c>
      <c r="B39" s="15" t="s">
        <v>236</v>
      </c>
      <c r="C39" s="15" t="s">
        <v>237</v>
      </c>
      <c r="D39" s="15" t="s">
        <v>280</v>
      </c>
      <c r="E39" s="15" t="s">
        <v>281</v>
      </c>
      <c r="F39" s="15" t="s">
        <v>282</v>
      </c>
      <c r="G39" s="15" t="s">
        <v>283</v>
      </c>
      <c r="H39" s="11" t="s">
        <v>240</v>
      </c>
      <c r="I39" s="11" t="s">
        <v>178</v>
      </c>
      <c r="J39" s="11" t="s">
        <v>241</v>
      </c>
    </row>
    <row r="40" spans="1:10" ht="48" customHeight="1">
      <c r="A40" s="15" t="s">
        <v>284</v>
      </c>
      <c r="B40" s="15" t="s">
        <v>285</v>
      </c>
      <c r="C40" s="15" t="s">
        <v>286</v>
      </c>
      <c r="D40" s="15" t="s">
        <v>287</v>
      </c>
      <c r="E40" s="15" t="s">
        <v>174</v>
      </c>
      <c r="F40" s="15" t="s">
        <v>175</v>
      </c>
      <c r="G40" s="15" t="s">
        <v>176</v>
      </c>
      <c r="H40" s="11" t="s">
        <v>288</v>
      </c>
      <c r="I40" s="11" t="s">
        <v>178</v>
      </c>
      <c r="J40" s="11" t="s">
        <v>179</v>
      </c>
    </row>
    <row r="41" spans="1:10" ht="48" customHeight="1">
      <c r="A41" s="15" t="s">
        <v>289</v>
      </c>
      <c r="B41" s="15" t="s">
        <v>285</v>
      </c>
      <c r="C41" s="15" t="s">
        <v>286</v>
      </c>
      <c r="D41" s="15" t="s">
        <v>287</v>
      </c>
      <c r="E41" s="15" t="s">
        <v>174</v>
      </c>
      <c r="F41" s="15" t="s">
        <v>290</v>
      </c>
      <c r="G41" s="15" t="s">
        <v>182</v>
      </c>
      <c r="H41" s="11" t="s">
        <v>288</v>
      </c>
      <c r="I41" s="11" t="s">
        <v>178</v>
      </c>
      <c r="J41" s="11" t="s">
        <v>179</v>
      </c>
    </row>
    <row r="42" spans="1:10" ht="48" customHeight="1">
      <c r="A42" s="15" t="s">
        <v>291</v>
      </c>
      <c r="B42" s="15" t="s">
        <v>285</v>
      </c>
      <c r="C42" s="15" t="s">
        <v>286</v>
      </c>
      <c r="D42" s="15" t="s">
        <v>287</v>
      </c>
      <c r="E42" s="15" t="s">
        <v>174</v>
      </c>
      <c r="F42" s="15" t="s">
        <v>292</v>
      </c>
      <c r="G42" s="15" t="s">
        <v>293</v>
      </c>
      <c r="H42" s="11" t="s">
        <v>288</v>
      </c>
      <c r="I42" s="11" t="s">
        <v>178</v>
      </c>
      <c r="J42" s="11" t="s">
        <v>179</v>
      </c>
    </row>
    <row r="43" spans="1:10" ht="48" customHeight="1">
      <c r="A43" s="15" t="s">
        <v>294</v>
      </c>
      <c r="B43" s="15" t="s">
        <v>285</v>
      </c>
      <c r="C43" s="15" t="s">
        <v>286</v>
      </c>
      <c r="D43" s="15" t="s">
        <v>287</v>
      </c>
      <c r="E43" s="15" t="s">
        <v>174</v>
      </c>
      <c r="F43" s="15" t="s">
        <v>295</v>
      </c>
      <c r="G43" s="15" t="s">
        <v>188</v>
      </c>
      <c r="H43" s="11" t="s">
        <v>288</v>
      </c>
      <c r="I43" s="11" t="s">
        <v>178</v>
      </c>
      <c r="J43" s="11" t="s">
        <v>179</v>
      </c>
    </row>
    <row r="44" spans="1:10" ht="48" customHeight="1">
      <c r="A44" s="15" t="s">
        <v>296</v>
      </c>
      <c r="B44" s="15" t="s">
        <v>285</v>
      </c>
      <c r="C44" s="15" t="s">
        <v>286</v>
      </c>
      <c r="D44" s="15" t="s">
        <v>287</v>
      </c>
      <c r="E44" s="15" t="s">
        <v>174</v>
      </c>
      <c r="F44" s="15" t="s">
        <v>297</v>
      </c>
      <c r="G44" s="15" t="s">
        <v>202</v>
      </c>
      <c r="H44" s="11" t="s">
        <v>288</v>
      </c>
      <c r="I44" s="11" t="s">
        <v>178</v>
      </c>
      <c r="J44" s="11" t="s">
        <v>179</v>
      </c>
    </row>
    <row r="45" spans="1:10" ht="48" customHeight="1">
      <c r="A45" s="15" t="s">
        <v>298</v>
      </c>
      <c r="B45" s="15" t="s">
        <v>285</v>
      </c>
      <c r="C45" s="15" t="s">
        <v>286</v>
      </c>
      <c r="D45" s="15" t="s">
        <v>287</v>
      </c>
      <c r="E45" s="15" t="s">
        <v>174</v>
      </c>
      <c r="F45" s="15" t="s">
        <v>299</v>
      </c>
      <c r="G45" s="15" t="s">
        <v>300</v>
      </c>
      <c r="H45" s="11" t="s">
        <v>288</v>
      </c>
      <c r="I45" s="11" t="s">
        <v>178</v>
      </c>
      <c r="J45" s="11" t="s">
        <v>179</v>
      </c>
    </row>
    <row r="46" spans="1:10" ht="48" customHeight="1">
      <c r="A46" s="15" t="s">
        <v>301</v>
      </c>
      <c r="B46" s="15" t="s">
        <v>285</v>
      </c>
      <c r="C46" s="15" t="s">
        <v>286</v>
      </c>
      <c r="D46" s="15" t="s">
        <v>287</v>
      </c>
      <c r="E46" s="15" t="s">
        <v>174</v>
      </c>
      <c r="F46" s="15" t="s">
        <v>198</v>
      </c>
      <c r="G46" s="15" t="s">
        <v>199</v>
      </c>
      <c r="H46" s="11" t="s">
        <v>288</v>
      </c>
      <c r="I46" s="11" t="s">
        <v>178</v>
      </c>
      <c r="J46" s="11" t="s">
        <v>179</v>
      </c>
    </row>
    <row r="47" spans="1:10" ht="48" customHeight="1">
      <c r="A47" s="15" t="s">
        <v>302</v>
      </c>
      <c r="B47" s="15" t="s">
        <v>285</v>
      </c>
      <c r="C47" s="15" t="s">
        <v>286</v>
      </c>
      <c r="D47" s="15" t="s">
        <v>287</v>
      </c>
      <c r="E47" s="15" t="s">
        <v>174</v>
      </c>
      <c r="F47" s="15" t="s">
        <v>207</v>
      </c>
      <c r="G47" s="15" t="s">
        <v>208</v>
      </c>
      <c r="H47" s="11" t="s">
        <v>288</v>
      </c>
      <c r="I47" s="11" t="s">
        <v>178</v>
      </c>
      <c r="J47" s="11" t="s">
        <v>179</v>
      </c>
    </row>
    <row r="48" spans="1:10" ht="48" customHeight="1">
      <c r="A48" s="15" t="s">
        <v>303</v>
      </c>
      <c r="B48" s="15" t="s">
        <v>285</v>
      </c>
      <c r="C48" s="15" t="s">
        <v>286</v>
      </c>
      <c r="D48" s="15" t="s">
        <v>287</v>
      </c>
      <c r="E48" s="15" t="s">
        <v>174</v>
      </c>
      <c r="F48" s="15" t="s">
        <v>304</v>
      </c>
      <c r="G48" s="15" t="s">
        <v>305</v>
      </c>
      <c r="H48" s="11" t="s">
        <v>288</v>
      </c>
      <c r="I48" s="11" t="s">
        <v>178</v>
      </c>
      <c r="J48" s="11" t="s">
        <v>179</v>
      </c>
    </row>
    <row r="49" spans="1:10" ht="48" customHeight="1">
      <c r="A49" s="15" t="s">
        <v>306</v>
      </c>
      <c r="B49" s="15" t="s">
        <v>285</v>
      </c>
      <c r="C49" s="15" t="s">
        <v>286</v>
      </c>
      <c r="D49" s="15" t="s">
        <v>287</v>
      </c>
      <c r="E49" s="15" t="s">
        <v>174</v>
      </c>
      <c r="F49" s="15" t="s">
        <v>307</v>
      </c>
      <c r="G49" s="15" t="s">
        <v>185</v>
      </c>
      <c r="H49" s="11" t="s">
        <v>288</v>
      </c>
      <c r="I49" s="11" t="s">
        <v>178</v>
      </c>
      <c r="J49" s="11" t="s">
        <v>179</v>
      </c>
    </row>
    <row r="50" spans="1:10" ht="48" customHeight="1">
      <c r="A50" s="15" t="s">
        <v>308</v>
      </c>
      <c r="B50" s="15" t="s">
        <v>285</v>
      </c>
      <c r="C50" s="15" t="s">
        <v>286</v>
      </c>
      <c r="D50" s="15" t="s">
        <v>287</v>
      </c>
      <c r="E50" s="15" t="s">
        <v>174</v>
      </c>
      <c r="F50" s="15" t="s">
        <v>309</v>
      </c>
      <c r="G50" s="15" t="s">
        <v>213</v>
      </c>
      <c r="H50" s="11" t="s">
        <v>288</v>
      </c>
      <c r="I50" s="11" t="s">
        <v>178</v>
      </c>
      <c r="J50" s="11" t="s">
        <v>179</v>
      </c>
    </row>
    <row r="51" spans="1:10" ht="48" customHeight="1">
      <c r="A51" s="15" t="s">
        <v>310</v>
      </c>
      <c r="B51" s="15" t="s">
        <v>285</v>
      </c>
      <c r="C51" s="15" t="s">
        <v>286</v>
      </c>
      <c r="D51" s="15" t="s">
        <v>287</v>
      </c>
      <c r="E51" s="15" t="s">
        <v>174</v>
      </c>
      <c r="F51" s="15" t="s">
        <v>311</v>
      </c>
      <c r="G51" s="15" t="s">
        <v>305</v>
      </c>
      <c r="H51" s="11" t="s">
        <v>288</v>
      </c>
      <c r="I51" s="11" t="s">
        <v>178</v>
      </c>
      <c r="J51" s="11" t="s">
        <v>179</v>
      </c>
    </row>
    <row r="52" spans="1:10" ht="48" customHeight="1">
      <c r="A52" s="15" t="s">
        <v>312</v>
      </c>
      <c r="B52" s="15" t="s">
        <v>285</v>
      </c>
      <c r="C52" s="15" t="s">
        <v>286</v>
      </c>
      <c r="D52" s="15" t="s">
        <v>313</v>
      </c>
      <c r="E52" s="15" t="s">
        <v>225</v>
      </c>
      <c r="F52" s="15" t="s">
        <v>314</v>
      </c>
      <c r="G52" s="15" t="s">
        <v>315</v>
      </c>
      <c r="H52" s="11" t="s">
        <v>316</v>
      </c>
      <c r="I52" s="11" t="s">
        <v>178</v>
      </c>
      <c r="J52" s="11" t="s">
        <v>179</v>
      </c>
    </row>
    <row r="53" spans="1:10" ht="48" customHeight="1">
      <c r="A53" s="15" t="s">
        <v>317</v>
      </c>
      <c r="B53" s="15" t="s">
        <v>285</v>
      </c>
      <c r="C53" s="15" t="s">
        <v>286</v>
      </c>
      <c r="D53" s="15" t="s">
        <v>313</v>
      </c>
      <c r="E53" s="15" t="s">
        <v>225</v>
      </c>
      <c r="F53" s="15" t="s">
        <v>226</v>
      </c>
      <c r="G53" s="15" t="s">
        <v>315</v>
      </c>
      <c r="H53" s="11" t="s">
        <v>316</v>
      </c>
      <c r="I53" s="11" t="s">
        <v>178</v>
      </c>
      <c r="J53" s="11" t="s">
        <v>179</v>
      </c>
    </row>
    <row r="54" spans="1:10" ht="48" customHeight="1">
      <c r="A54" s="15" t="s">
        <v>318</v>
      </c>
      <c r="B54" s="15" t="s">
        <v>285</v>
      </c>
      <c r="C54" s="15" t="s">
        <v>286</v>
      </c>
      <c r="D54" s="15" t="s">
        <v>313</v>
      </c>
      <c r="E54" s="15" t="s">
        <v>225</v>
      </c>
      <c r="F54" s="15" t="s">
        <v>230</v>
      </c>
      <c r="G54" s="15" t="s">
        <v>315</v>
      </c>
      <c r="H54" s="11" t="s">
        <v>316</v>
      </c>
      <c r="I54" s="11" t="s">
        <v>178</v>
      </c>
      <c r="J54" s="11" t="s">
        <v>179</v>
      </c>
    </row>
    <row r="55" spans="1:10" ht="48" customHeight="1">
      <c r="A55" s="15" t="s">
        <v>319</v>
      </c>
      <c r="B55" s="15" t="s">
        <v>285</v>
      </c>
      <c r="C55" s="15" t="s">
        <v>286</v>
      </c>
      <c r="D55" s="15" t="s">
        <v>313</v>
      </c>
      <c r="E55" s="15" t="s">
        <v>225</v>
      </c>
      <c r="F55" s="15" t="s">
        <v>320</v>
      </c>
      <c r="G55" s="15" t="s">
        <v>315</v>
      </c>
      <c r="H55" s="11" t="s">
        <v>316</v>
      </c>
      <c r="I55" s="11" t="s">
        <v>178</v>
      </c>
      <c r="J55" s="11" t="s">
        <v>179</v>
      </c>
    </row>
    <row r="56" spans="1:10" ht="48" customHeight="1">
      <c r="A56" s="15" t="s">
        <v>321</v>
      </c>
      <c r="B56" s="15" t="s">
        <v>285</v>
      </c>
      <c r="C56" s="15" t="s">
        <v>286</v>
      </c>
      <c r="D56" s="15" t="s">
        <v>313</v>
      </c>
      <c r="E56" s="15" t="s">
        <v>225</v>
      </c>
      <c r="F56" s="15" t="s">
        <v>322</v>
      </c>
      <c r="G56" s="15" t="s">
        <v>315</v>
      </c>
      <c r="H56" s="11" t="s">
        <v>316</v>
      </c>
      <c r="I56" s="11" t="s">
        <v>178</v>
      </c>
      <c r="J56" s="11" t="s">
        <v>179</v>
      </c>
    </row>
    <row r="57" spans="1:10" ht="48" customHeight="1">
      <c r="A57" s="15" t="s">
        <v>323</v>
      </c>
      <c r="B57" s="15" t="s">
        <v>285</v>
      </c>
      <c r="C57" s="15" t="s">
        <v>286</v>
      </c>
      <c r="D57" s="15" t="s">
        <v>313</v>
      </c>
      <c r="E57" s="15" t="s">
        <v>225</v>
      </c>
      <c r="F57" s="15" t="s">
        <v>324</v>
      </c>
      <c r="G57" s="15" t="s">
        <v>315</v>
      </c>
      <c r="H57" s="11" t="s">
        <v>316</v>
      </c>
      <c r="I57" s="11" t="s">
        <v>178</v>
      </c>
      <c r="J57" s="11" t="s">
        <v>179</v>
      </c>
    </row>
    <row r="58" spans="1:10" ht="48" customHeight="1">
      <c r="A58" s="15" t="s">
        <v>325</v>
      </c>
      <c r="B58" s="15" t="s">
        <v>285</v>
      </c>
      <c r="C58" s="15" t="s">
        <v>286</v>
      </c>
      <c r="D58" s="15" t="s">
        <v>313</v>
      </c>
      <c r="E58" s="15" t="s">
        <v>225</v>
      </c>
      <c r="F58" s="15" t="s">
        <v>326</v>
      </c>
      <c r="G58" s="15" t="s">
        <v>315</v>
      </c>
      <c r="H58" s="11" t="s">
        <v>316</v>
      </c>
      <c r="I58" s="11" t="s">
        <v>178</v>
      </c>
      <c r="J58" s="11" t="s">
        <v>179</v>
      </c>
    </row>
    <row r="59" spans="1:10" ht="48" customHeight="1">
      <c r="A59" s="15" t="s">
        <v>327</v>
      </c>
      <c r="B59" s="15" t="s">
        <v>285</v>
      </c>
      <c r="C59" s="15" t="s">
        <v>286</v>
      </c>
      <c r="D59" s="15" t="s">
        <v>313</v>
      </c>
      <c r="E59" s="15" t="s">
        <v>225</v>
      </c>
      <c r="F59" s="15" t="s">
        <v>328</v>
      </c>
      <c r="G59" s="15" t="s">
        <v>315</v>
      </c>
      <c r="H59" s="11" t="s">
        <v>316</v>
      </c>
      <c r="I59" s="11" t="s">
        <v>178</v>
      </c>
      <c r="J59" s="11" t="s">
        <v>179</v>
      </c>
    </row>
    <row r="60" spans="1:10" ht="48" customHeight="1">
      <c r="A60" s="15" t="s">
        <v>329</v>
      </c>
      <c r="B60" s="15" t="s">
        <v>330</v>
      </c>
      <c r="C60" s="15" t="s">
        <v>331</v>
      </c>
      <c r="D60" s="15" t="s">
        <v>287</v>
      </c>
      <c r="E60" s="15" t="s">
        <v>174</v>
      </c>
      <c r="F60" s="15" t="s">
        <v>175</v>
      </c>
      <c r="G60" s="15" t="s">
        <v>176</v>
      </c>
      <c r="H60" s="11" t="s">
        <v>288</v>
      </c>
      <c r="I60" s="11" t="s">
        <v>178</v>
      </c>
      <c r="J60" s="11" t="s">
        <v>179</v>
      </c>
    </row>
    <row r="61" spans="1:10" ht="48" customHeight="1">
      <c r="A61" s="15" t="s">
        <v>332</v>
      </c>
      <c r="B61" s="15" t="s">
        <v>330</v>
      </c>
      <c r="C61" s="15" t="s">
        <v>331</v>
      </c>
      <c r="D61" s="15" t="s">
        <v>287</v>
      </c>
      <c r="E61" s="15" t="s">
        <v>174</v>
      </c>
      <c r="F61" s="15" t="s">
        <v>290</v>
      </c>
      <c r="G61" s="15" t="s">
        <v>182</v>
      </c>
      <c r="H61" s="11" t="s">
        <v>288</v>
      </c>
      <c r="I61" s="11" t="s">
        <v>178</v>
      </c>
      <c r="J61" s="11" t="s">
        <v>179</v>
      </c>
    </row>
    <row r="62" spans="1:10" ht="48" customHeight="1">
      <c r="A62" s="15" t="s">
        <v>333</v>
      </c>
      <c r="B62" s="15" t="s">
        <v>330</v>
      </c>
      <c r="C62" s="15" t="s">
        <v>331</v>
      </c>
      <c r="D62" s="15" t="s">
        <v>287</v>
      </c>
      <c r="E62" s="15" t="s">
        <v>174</v>
      </c>
      <c r="F62" s="15" t="s">
        <v>292</v>
      </c>
      <c r="G62" s="15" t="s">
        <v>293</v>
      </c>
      <c r="H62" s="11" t="s">
        <v>288</v>
      </c>
      <c r="I62" s="11" t="s">
        <v>178</v>
      </c>
      <c r="J62" s="11" t="s">
        <v>179</v>
      </c>
    </row>
    <row r="63" spans="1:10" ht="48" customHeight="1">
      <c r="A63" s="15" t="s">
        <v>334</v>
      </c>
      <c r="B63" s="15" t="s">
        <v>330</v>
      </c>
      <c r="C63" s="15" t="s">
        <v>331</v>
      </c>
      <c r="D63" s="15" t="s">
        <v>287</v>
      </c>
      <c r="E63" s="15" t="s">
        <v>174</v>
      </c>
      <c r="F63" s="15" t="s">
        <v>295</v>
      </c>
      <c r="G63" s="15" t="s">
        <v>188</v>
      </c>
      <c r="H63" s="11" t="s">
        <v>288</v>
      </c>
      <c r="I63" s="11" t="s">
        <v>178</v>
      </c>
      <c r="J63" s="11" t="s">
        <v>179</v>
      </c>
    </row>
    <row r="64" spans="1:10" ht="48" customHeight="1">
      <c r="A64" s="15" t="s">
        <v>335</v>
      </c>
      <c r="B64" s="15" t="s">
        <v>330</v>
      </c>
      <c r="C64" s="15" t="s">
        <v>331</v>
      </c>
      <c r="D64" s="15" t="s">
        <v>287</v>
      </c>
      <c r="E64" s="15" t="s">
        <v>174</v>
      </c>
      <c r="F64" s="15" t="s">
        <v>297</v>
      </c>
      <c r="G64" s="15" t="s">
        <v>202</v>
      </c>
      <c r="H64" s="11" t="s">
        <v>288</v>
      </c>
      <c r="I64" s="11" t="s">
        <v>178</v>
      </c>
      <c r="J64" s="11" t="s">
        <v>179</v>
      </c>
    </row>
    <row r="65" spans="1:10" ht="48" customHeight="1">
      <c r="A65" s="15" t="s">
        <v>336</v>
      </c>
      <c r="B65" s="15" t="s">
        <v>330</v>
      </c>
      <c r="C65" s="15" t="s">
        <v>331</v>
      </c>
      <c r="D65" s="15" t="s">
        <v>287</v>
      </c>
      <c r="E65" s="15" t="s">
        <v>174</v>
      </c>
      <c r="F65" s="15" t="s">
        <v>299</v>
      </c>
      <c r="G65" s="15" t="s">
        <v>300</v>
      </c>
      <c r="H65" s="11" t="s">
        <v>288</v>
      </c>
      <c r="I65" s="11" t="s">
        <v>178</v>
      </c>
      <c r="J65" s="11" t="s">
        <v>179</v>
      </c>
    </row>
    <row r="66" spans="1:10" ht="48" customHeight="1">
      <c r="A66" s="15" t="s">
        <v>337</v>
      </c>
      <c r="B66" s="15" t="s">
        <v>330</v>
      </c>
      <c r="C66" s="15" t="s">
        <v>331</v>
      </c>
      <c r="D66" s="15" t="s">
        <v>287</v>
      </c>
      <c r="E66" s="15" t="s">
        <v>174</v>
      </c>
      <c r="F66" s="15" t="s">
        <v>198</v>
      </c>
      <c r="G66" s="15" t="s">
        <v>199</v>
      </c>
      <c r="H66" s="11" t="s">
        <v>288</v>
      </c>
      <c r="I66" s="11" t="s">
        <v>178</v>
      </c>
      <c r="J66" s="11" t="s">
        <v>179</v>
      </c>
    </row>
    <row r="67" spans="1:10" ht="48" customHeight="1">
      <c r="A67" s="15" t="s">
        <v>338</v>
      </c>
      <c r="B67" s="15" t="s">
        <v>330</v>
      </c>
      <c r="C67" s="15" t="s">
        <v>331</v>
      </c>
      <c r="D67" s="15" t="s">
        <v>287</v>
      </c>
      <c r="E67" s="15" t="s">
        <v>174</v>
      </c>
      <c r="F67" s="15" t="s">
        <v>207</v>
      </c>
      <c r="G67" s="15" t="s">
        <v>208</v>
      </c>
      <c r="H67" s="11" t="s">
        <v>288</v>
      </c>
      <c r="I67" s="11" t="s">
        <v>178</v>
      </c>
      <c r="J67" s="11" t="s">
        <v>179</v>
      </c>
    </row>
    <row r="68" spans="1:10" ht="48" customHeight="1">
      <c r="A68" s="15" t="s">
        <v>339</v>
      </c>
      <c r="B68" s="15" t="s">
        <v>330</v>
      </c>
      <c r="C68" s="15" t="s">
        <v>331</v>
      </c>
      <c r="D68" s="15" t="s">
        <v>287</v>
      </c>
      <c r="E68" s="15" t="s">
        <v>174</v>
      </c>
      <c r="F68" s="15" t="s">
        <v>304</v>
      </c>
      <c r="G68" s="15" t="s">
        <v>305</v>
      </c>
      <c r="H68" s="11" t="s">
        <v>288</v>
      </c>
      <c r="I68" s="11" t="s">
        <v>178</v>
      </c>
      <c r="J68" s="11" t="s">
        <v>179</v>
      </c>
    </row>
    <row r="69" spans="1:10" ht="48" customHeight="1">
      <c r="A69" s="15" t="s">
        <v>340</v>
      </c>
      <c r="B69" s="15" t="s">
        <v>330</v>
      </c>
      <c r="C69" s="15" t="s">
        <v>331</v>
      </c>
      <c r="D69" s="15" t="s">
        <v>287</v>
      </c>
      <c r="E69" s="15" t="s">
        <v>174</v>
      </c>
      <c r="F69" s="15" t="s">
        <v>307</v>
      </c>
      <c r="G69" s="15" t="s">
        <v>185</v>
      </c>
      <c r="H69" s="11" t="s">
        <v>288</v>
      </c>
      <c r="I69" s="11" t="s">
        <v>178</v>
      </c>
      <c r="J69" s="11" t="s">
        <v>179</v>
      </c>
    </row>
    <row r="70" spans="1:10" ht="48" customHeight="1">
      <c r="A70" s="15" t="s">
        <v>341</v>
      </c>
      <c r="B70" s="15" t="s">
        <v>330</v>
      </c>
      <c r="C70" s="15" t="s">
        <v>331</v>
      </c>
      <c r="D70" s="15" t="s">
        <v>287</v>
      </c>
      <c r="E70" s="15" t="s">
        <v>174</v>
      </c>
      <c r="F70" s="15" t="s">
        <v>309</v>
      </c>
      <c r="G70" s="15" t="s">
        <v>213</v>
      </c>
      <c r="H70" s="11" t="s">
        <v>288</v>
      </c>
      <c r="I70" s="11" t="s">
        <v>178</v>
      </c>
      <c r="J70" s="11" t="s">
        <v>179</v>
      </c>
    </row>
    <row r="71" spans="1:10" ht="48" customHeight="1">
      <c r="A71" s="15" t="s">
        <v>342</v>
      </c>
      <c r="B71" s="15" t="s">
        <v>330</v>
      </c>
      <c r="C71" s="15" t="s">
        <v>331</v>
      </c>
      <c r="D71" s="15" t="s">
        <v>287</v>
      </c>
      <c r="E71" s="15" t="s">
        <v>174</v>
      </c>
      <c r="F71" s="15" t="s">
        <v>343</v>
      </c>
      <c r="G71" s="15" t="s">
        <v>344</v>
      </c>
      <c r="H71" s="11" t="s">
        <v>288</v>
      </c>
      <c r="I71" s="11" t="s">
        <v>178</v>
      </c>
      <c r="J71" s="11" t="s">
        <v>179</v>
      </c>
    </row>
    <row r="72" spans="1:10" ht="48" customHeight="1">
      <c r="A72" s="15" t="s">
        <v>345</v>
      </c>
      <c r="B72" s="15" t="s">
        <v>330</v>
      </c>
      <c r="C72" s="15" t="s">
        <v>331</v>
      </c>
      <c r="D72" s="15" t="s">
        <v>287</v>
      </c>
      <c r="E72" s="15" t="s">
        <v>174</v>
      </c>
      <c r="F72" s="15" t="s">
        <v>346</v>
      </c>
      <c r="G72" s="15" t="s">
        <v>347</v>
      </c>
      <c r="H72" s="11" t="s">
        <v>288</v>
      </c>
      <c r="I72" s="11" t="s">
        <v>178</v>
      </c>
      <c r="J72" s="11" t="s">
        <v>179</v>
      </c>
    </row>
    <row r="73" spans="1:10" ht="48" customHeight="1">
      <c r="A73" s="15" t="s">
        <v>348</v>
      </c>
      <c r="B73" s="15" t="s">
        <v>330</v>
      </c>
      <c r="C73" s="15" t="s">
        <v>331</v>
      </c>
      <c r="D73" s="15" t="s">
        <v>349</v>
      </c>
      <c r="E73" s="15" t="s">
        <v>225</v>
      </c>
      <c r="F73" s="15" t="s">
        <v>314</v>
      </c>
      <c r="G73" s="15" t="s">
        <v>315</v>
      </c>
      <c r="H73" s="11" t="s">
        <v>316</v>
      </c>
      <c r="I73" s="11" t="s">
        <v>178</v>
      </c>
      <c r="J73" s="11" t="s">
        <v>179</v>
      </c>
    </row>
    <row r="74" spans="1:10" ht="48" customHeight="1">
      <c r="A74" s="15" t="s">
        <v>350</v>
      </c>
      <c r="B74" s="15" t="s">
        <v>330</v>
      </c>
      <c r="C74" s="15" t="s">
        <v>331</v>
      </c>
      <c r="D74" s="15" t="s">
        <v>349</v>
      </c>
      <c r="E74" s="15" t="s">
        <v>225</v>
      </c>
      <c r="F74" s="15" t="s">
        <v>226</v>
      </c>
      <c r="G74" s="15" t="s">
        <v>315</v>
      </c>
      <c r="H74" s="11" t="s">
        <v>316</v>
      </c>
      <c r="I74" s="11" t="s">
        <v>178</v>
      </c>
      <c r="J74" s="11" t="s">
        <v>179</v>
      </c>
    </row>
    <row r="75" spans="1:10" ht="48" customHeight="1">
      <c r="A75" s="15" t="s">
        <v>351</v>
      </c>
      <c r="B75" s="15" t="s">
        <v>330</v>
      </c>
      <c r="C75" s="15" t="s">
        <v>331</v>
      </c>
      <c r="D75" s="15" t="s">
        <v>349</v>
      </c>
      <c r="E75" s="15" t="s">
        <v>225</v>
      </c>
      <c r="F75" s="15" t="s">
        <v>230</v>
      </c>
      <c r="G75" s="15" t="s">
        <v>315</v>
      </c>
      <c r="H75" s="11" t="s">
        <v>316</v>
      </c>
      <c r="I75" s="11" t="s">
        <v>178</v>
      </c>
      <c r="J75" s="11" t="s">
        <v>179</v>
      </c>
    </row>
    <row r="76" spans="1:10" ht="48" customHeight="1">
      <c r="A76" s="15" t="s">
        <v>352</v>
      </c>
      <c r="B76" s="15" t="s">
        <v>330</v>
      </c>
      <c r="C76" s="15" t="s">
        <v>331</v>
      </c>
      <c r="D76" s="15" t="s">
        <v>349</v>
      </c>
      <c r="E76" s="15" t="s">
        <v>225</v>
      </c>
      <c r="F76" s="15" t="s">
        <v>320</v>
      </c>
      <c r="G76" s="15" t="s">
        <v>315</v>
      </c>
      <c r="H76" s="11" t="s">
        <v>316</v>
      </c>
      <c r="I76" s="11" t="s">
        <v>178</v>
      </c>
      <c r="J76" s="11" t="s">
        <v>179</v>
      </c>
    </row>
    <row r="77" spans="1:10" ht="48" customHeight="1">
      <c r="A77" s="15" t="s">
        <v>353</v>
      </c>
      <c r="B77" s="15" t="s">
        <v>330</v>
      </c>
      <c r="C77" s="15" t="s">
        <v>331</v>
      </c>
      <c r="D77" s="15" t="s">
        <v>349</v>
      </c>
      <c r="E77" s="15" t="s">
        <v>225</v>
      </c>
      <c r="F77" s="15" t="s">
        <v>322</v>
      </c>
      <c r="G77" s="15" t="s">
        <v>315</v>
      </c>
      <c r="H77" s="11" t="s">
        <v>316</v>
      </c>
      <c r="I77" s="11" t="s">
        <v>178</v>
      </c>
      <c r="J77" s="11" t="s">
        <v>179</v>
      </c>
    </row>
    <row r="78" spans="1:10" ht="48" customHeight="1">
      <c r="A78" s="15" t="s">
        <v>354</v>
      </c>
      <c r="B78" s="15" t="s">
        <v>330</v>
      </c>
      <c r="C78" s="15" t="s">
        <v>331</v>
      </c>
      <c r="D78" s="15" t="s">
        <v>349</v>
      </c>
      <c r="E78" s="15" t="s">
        <v>225</v>
      </c>
      <c r="F78" s="15" t="s">
        <v>324</v>
      </c>
      <c r="G78" s="15" t="s">
        <v>315</v>
      </c>
      <c r="H78" s="11" t="s">
        <v>316</v>
      </c>
      <c r="I78" s="11" t="s">
        <v>178</v>
      </c>
      <c r="J78" s="11" t="s">
        <v>179</v>
      </c>
    </row>
    <row r="79" spans="1:10" ht="48" customHeight="1">
      <c r="A79" s="15" t="s">
        <v>355</v>
      </c>
      <c r="B79" s="15" t="s">
        <v>330</v>
      </c>
      <c r="C79" s="15" t="s">
        <v>331</v>
      </c>
      <c r="D79" s="15" t="s">
        <v>349</v>
      </c>
      <c r="E79" s="15" t="s">
        <v>225</v>
      </c>
      <c r="F79" s="15" t="s">
        <v>356</v>
      </c>
      <c r="G79" s="15" t="s">
        <v>315</v>
      </c>
      <c r="H79" s="11" t="s">
        <v>316</v>
      </c>
      <c r="I79" s="11" t="s">
        <v>178</v>
      </c>
      <c r="J79" s="11" t="s">
        <v>179</v>
      </c>
    </row>
    <row r="80" spans="1:10" ht="48" customHeight="1">
      <c r="A80" s="15" t="s">
        <v>357</v>
      </c>
      <c r="B80" s="15" t="s">
        <v>330</v>
      </c>
      <c r="C80" s="15" t="s">
        <v>331</v>
      </c>
      <c r="D80" s="15" t="s">
        <v>349</v>
      </c>
      <c r="E80" s="15" t="s">
        <v>225</v>
      </c>
      <c r="F80" s="15" t="s">
        <v>358</v>
      </c>
      <c r="G80" s="15" t="s">
        <v>359</v>
      </c>
      <c r="H80" s="11" t="s">
        <v>316</v>
      </c>
      <c r="I80" s="11" t="s">
        <v>178</v>
      </c>
      <c r="J80" s="11" t="s">
        <v>179</v>
      </c>
    </row>
    <row r="81" spans="1:10" ht="48" customHeight="1">
      <c r="A81" s="15" t="s">
        <v>360</v>
      </c>
      <c r="B81" s="15" t="s">
        <v>330</v>
      </c>
      <c r="C81" s="15" t="s">
        <v>331</v>
      </c>
      <c r="D81" s="15" t="s">
        <v>349</v>
      </c>
      <c r="E81" s="15" t="s">
        <v>225</v>
      </c>
      <c r="F81" s="15" t="s">
        <v>328</v>
      </c>
      <c r="G81" s="15" t="s">
        <v>315</v>
      </c>
      <c r="H81" s="11" t="s">
        <v>316</v>
      </c>
      <c r="I81" s="11" t="s">
        <v>178</v>
      </c>
      <c r="J81" s="11" t="s">
        <v>179</v>
      </c>
    </row>
  </sheetData>
  <mergeCells count="2">
    <mergeCell ref="A1:J1"/>
    <mergeCell ref="A2:J3"/>
  </mergeCell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892A5"/>
    <pageSetUpPr fitToPage="1"/>
  </sheetPr>
  <dimension ref="A1:R51"/>
  <sheetViews>
    <sheetView showGridLines="0" rightToLeft="1" zoomScale="85" workbookViewId="0">
      <pane ySplit="7" topLeftCell="A8" activePane="bottomLeft" state="frozen"/>
      <selection pane="bottomLeft" activeCell="E10" sqref="E10"/>
    </sheetView>
  </sheetViews>
  <sheetFormatPr defaultRowHeight="22.5"/>
  <cols>
    <col min="1" max="1" width="17.5" style="16" bestFit="1" customWidth="1"/>
    <col min="2" max="2" width="9.25" style="10" bestFit="1" customWidth="1"/>
    <col min="3" max="3" width="8.375" style="10" bestFit="1" customWidth="1"/>
    <col min="4" max="4" width="21.125" style="10" bestFit="1" customWidth="1"/>
    <col min="5" max="5" width="14.375" style="10" bestFit="1" customWidth="1"/>
    <col min="6" max="6" width="23.375" style="10" bestFit="1" customWidth="1"/>
    <col min="7" max="7" width="9.25" style="10" bestFit="1" customWidth="1"/>
    <col min="8" max="8" width="23.375" style="10" bestFit="1" customWidth="1"/>
    <col min="9" max="9" width="42" style="10" customWidth="1"/>
    <col min="10" max="10" width="85" style="10" customWidth="1"/>
    <col min="11" max="11" width="65" style="10" customWidth="1"/>
    <col min="12" max="12" width="13.875" style="10" bestFit="1" customWidth="1"/>
    <col min="13" max="13" width="14.375" style="10" bestFit="1" customWidth="1"/>
    <col min="14" max="14" width="9.5" style="10" bestFit="1" customWidth="1"/>
    <col min="15" max="15" width="22.5" style="10" bestFit="1" customWidth="1"/>
    <col min="16" max="16" width="12.375" style="10" bestFit="1" customWidth="1"/>
    <col min="17" max="17" width="11.75" style="10" bestFit="1" customWidth="1"/>
    <col min="18" max="18" width="14" style="10" bestFit="1" customWidth="1"/>
    <col min="19" max="16384" width="9" style="10"/>
  </cols>
  <sheetData>
    <row r="1" spans="1:18" ht="30">
      <c r="A1" s="13" t="s">
        <v>361</v>
      </c>
      <c r="B1" s="13"/>
      <c r="C1" s="13"/>
      <c r="D1" s="13"/>
      <c r="E1" s="13"/>
      <c r="F1" s="13"/>
      <c r="G1" s="13"/>
      <c r="H1" s="13"/>
      <c r="I1" s="13"/>
      <c r="J1" s="13"/>
      <c r="K1" s="13"/>
      <c r="L1" s="13"/>
      <c r="M1" s="13"/>
      <c r="N1" s="13"/>
      <c r="O1" s="13"/>
      <c r="P1" s="13"/>
      <c r="Q1" s="13"/>
      <c r="R1" s="13"/>
    </row>
    <row r="2" spans="1:18">
      <c r="A2" s="14" t="s">
        <v>362</v>
      </c>
      <c r="B2" s="14"/>
      <c r="C2" s="14"/>
      <c r="D2" s="14"/>
      <c r="E2" s="14"/>
      <c r="F2" s="14"/>
      <c r="G2" s="14"/>
      <c r="H2" s="14"/>
      <c r="I2" s="14"/>
      <c r="J2" s="14"/>
      <c r="K2" s="14"/>
      <c r="L2" s="14"/>
      <c r="M2" s="14"/>
      <c r="N2" s="14"/>
      <c r="O2" s="14"/>
      <c r="P2" s="14"/>
      <c r="Q2" s="14"/>
      <c r="R2" s="14"/>
    </row>
    <row r="3" spans="1:18">
      <c r="A3" s="14"/>
      <c r="B3" s="14"/>
      <c r="C3" s="14"/>
      <c r="D3" s="14"/>
      <c r="E3" s="14"/>
      <c r="F3" s="14"/>
      <c r="G3" s="14"/>
      <c r="H3" s="14"/>
      <c r="I3" s="14"/>
      <c r="J3" s="14"/>
      <c r="K3" s="14"/>
      <c r="L3" s="14"/>
      <c r="M3" s="14"/>
      <c r="N3" s="14"/>
      <c r="O3" s="14"/>
      <c r="P3" s="14"/>
      <c r="Q3" s="14"/>
      <c r="R3" s="14"/>
    </row>
    <row r="4" spans="1:18">
      <c r="A4" s="15"/>
      <c r="B4" s="11"/>
      <c r="C4" s="11"/>
      <c r="D4" s="11"/>
      <c r="E4" s="11"/>
      <c r="F4" s="11"/>
      <c r="G4" s="11"/>
      <c r="H4" s="11"/>
      <c r="I4" s="11"/>
      <c r="J4" s="11"/>
      <c r="K4" s="11"/>
      <c r="L4" s="11"/>
      <c r="M4" s="11"/>
      <c r="N4" s="11"/>
      <c r="O4" s="11"/>
      <c r="P4" s="11"/>
      <c r="Q4" s="11"/>
      <c r="R4" s="11"/>
    </row>
    <row r="5" spans="1:18">
      <c r="A5" s="15"/>
      <c r="B5" s="11"/>
      <c r="C5" s="11"/>
      <c r="D5" s="11"/>
      <c r="E5" s="11"/>
      <c r="F5" s="11"/>
      <c r="G5" s="11"/>
      <c r="H5" s="11"/>
      <c r="I5" s="11"/>
      <c r="J5" s="11"/>
      <c r="K5" s="11"/>
      <c r="L5" s="11"/>
      <c r="M5" s="11"/>
      <c r="N5" s="11"/>
      <c r="O5" s="11"/>
      <c r="P5" s="11"/>
      <c r="Q5" s="11"/>
      <c r="R5" s="11"/>
    </row>
    <row r="6" spans="1:18">
      <c r="A6" s="15"/>
      <c r="B6" s="11"/>
      <c r="C6" s="11"/>
      <c r="D6" s="11"/>
      <c r="E6" s="11"/>
      <c r="F6" s="11"/>
      <c r="G6" s="11"/>
      <c r="H6" s="11"/>
      <c r="I6" s="11"/>
      <c r="J6" s="11"/>
      <c r="K6" s="11"/>
      <c r="L6" s="11"/>
      <c r="M6" s="11"/>
      <c r="N6" s="11"/>
      <c r="O6" s="11"/>
      <c r="P6" s="11"/>
      <c r="Q6" s="11"/>
      <c r="R6" s="11"/>
    </row>
    <row r="7" spans="1:18" ht="24">
      <c r="A7" s="12" t="s">
        <v>363</v>
      </c>
      <c r="B7" s="12" t="s">
        <v>364</v>
      </c>
      <c r="C7" s="12" t="s">
        <v>365</v>
      </c>
      <c r="D7" s="12" t="s">
        <v>366</v>
      </c>
      <c r="E7" s="12" t="s">
        <v>94</v>
      </c>
      <c r="F7" s="12" t="s">
        <v>110</v>
      </c>
      <c r="G7" s="12" t="s">
        <v>112</v>
      </c>
      <c r="H7" s="12" t="s">
        <v>367</v>
      </c>
      <c r="I7" s="12" t="s">
        <v>368</v>
      </c>
      <c r="J7" s="12" t="s">
        <v>369</v>
      </c>
      <c r="K7" s="12" t="s">
        <v>370</v>
      </c>
      <c r="L7" s="12" t="s">
        <v>371</v>
      </c>
      <c r="M7" s="12" t="s">
        <v>372</v>
      </c>
      <c r="N7" s="12" t="s">
        <v>373</v>
      </c>
      <c r="O7" s="12" t="s">
        <v>374</v>
      </c>
      <c r="P7" s="12" t="s">
        <v>375</v>
      </c>
      <c r="Q7" s="12" t="s">
        <v>376</v>
      </c>
      <c r="R7" s="12" t="s">
        <v>377</v>
      </c>
    </row>
    <row r="8" spans="1:18" ht="45">
      <c r="A8" s="15" t="s">
        <v>378</v>
      </c>
      <c r="B8" s="11" t="s">
        <v>77</v>
      </c>
      <c r="C8" s="11" t="s">
        <v>80</v>
      </c>
      <c r="D8" s="11" t="s">
        <v>83</v>
      </c>
      <c r="E8" s="11" t="s">
        <v>379</v>
      </c>
      <c r="F8" s="11" t="s">
        <v>380</v>
      </c>
      <c r="G8" s="11" t="s">
        <v>116</v>
      </c>
      <c r="H8" s="11" t="s">
        <v>380</v>
      </c>
      <c r="I8" s="11" t="s">
        <v>381</v>
      </c>
      <c r="J8" s="11" t="s">
        <v>382</v>
      </c>
      <c r="K8" s="11" t="s">
        <v>383</v>
      </c>
      <c r="L8" s="11" t="s">
        <v>384</v>
      </c>
      <c r="M8" s="11" t="s">
        <v>385</v>
      </c>
      <c r="N8" s="11" t="s">
        <v>386</v>
      </c>
      <c r="O8" s="11"/>
      <c r="P8" s="11"/>
      <c r="Q8" s="11"/>
      <c r="R8" s="26" t="str">
        <f>IF(A8="","",IF(NOT(AND(COUNTIFS('03-ورودی‌های بازنگری'!$A$8:$A$1007,A8)=1,AND(COUNTIFS('17-جلسات و دوره‌ها'!$A$8:$A$1007,D8)=1,IFERROR(INDEX('17-جلسات و دوره‌ها'!$B$8:$B$1007,MATCH(D8,'17-جلسات و دوره‌ها'!$A$8:$A$1007,0)),"")=B8,IFERROR(INDEX('17-جلسات و دوره‌ها'!$C$8:$C$1007,MATCH(D8,'17-جلسات و دوره‌ها'!$A$8:$A$1007,0)),"")=C8))),"شناسه یا جلسه نامعتبر",IF(AND(M8="بررسی شد",J8&lt;&gt;"",O8&lt;&gt;"",P8&lt;&gt;"",Q8&lt;&gt;"",AND(COUNTIFS('14-مستندات و پیوست‌ها'!$A$8:$A$1007,L8)=1,IFERROR(INDEX('14-مستندات و پیوست‌ها'!$B$8:$B$1007,MATCH(L8,'14-مستندات و پیوست‌ها'!$A$8:$A$1007,0)),"")=B8,OR(IFERROR(INDEX('14-مستندات و پیوست‌ها'!$H$8:$H$1007,MATCH(L8,'14-مستندات و پیوست‌ها'!$A$8:$A$1007,0)),"")="دریافت شده",IFERROR(INDEX('14-مستندات و پیوست‌ها'!$H$8:$H$1007,MATCH(L8,'14-مستندات و پیوست‌ها'!$A$8:$A$1007,0)),"")="فرضی"))),"معتبر","بررسی یا شاهد ناقص")))</f>
        <v>بررسی یا شاهد ناقص</v>
      </c>
    </row>
    <row r="9" spans="1:18" ht="45">
      <c r="A9" s="15" t="s">
        <v>387</v>
      </c>
      <c r="B9" s="11" t="s">
        <v>77</v>
      </c>
      <c r="C9" s="11" t="s">
        <v>80</v>
      </c>
      <c r="D9" s="11" t="s">
        <v>83</v>
      </c>
      <c r="E9" s="11" t="s">
        <v>379</v>
      </c>
      <c r="F9" s="11" t="s">
        <v>388</v>
      </c>
      <c r="G9" s="11" t="s">
        <v>116</v>
      </c>
      <c r="H9" s="11" t="s">
        <v>388</v>
      </c>
      <c r="I9" s="11" t="s">
        <v>389</v>
      </c>
      <c r="J9" s="11" t="s">
        <v>390</v>
      </c>
      <c r="K9" s="11" t="s">
        <v>391</v>
      </c>
      <c r="L9" s="11" t="s">
        <v>384</v>
      </c>
      <c r="M9" s="11" t="s">
        <v>385</v>
      </c>
      <c r="N9" s="11" t="s">
        <v>386</v>
      </c>
      <c r="O9" s="11"/>
      <c r="P9" s="11"/>
      <c r="Q9" s="11"/>
      <c r="R9" s="26" t="str">
        <f>IF(A9="","",IF(NOT(AND(COUNTIFS('03-ورودی‌های بازنگری'!$A$8:$A$1007,A9)=1,AND(COUNTIFS('17-جلسات و دوره‌ها'!$A$8:$A$1007,D9)=1,IFERROR(INDEX('17-جلسات و دوره‌ها'!$B$8:$B$1007,MATCH(D9,'17-جلسات و دوره‌ها'!$A$8:$A$1007,0)),"")=B9,IFERROR(INDEX('17-جلسات و دوره‌ها'!$C$8:$C$1007,MATCH(D9,'17-جلسات و دوره‌ها'!$A$8:$A$1007,0)),"")=C9))),"شناسه یا جلسه نامعتبر",IF(AND(M9="بررسی شد",J9&lt;&gt;"",O9&lt;&gt;"",P9&lt;&gt;"",Q9&lt;&gt;"",AND(COUNTIFS('14-مستندات و پیوست‌ها'!$A$8:$A$1007,L9)=1,IFERROR(INDEX('14-مستندات و پیوست‌ها'!$B$8:$B$1007,MATCH(L9,'14-مستندات و پیوست‌ها'!$A$8:$A$1007,0)),"")=B9,OR(IFERROR(INDEX('14-مستندات و پیوست‌ها'!$H$8:$H$1007,MATCH(L9,'14-مستندات و پیوست‌ها'!$A$8:$A$1007,0)),"")="دریافت شده",IFERROR(INDEX('14-مستندات و پیوست‌ها'!$H$8:$H$1007,MATCH(L9,'14-مستندات و پیوست‌ها'!$A$8:$A$1007,0)),"")="فرضی"))),"معتبر","بررسی یا شاهد ناقص")))</f>
        <v>بررسی یا شاهد ناقص</v>
      </c>
    </row>
    <row r="10" spans="1:18" ht="67.5">
      <c r="A10" s="15" t="s">
        <v>392</v>
      </c>
      <c r="B10" s="11" t="s">
        <v>77</v>
      </c>
      <c r="C10" s="11" t="s">
        <v>80</v>
      </c>
      <c r="D10" s="11" t="s">
        <v>83</v>
      </c>
      <c r="E10" s="11" t="s">
        <v>379</v>
      </c>
      <c r="F10" s="11" t="s">
        <v>393</v>
      </c>
      <c r="G10" s="11" t="s">
        <v>116</v>
      </c>
      <c r="H10" s="11" t="s">
        <v>393</v>
      </c>
      <c r="I10" s="11" t="s">
        <v>394</v>
      </c>
      <c r="J10" s="11" t="s">
        <v>395</v>
      </c>
      <c r="K10" s="11" t="s">
        <v>396</v>
      </c>
      <c r="L10" s="11" t="s">
        <v>384</v>
      </c>
      <c r="M10" s="11" t="s">
        <v>385</v>
      </c>
      <c r="N10" s="11" t="s">
        <v>386</v>
      </c>
      <c r="O10" s="11"/>
      <c r="P10" s="11"/>
      <c r="Q10" s="11"/>
      <c r="R10" s="26" t="str">
        <f>IF(A10="","",IF(NOT(AND(COUNTIFS('03-ورودی‌های بازنگری'!$A$8:$A$1007,A10)=1,AND(COUNTIFS('17-جلسات و دوره‌ها'!$A$8:$A$1007,D10)=1,IFERROR(INDEX('17-جلسات و دوره‌ها'!$B$8:$B$1007,MATCH(D10,'17-جلسات و دوره‌ها'!$A$8:$A$1007,0)),"")=B10,IFERROR(INDEX('17-جلسات و دوره‌ها'!$C$8:$C$1007,MATCH(D10,'17-جلسات و دوره‌ها'!$A$8:$A$1007,0)),"")=C10))),"شناسه یا جلسه نامعتبر",IF(AND(M10="بررسی شد",J10&lt;&gt;"",O10&lt;&gt;"",P10&lt;&gt;"",Q10&lt;&gt;"",AND(COUNTIFS('14-مستندات و پیوست‌ها'!$A$8:$A$1007,L10)=1,IFERROR(INDEX('14-مستندات و پیوست‌ها'!$B$8:$B$1007,MATCH(L10,'14-مستندات و پیوست‌ها'!$A$8:$A$1007,0)),"")=B10,OR(IFERROR(INDEX('14-مستندات و پیوست‌ها'!$H$8:$H$1007,MATCH(L10,'14-مستندات و پیوست‌ها'!$A$8:$A$1007,0)),"")="دریافت شده",IFERROR(INDEX('14-مستندات و پیوست‌ها'!$H$8:$H$1007,MATCH(L10,'14-مستندات و پیوست‌ها'!$A$8:$A$1007,0)),"")="فرضی"))),"معتبر","بررسی یا شاهد ناقص")))</f>
        <v>بررسی یا شاهد ناقص</v>
      </c>
    </row>
    <row r="11" spans="1:18" ht="67.5">
      <c r="A11" s="15" t="s">
        <v>397</v>
      </c>
      <c r="B11" s="11" t="s">
        <v>77</v>
      </c>
      <c r="C11" s="11" t="s">
        <v>80</v>
      </c>
      <c r="D11" s="11" t="s">
        <v>83</v>
      </c>
      <c r="E11" s="11" t="s">
        <v>379</v>
      </c>
      <c r="F11" s="11" t="s">
        <v>398</v>
      </c>
      <c r="G11" s="11" t="s">
        <v>116</v>
      </c>
      <c r="H11" s="11" t="s">
        <v>398</v>
      </c>
      <c r="I11" s="11" t="s">
        <v>399</v>
      </c>
      <c r="J11" s="11" t="s">
        <v>400</v>
      </c>
      <c r="K11" s="11" t="s">
        <v>401</v>
      </c>
      <c r="L11" s="11" t="s">
        <v>384</v>
      </c>
      <c r="M11" s="11" t="s">
        <v>385</v>
      </c>
      <c r="N11" s="11" t="s">
        <v>386</v>
      </c>
      <c r="O11" s="11"/>
      <c r="P11" s="11"/>
      <c r="Q11" s="11"/>
      <c r="R11" s="26" t="str">
        <f>IF(A11="","",IF(NOT(AND(COUNTIFS('03-ورودی‌های بازنگری'!$A$8:$A$1007,A11)=1,AND(COUNTIFS('17-جلسات و دوره‌ها'!$A$8:$A$1007,D11)=1,IFERROR(INDEX('17-جلسات و دوره‌ها'!$B$8:$B$1007,MATCH(D11,'17-جلسات و دوره‌ها'!$A$8:$A$1007,0)),"")=B11,IFERROR(INDEX('17-جلسات و دوره‌ها'!$C$8:$C$1007,MATCH(D11,'17-جلسات و دوره‌ها'!$A$8:$A$1007,0)),"")=C11))),"شناسه یا جلسه نامعتبر",IF(AND(M11="بررسی شد",J11&lt;&gt;"",O11&lt;&gt;"",P11&lt;&gt;"",Q11&lt;&gt;"",AND(COUNTIFS('14-مستندات و پیوست‌ها'!$A$8:$A$1007,L11)=1,IFERROR(INDEX('14-مستندات و پیوست‌ها'!$B$8:$B$1007,MATCH(L11,'14-مستندات و پیوست‌ها'!$A$8:$A$1007,0)),"")=B11,OR(IFERROR(INDEX('14-مستندات و پیوست‌ها'!$H$8:$H$1007,MATCH(L11,'14-مستندات و پیوست‌ها'!$A$8:$A$1007,0)),"")="دریافت شده",IFERROR(INDEX('14-مستندات و پیوست‌ها'!$H$8:$H$1007,MATCH(L11,'14-مستندات و پیوست‌ها'!$A$8:$A$1007,0)),"")="فرضی"))),"معتبر","بررسی یا شاهد ناقص")))</f>
        <v>بررسی یا شاهد ناقص</v>
      </c>
    </row>
    <row r="12" spans="1:18" ht="67.5">
      <c r="A12" s="15" t="s">
        <v>402</v>
      </c>
      <c r="B12" s="11" t="s">
        <v>77</v>
      </c>
      <c r="C12" s="11" t="s">
        <v>80</v>
      </c>
      <c r="D12" s="11" t="s">
        <v>83</v>
      </c>
      <c r="E12" s="11" t="s">
        <v>379</v>
      </c>
      <c r="F12" s="11" t="s">
        <v>403</v>
      </c>
      <c r="G12" s="11" t="s">
        <v>116</v>
      </c>
      <c r="H12" s="11" t="s">
        <v>403</v>
      </c>
      <c r="I12" s="11" t="s">
        <v>404</v>
      </c>
      <c r="J12" s="11" t="s">
        <v>405</v>
      </c>
      <c r="K12" s="11" t="s">
        <v>406</v>
      </c>
      <c r="L12" s="11" t="s">
        <v>384</v>
      </c>
      <c r="M12" s="11" t="s">
        <v>385</v>
      </c>
      <c r="N12" s="11" t="s">
        <v>386</v>
      </c>
      <c r="O12" s="11"/>
      <c r="P12" s="11"/>
      <c r="Q12" s="11"/>
      <c r="R12" s="26" t="str">
        <f>IF(A12="","",IF(NOT(AND(COUNTIFS('03-ورودی‌های بازنگری'!$A$8:$A$1007,A12)=1,AND(COUNTIFS('17-جلسات و دوره‌ها'!$A$8:$A$1007,D12)=1,IFERROR(INDEX('17-جلسات و دوره‌ها'!$B$8:$B$1007,MATCH(D12,'17-جلسات و دوره‌ها'!$A$8:$A$1007,0)),"")=B12,IFERROR(INDEX('17-جلسات و دوره‌ها'!$C$8:$C$1007,MATCH(D12,'17-جلسات و دوره‌ها'!$A$8:$A$1007,0)),"")=C12))),"شناسه یا جلسه نامعتبر",IF(AND(M12="بررسی شد",J12&lt;&gt;"",O12&lt;&gt;"",P12&lt;&gt;"",Q12&lt;&gt;"",AND(COUNTIFS('14-مستندات و پیوست‌ها'!$A$8:$A$1007,L12)=1,IFERROR(INDEX('14-مستندات و پیوست‌ها'!$B$8:$B$1007,MATCH(L12,'14-مستندات و پیوست‌ها'!$A$8:$A$1007,0)),"")=B12,OR(IFERROR(INDEX('14-مستندات و پیوست‌ها'!$H$8:$H$1007,MATCH(L12,'14-مستندات و پیوست‌ها'!$A$8:$A$1007,0)),"")="دریافت شده",IFERROR(INDEX('14-مستندات و پیوست‌ها'!$H$8:$H$1007,MATCH(L12,'14-مستندات و پیوست‌ها'!$A$8:$A$1007,0)),"")="فرضی"))),"معتبر","بررسی یا شاهد ناقص")))</f>
        <v>بررسی یا شاهد ناقص</v>
      </c>
    </row>
    <row r="13" spans="1:18" ht="67.5">
      <c r="A13" s="15" t="s">
        <v>407</v>
      </c>
      <c r="B13" s="11" t="s">
        <v>77</v>
      </c>
      <c r="C13" s="11" t="s">
        <v>80</v>
      </c>
      <c r="D13" s="11" t="s">
        <v>83</v>
      </c>
      <c r="E13" s="11" t="s">
        <v>379</v>
      </c>
      <c r="F13" s="11" t="s">
        <v>408</v>
      </c>
      <c r="G13" s="11" t="s">
        <v>116</v>
      </c>
      <c r="H13" s="11" t="s">
        <v>408</v>
      </c>
      <c r="I13" s="11" t="s">
        <v>409</v>
      </c>
      <c r="J13" s="11" t="s">
        <v>410</v>
      </c>
      <c r="K13" s="11" t="s">
        <v>411</v>
      </c>
      <c r="L13" s="11" t="s">
        <v>384</v>
      </c>
      <c r="M13" s="11" t="s">
        <v>385</v>
      </c>
      <c r="N13" s="11" t="s">
        <v>386</v>
      </c>
      <c r="O13" s="11"/>
      <c r="P13" s="11"/>
      <c r="Q13" s="11"/>
      <c r="R13" s="26" t="str">
        <f>IF(A13="","",IF(NOT(AND(COUNTIFS('03-ورودی‌های بازنگری'!$A$8:$A$1007,A13)=1,AND(COUNTIFS('17-جلسات و دوره‌ها'!$A$8:$A$1007,D13)=1,IFERROR(INDEX('17-جلسات و دوره‌ها'!$B$8:$B$1007,MATCH(D13,'17-جلسات و دوره‌ها'!$A$8:$A$1007,0)),"")=B13,IFERROR(INDEX('17-جلسات و دوره‌ها'!$C$8:$C$1007,MATCH(D13,'17-جلسات و دوره‌ها'!$A$8:$A$1007,0)),"")=C13))),"شناسه یا جلسه نامعتبر",IF(AND(M13="بررسی شد",J13&lt;&gt;"",O13&lt;&gt;"",P13&lt;&gt;"",Q13&lt;&gt;"",AND(COUNTIFS('14-مستندات و پیوست‌ها'!$A$8:$A$1007,L13)=1,IFERROR(INDEX('14-مستندات و پیوست‌ها'!$B$8:$B$1007,MATCH(L13,'14-مستندات و پیوست‌ها'!$A$8:$A$1007,0)),"")=B13,OR(IFERROR(INDEX('14-مستندات و پیوست‌ها'!$H$8:$H$1007,MATCH(L13,'14-مستندات و پیوست‌ها'!$A$8:$A$1007,0)),"")="دریافت شده",IFERROR(INDEX('14-مستندات و پیوست‌ها'!$H$8:$H$1007,MATCH(L13,'14-مستندات و پیوست‌ها'!$A$8:$A$1007,0)),"")="فرضی"))),"معتبر","بررسی یا شاهد ناقص")))</f>
        <v>بررسی یا شاهد ناقص</v>
      </c>
    </row>
    <row r="14" spans="1:18" ht="67.5">
      <c r="A14" s="15" t="s">
        <v>412</v>
      </c>
      <c r="B14" s="11" t="s">
        <v>77</v>
      </c>
      <c r="C14" s="11" t="s">
        <v>80</v>
      </c>
      <c r="D14" s="11" t="s">
        <v>83</v>
      </c>
      <c r="E14" s="11" t="s">
        <v>379</v>
      </c>
      <c r="F14" s="11" t="s">
        <v>413</v>
      </c>
      <c r="G14" s="11" t="s">
        <v>116</v>
      </c>
      <c r="H14" s="11" t="s">
        <v>413</v>
      </c>
      <c r="I14" s="11" t="s">
        <v>414</v>
      </c>
      <c r="J14" s="11" t="s">
        <v>415</v>
      </c>
      <c r="K14" s="11" t="s">
        <v>416</v>
      </c>
      <c r="L14" s="11" t="s">
        <v>384</v>
      </c>
      <c r="M14" s="11" t="s">
        <v>385</v>
      </c>
      <c r="N14" s="11" t="s">
        <v>386</v>
      </c>
      <c r="O14" s="11"/>
      <c r="P14" s="11"/>
      <c r="Q14" s="11"/>
      <c r="R14" s="26" t="str">
        <f>IF(A14="","",IF(NOT(AND(COUNTIFS('03-ورودی‌های بازنگری'!$A$8:$A$1007,A14)=1,AND(COUNTIFS('17-جلسات و دوره‌ها'!$A$8:$A$1007,D14)=1,IFERROR(INDEX('17-جلسات و دوره‌ها'!$B$8:$B$1007,MATCH(D14,'17-جلسات و دوره‌ها'!$A$8:$A$1007,0)),"")=B14,IFERROR(INDEX('17-جلسات و دوره‌ها'!$C$8:$C$1007,MATCH(D14,'17-جلسات و دوره‌ها'!$A$8:$A$1007,0)),"")=C14))),"شناسه یا جلسه نامعتبر",IF(AND(M14="بررسی شد",J14&lt;&gt;"",O14&lt;&gt;"",P14&lt;&gt;"",Q14&lt;&gt;"",AND(COUNTIFS('14-مستندات و پیوست‌ها'!$A$8:$A$1007,L14)=1,IFERROR(INDEX('14-مستندات و پیوست‌ها'!$B$8:$B$1007,MATCH(L14,'14-مستندات و پیوست‌ها'!$A$8:$A$1007,0)),"")=B14,OR(IFERROR(INDEX('14-مستندات و پیوست‌ها'!$H$8:$H$1007,MATCH(L14,'14-مستندات و پیوست‌ها'!$A$8:$A$1007,0)),"")="دریافت شده",IFERROR(INDEX('14-مستندات و پیوست‌ها'!$H$8:$H$1007,MATCH(L14,'14-مستندات و پیوست‌ها'!$A$8:$A$1007,0)),"")="فرضی"))),"معتبر","بررسی یا شاهد ناقص")))</f>
        <v>بررسی یا شاهد ناقص</v>
      </c>
    </row>
    <row r="15" spans="1:18" ht="45">
      <c r="A15" s="15" t="s">
        <v>417</v>
      </c>
      <c r="B15" s="11" t="s">
        <v>77</v>
      </c>
      <c r="C15" s="11" t="s">
        <v>80</v>
      </c>
      <c r="D15" s="11" t="s">
        <v>83</v>
      </c>
      <c r="E15" s="11" t="s">
        <v>379</v>
      </c>
      <c r="F15" s="11" t="s">
        <v>418</v>
      </c>
      <c r="G15" s="11" t="s">
        <v>116</v>
      </c>
      <c r="H15" s="11" t="s">
        <v>418</v>
      </c>
      <c r="I15" s="11" t="s">
        <v>419</v>
      </c>
      <c r="J15" s="11" t="s">
        <v>420</v>
      </c>
      <c r="K15" s="11" t="s">
        <v>421</v>
      </c>
      <c r="L15" s="11" t="s">
        <v>384</v>
      </c>
      <c r="M15" s="11" t="s">
        <v>385</v>
      </c>
      <c r="N15" s="11" t="s">
        <v>386</v>
      </c>
      <c r="O15" s="11"/>
      <c r="P15" s="11"/>
      <c r="Q15" s="11"/>
      <c r="R15" s="26" t="str">
        <f>IF(A15="","",IF(NOT(AND(COUNTIFS('03-ورودی‌های بازنگری'!$A$8:$A$1007,A15)=1,AND(COUNTIFS('17-جلسات و دوره‌ها'!$A$8:$A$1007,D15)=1,IFERROR(INDEX('17-جلسات و دوره‌ها'!$B$8:$B$1007,MATCH(D15,'17-جلسات و دوره‌ها'!$A$8:$A$1007,0)),"")=B15,IFERROR(INDEX('17-جلسات و دوره‌ها'!$C$8:$C$1007,MATCH(D15,'17-جلسات و دوره‌ها'!$A$8:$A$1007,0)),"")=C15))),"شناسه یا جلسه نامعتبر",IF(AND(M15="بررسی شد",J15&lt;&gt;"",O15&lt;&gt;"",P15&lt;&gt;"",Q15&lt;&gt;"",AND(COUNTIFS('14-مستندات و پیوست‌ها'!$A$8:$A$1007,L15)=1,IFERROR(INDEX('14-مستندات و پیوست‌ها'!$B$8:$B$1007,MATCH(L15,'14-مستندات و پیوست‌ها'!$A$8:$A$1007,0)),"")=B15,OR(IFERROR(INDEX('14-مستندات و پیوست‌ها'!$H$8:$H$1007,MATCH(L15,'14-مستندات و پیوست‌ها'!$A$8:$A$1007,0)),"")="دریافت شده",IFERROR(INDEX('14-مستندات و پیوست‌ها'!$H$8:$H$1007,MATCH(L15,'14-مستندات و پیوست‌ها'!$A$8:$A$1007,0)),"")="فرضی"))),"معتبر","بررسی یا شاهد ناقص")))</f>
        <v>بررسی یا شاهد ناقص</v>
      </c>
    </row>
    <row r="16" spans="1:18" ht="45">
      <c r="A16" s="15" t="s">
        <v>422</v>
      </c>
      <c r="B16" s="11" t="s">
        <v>77</v>
      </c>
      <c r="C16" s="11" t="s">
        <v>80</v>
      </c>
      <c r="D16" s="11" t="s">
        <v>83</v>
      </c>
      <c r="E16" s="11" t="s">
        <v>379</v>
      </c>
      <c r="F16" s="11" t="s">
        <v>423</v>
      </c>
      <c r="G16" s="11" t="s">
        <v>116</v>
      </c>
      <c r="H16" s="11" t="s">
        <v>423</v>
      </c>
      <c r="I16" s="11" t="s">
        <v>424</v>
      </c>
      <c r="J16" s="11" t="s">
        <v>425</v>
      </c>
      <c r="K16" s="11" t="s">
        <v>426</v>
      </c>
      <c r="L16" s="11" t="s">
        <v>384</v>
      </c>
      <c r="M16" s="11" t="s">
        <v>385</v>
      </c>
      <c r="N16" s="11" t="s">
        <v>386</v>
      </c>
      <c r="O16" s="11"/>
      <c r="P16" s="11"/>
      <c r="Q16" s="11"/>
      <c r="R16" s="26" t="str">
        <f>IF(A16="","",IF(NOT(AND(COUNTIFS('03-ورودی‌های بازنگری'!$A$8:$A$1007,A16)=1,AND(COUNTIFS('17-جلسات و دوره‌ها'!$A$8:$A$1007,D16)=1,IFERROR(INDEX('17-جلسات و دوره‌ها'!$B$8:$B$1007,MATCH(D16,'17-جلسات و دوره‌ها'!$A$8:$A$1007,0)),"")=B16,IFERROR(INDEX('17-جلسات و دوره‌ها'!$C$8:$C$1007,MATCH(D16,'17-جلسات و دوره‌ها'!$A$8:$A$1007,0)),"")=C16))),"شناسه یا جلسه نامعتبر",IF(AND(M16="بررسی شد",J16&lt;&gt;"",O16&lt;&gt;"",P16&lt;&gt;"",Q16&lt;&gt;"",AND(COUNTIFS('14-مستندات و پیوست‌ها'!$A$8:$A$1007,L16)=1,IFERROR(INDEX('14-مستندات و پیوست‌ها'!$B$8:$B$1007,MATCH(L16,'14-مستندات و پیوست‌ها'!$A$8:$A$1007,0)),"")=B16,OR(IFERROR(INDEX('14-مستندات و پیوست‌ها'!$H$8:$H$1007,MATCH(L16,'14-مستندات و پیوست‌ها'!$A$8:$A$1007,0)),"")="دریافت شده",IFERROR(INDEX('14-مستندات و پیوست‌ها'!$H$8:$H$1007,MATCH(L16,'14-مستندات و پیوست‌ها'!$A$8:$A$1007,0)),"")="فرضی"))),"معتبر","بررسی یا شاهد ناقص")))</f>
        <v>بررسی یا شاهد ناقص</v>
      </c>
    </row>
    <row r="17" spans="1:18" ht="45">
      <c r="A17" s="15" t="s">
        <v>427</v>
      </c>
      <c r="B17" s="11" t="s">
        <v>77</v>
      </c>
      <c r="C17" s="11" t="s">
        <v>80</v>
      </c>
      <c r="D17" s="11" t="s">
        <v>83</v>
      </c>
      <c r="E17" s="11" t="s">
        <v>379</v>
      </c>
      <c r="F17" s="11" t="s">
        <v>428</v>
      </c>
      <c r="G17" s="11" t="s">
        <v>116</v>
      </c>
      <c r="H17" s="11" t="s">
        <v>428</v>
      </c>
      <c r="I17" s="11" t="s">
        <v>429</v>
      </c>
      <c r="J17" s="11" t="s">
        <v>430</v>
      </c>
      <c r="K17" s="11" t="s">
        <v>431</v>
      </c>
      <c r="L17" s="11" t="s">
        <v>384</v>
      </c>
      <c r="M17" s="11" t="s">
        <v>385</v>
      </c>
      <c r="N17" s="11" t="s">
        <v>386</v>
      </c>
      <c r="O17" s="11"/>
      <c r="P17" s="11"/>
      <c r="Q17" s="11"/>
      <c r="R17" s="26" t="str">
        <f>IF(A17="","",IF(NOT(AND(COUNTIFS('03-ورودی‌های بازنگری'!$A$8:$A$1007,A17)=1,AND(COUNTIFS('17-جلسات و دوره‌ها'!$A$8:$A$1007,D17)=1,IFERROR(INDEX('17-جلسات و دوره‌ها'!$B$8:$B$1007,MATCH(D17,'17-جلسات و دوره‌ها'!$A$8:$A$1007,0)),"")=B17,IFERROR(INDEX('17-جلسات و دوره‌ها'!$C$8:$C$1007,MATCH(D17,'17-جلسات و دوره‌ها'!$A$8:$A$1007,0)),"")=C17))),"شناسه یا جلسه نامعتبر",IF(AND(M17="بررسی شد",J17&lt;&gt;"",O17&lt;&gt;"",P17&lt;&gt;"",Q17&lt;&gt;"",AND(COUNTIFS('14-مستندات و پیوست‌ها'!$A$8:$A$1007,L17)=1,IFERROR(INDEX('14-مستندات و پیوست‌ها'!$B$8:$B$1007,MATCH(L17,'14-مستندات و پیوست‌ها'!$A$8:$A$1007,0)),"")=B17,OR(IFERROR(INDEX('14-مستندات و پیوست‌ها'!$H$8:$H$1007,MATCH(L17,'14-مستندات و پیوست‌ها'!$A$8:$A$1007,0)),"")="دریافت شده",IFERROR(INDEX('14-مستندات و پیوست‌ها'!$H$8:$H$1007,MATCH(L17,'14-مستندات و پیوست‌ها'!$A$8:$A$1007,0)),"")="فرضی"))),"معتبر","بررسی یا شاهد ناقص")))</f>
        <v>بررسی یا شاهد ناقص</v>
      </c>
    </row>
    <row r="18" spans="1:18" ht="45">
      <c r="A18" s="15" t="s">
        <v>432</v>
      </c>
      <c r="B18" s="11" t="s">
        <v>77</v>
      </c>
      <c r="C18" s="11" t="s">
        <v>80</v>
      </c>
      <c r="D18" s="11" t="s">
        <v>83</v>
      </c>
      <c r="E18" s="11" t="s">
        <v>379</v>
      </c>
      <c r="F18" s="11" t="s">
        <v>433</v>
      </c>
      <c r="G18" s="11" t="s">
        <v>116</v>
      </c>
      <c r="H18" s="11" t="s">
        <v>433</v>
      </c>
      <c r="I18" s="11" t="s">
        <v>434</v>
      </c>
      <c r="J18" s="11" t="s">
        <v>435</v>
      </c>
      <c r="K18" s="11" t="s">
        <v>436</v>
      </c>
      <c r="L18" s="11" t="s">
        <v>384</v>
      </c>
      <c r="M18" s="11" t="s">
        <v>385</v>
      </c>
      <c r="N18" s="11" t="s">
        <v>386</v>
      </c>
      <c r="O18" s="11"/>
      <c r="P18" s="11"/>
      <c r="Q18" s="11"/>
      <c r="R18" s="26" t="str">
        <f>IF(A18="","",IF(NOT(AND(COUNTIFS('03-ورودی‌های بازنگری'!$A$8:$A$1007,A18)=1,AND(COUNTIFS('17-جلسات و دوره‌ها'!$A$8:$A$1007,D18)=1,IFERROR(INDEX('17-جلسات و دوره‌ها'!$B$8:$B$1007,MATCH(D18,'17-جلسات و دوره‌ها'!$A$8:$A$1007,0)),"")=B18,IFERROR(INDEX('17-جلسات و دوره‌ها'!$C$8:$C$1007,MATCH(D18,'17-جلسات و دوره‌ها'!$A$8:$A$1007,0)),"")=C18))),"شناسه یا جلسه نامعتبر",IF(AND(M18="بررسی شد",J18&lt;&gt;"",O18&lt;&gt;"",P18&lt;&gt;"",Q18&lt;&gt;"",AND(COUNTIFS('14-مستندات و پیوست‌ها'!$A$8:$A$1007,L18)=1,IFERROR(INDEX('14-مستندات و پیوست‌ها'!$B$8:$B$1007,MATCH(L18,'14-مستندات و پیوست‌ها'!$A$8:$A$1007,0)),"")=B18,OR(IFERROR(INDEX('14-مستندات و پیوست‌ها'!$H$8:$H$1007,MATCH(L18,'14-مستندات و پیوست‌ها'!$A$8:$A$1007,0)),"")="دریافت شده",IFERROR(INDEX('14-مستندات و پیوست‌ها'!$H$8:$H$1007,MATCH(L18,'14-مستندات و پیوست‌ها'!$A$8:$A$1007,0)),"")="فرضی"))),"معتبر","بررسی یا شاهد ناقص")))</f>
        <v>بررسی یا شاهد ناقص</v>
      </c>
    </row>
    <row r="19" spans="1:18" ht="45">
      <c r="A19" s="15" t="s">
        <v>437</v>
      </c>
      <c r="B19" s="11" t="s">
        <v>77</v>
      </c>
      <c r="C19" s="11" t="s">
        <v>80</v>
      </c>
      <c r="D19" s="11" t="s">
        <v>83</v>
      </c>
      <c r="E19" s="11" t="s">
        <v>379</v>
      </c>
      <c r="F19" s="11" t="s">
        <v>438</v>
      </c>
      <c r="G19" s="11" t="s">
        <v>116</v>
      </c>
      <c r="H19" s="11" t="s">
        <v>438</v>
      </c>
      <c r="I19" s="11" t="s">
        <v>439</v>
      </c>
      <c r="J19" s="11" t="s">
        <v>440</v>
      </c>
      <c r="K19" s="11" t="s">
        <v>441</v>
      </c>
      <c r="L19" s="11" t="s">
        <v>384</v>
      </c>
      <c r="M19" s="11" t="s">
        <v>385</v>
      </c>
      <c r="N19" s="11" t="s">
        <v>386</v>
      </c>
      <c r="O19" s="11"/>
      <c r="P19" s="11"/>
      <c r="Q19" s="11"/>
      <c r="R19" s="26" t="str">
        <f>IF(A19="","",IF(NOT(AND(COUNTIFS('03-ورودی‌های بازنگری'!$A$8:$A$1007,A19)=1,AND(COUNTIFS('17-جلسات و دوره‌ها'!$A$8:$A$1007,D19)=1,IFERROR(INDEX('17-جلسات و دوره‌ها'!$B$8:$B$1007,MATCH(D19,'17-جلسات و دوره‌ها'!$A$8:$A$1007,0)),"")=B19,IFERROR(INDEX('17-جلسات و دوره‌ها'!$C$8:$C$1007,MATCH(D19,'17-جلسات و دوره‌ها'!$A$8:$A$1007,0)),"")=C19))),"شناسه یا جلسه نامعتبر",IF(AND(M19="بررسی شد",J19&lt;&gt;"",O19&lt;&gt;"",P19&lt;&gt;"",Q19&lt;&gt;"",AND(COUNTIFS('14-مستندات و پیوست‌ها'!$A$8:$A$1007,L19)=1,IFERROR(INDEX('14-مستندات و پیوست‌ها'!$B$8:$B$1007,MATCH(L19,'14-مستندات و پیوست‌ها'!$A$8:$A$1007,0)),"")=B19,OR(IFERROR(INDEX('14-مستندات و پیوست‌ها'!$H$8:$H$1007,MATCH(L19,'14-مستندات و پیوست‌ها'!$A$8:$A$1007,0)),"")="دریافت شده",IFERROR(INDEX('14-مستندات و پیوست‌ها'!$H$8:$H$1007,MATCH(L19,'14-مستندات و پیوست‌ها'!$A$8:$A$1007,0)),"")="فرضی"))),"معتبر","بررسی یا شاهد ناقص")))</f>
        <v>بررسی یا شاهد ناقص</v>
      </c>
    </row>
    <row r="20" spans="1:18" ht="45">
      <c r="A20" s="15" t="s">
        <v>442</v>
      </c>
      <c r="B20" s="11" t="s">
        <v>77</v>
      </c>
      <c r="C20" s="11" t="s">
        <v>80</v>
      </c>
      <c r="D20" s="11" t="s">
        <v>83</v>
      </c>
      <c r="E20" s="11" t="s">
        <v>379</v>
      </c>
      <c r="F20" s="11" t="s">
        <v>443</v>
      </c>
      <c r="G20" s="11" t="s">
        <v>116</v>
      </c>
      <c r="H20" s="11" t="s">
        <v>443</v>
      </c>
      <c r="I20" s="11" t="s">
        <v>444</v>
      </c>
      <c r="J20" s="11" t="s">
        <v>445</v>
      </c>
      <c r="K20" s="11" t="s">
        <v>446</v>
      </c>
      <c r="L20" s="11" t="s">
        <v>384</v>
      </c>
      <c r="M20" s="11" t="s">
        <v>385</v>
      </c>
      <c r="N20" s="11" t="s">
        <v>386</v>
      </c>
      <c r="O20" s="11"/>
      <c r="P20" s="11"/>
      <c r="Q20" s="11"/>
      <c r="R20" s="26" t="str">
        <f>IF(A20="","",IF(NOT(AND(COUNTIFS('03-ورودی‌های بازنگری'!$A$8:$A$1007,A20)=1,AND(COUNTIFS('17-جلسات و دوره‌ها'!$A$8:$A$1007,D20)=1,IFERROR(INDEX('17-جلسات و دوره‌ها'!$B$8:$B$1007,MATCH(D20,'17-جلسات و دوره‌ها'!$A$8:$A$1007,0)),"")=B20,IFERROR(INDEX('17-جلسات و دوره‌ها'!$C$8:$C$1007,MATCH(D20,'17-جلسات و دوره‌ها'!$A$8:$A$1007,0)),"")=C20))),"شناسه یا جلسه نامعتبر",IF(AND(M20="بررسی شد",J20&lt;&gt;"",O20&lt;&gt;"",P20&lt;&gt;"",Q20&lt;&gt;"",AND(COUNTIFS('14-مستندات و پیوست‌ها'!$A$8:$A$1007,L20)=1,IFERROR(INDEX('14-مستندات و پیوست‌ها'!$B$8:$B$1007,MATCH(L20,'14-مستندات و پیوست‌ها'!$A$8:$A$1007,0)),"")=B20,OR(IFERROR(INDEX('14-مستندات و پیوست‌ها'!$H$8:$H$1007,MATCH(L20,'14-مستندات و پیوست‌ها'!$A$8:$A$1007,0)),"")="دریافت شده",IFERROR(INDEX('14-مستندات و پیوست‌ها'!$H$8:$H$1007,MATCH(L20,'14-مستندات و پیوست‌ها'!$A$8:$A$1007,0)),"")="فرضی"))),"معتبر","بررسی یا شاهد ناقص")))</f>
        <v>بررسی یا شاهد ناقص</v>
      </c>
    </row>
    <row r="21" spans="1:18" ht="45">
      <c r="A21" s="15" t="s">
        <v>447</v>
      </c>
      <c r="B21" s="11" t="s">
        <v>77</v>
      </c>
      <c r="C21" s="11" t="s">
        <v>80</v>
      </c>
      <c r="D21" s="11" t="s">
        <v>83</v>
      </c>
      <c r="E21" s="11" t="s">
        <v>379</v>
      </c>
      <c r="F21" s="11" t="s">
        <v>448</v>
      </c>
      <c r="G21" s="11" t="s">
        <v>116</v>
      </c>
      <c r="H21" s="11" t="s">
        <v>448</v>
      </c>
      <c r="I21" s="11" t="s">
        <v>449</v>
      </c>
      <c r="J21" s="11" t="s">
        <v>450</v>
      </c>
      <c r="K21" s="11" t="s">
        <v>451</v>
      </c>
      <c r="L21" s="11" t="s">
        <v>384</v>
      </c>
      <c r="M21" s="11" t="s">
        <v>385</v>
      </c>
      <c r="N21" s="11" t="s">
        <v>386</v>
      </c>
      <c r="O21" s="11"/>
      <c r="P21" s="11"/>
      <c r="Q21" s="11"/>
      <c r="R21" s="26" t="str">
        <f>IF(A21="","",IF(NOT(AND(COUNTIFS('03-ورودی‌های بازنگری'!$A$8:$A$1007,A21)=1,AND(COUNTIFS('17-جلسات و دوره‌ها'!$A$8:$A$1007,D21)=1,IFERROR(INDEX('17-جلسات و دوره‌ها'!$B$8:$B$1007,MATCH(D21,'17-جلسات و دوره‌ها'!$A$8:$A$1007,0)),"")=B21,IFERROR(INDEX('17-جلسات و دوره‌ها'!$C$8:$C$1007,MATCH(D21,'17-جلسات و دوره‌ها'!$A$8:$A$1007,0)),"")=C21))),"شناسه یا جلسه نامعتبر",IF(AND(M21="بررسی شد",J21&lt;&gt;"",O21&lt;&gt;"",P21&lt;&gt;"",Q21&lt;&gt;"",AND(COUNTIFS('14-مستندات و پیوست‌ها'!$A$8:$A$1007,L21)=1,IFERROR(INDEX('14-مستندات و پیوست‌ها'!$B$8:$B$1007,MATCH(L21,'14-مستندات و پیوست‌ها'!$A$8:$A$1007,0)),"")=B21,OR(IFERROR(INDEX('14-مستندات و پیوست‌ها'!$H$8:$H$1007,MATCH(L21,'14-مستندات و پیوست‌ها'!$A$8:$A$1007,0)),"")="دریافت شده",IFERROR(INDEX('14-مستندات و پیوست‌ها'!$H$8:$H$1007,MATCH(L21,'14-مستندات و پیوست‌ها'!$A$8:$A$1007,0)),"")="فرضی"))),"معتبر","بررسی یا شاهد ناقص")))</f>
        <v>بررسی یا شاهد ناقص</v>
      </c>
    </row>
    <row r="22" spans="1:18" ht="45">
      <c r="A22" s="15" t="s">
        <v>452</v>
      </c>
      <c r="B22" s="11" t="s">
        <v>77</v>
      </c>
      <c r="C22" s="11" t="s">
        <v>80</v>
      </c>
      <c r="D22" s="11" t="s">
        <v>83</v>
      </c>
      <c r="E22" s="11" t="s">
        <v>379</v>
      </c>
      <c r="F22" s="11" t="s">
        <v>453</v>
      </c>
      <c r="G22" s="11" t="s">
        <v>116</v>
      </c>
      <c r="H22" s="11" t="s">
        <v>453</v>
      </c>
      <c r="I22" s="11" t="s">
        <v>454</v>
      </c>
      <c r="J22" s="11" t="s">
        <v>455</v>
      </c>
      <c r="K22" s="11" t="s">
        <v>456</v>
      </c>
      <c r="L22" s="11" t="s">
        <v>384</v>
      </c>
      <c r="M22" s="11" t="s">
        <v>385</v>
      </c>
      <c r="N22" s="11" t="s">
        <v>386</v>
      </c>
      <c r="O22" s="11"/>
      <c r="P22" s="11"/>
      <c r="Q22" s="11"/>
      <c r="R22" s="26" t="str">
        <f>IF(A22="","",IF(NOT(AND(COUNTIFS('03-ورودی‌های بازنگری'!$A$8:$A$1007,A22)=1,AND(COUNTIFS('17-جلسات و دوره‌ها'!$A$8:$A$1007,D22)=1,IFERROR(INDEX('17-جلسات و دوره‌ها'!$B$8:$B$1007,MATCH(D22,'17-جلسات و دوره‌ها'!$A$8:$A$1007,0)),"")=B22,IFERROR(INDEX('17-جلسات و دوره‌ها'!$C$8:$C$1007,MATCH(D22,'17-جلسات و دوره‌ها'!$A$8:$A$1007,0)),"")=C22))),"شناسه یا جلسه نامعتبر",IF(AND(M22="بررسی شد",J22&lt;&gt;"",O22&lt;&gt;"",P22&lt;&gt;"",Q22&lt;&gt;"",AND(COUNTIFS('14-مستندات و پیوست‌ها'!$A$8:$A$1007,L22)=1,IFERROR(INDEX('14-مستندات و پیوست‌ها'!$B$8:$B$1007,MATCH(L22,'14-مستندات و پیوست‌ها'!$A$8:$A$1007,0)),"")=B22,OR(IFERROR(INDEX('14-مستندات و پیوست‌ها'!$H$8:$H$1007,MATCH(L22,'14-مستندات و پیوست‌ها'!$A$8:$A$1007,0)),"")="دریافت شده",IFERROR(INDEX('14-مستندات و پیوست‌ها'!$H$8:$H$1007,MATCH(L22,'14-مستندات و پیوست‌ها'!$A$8:$A$1007,0)),"")="فرضی"))),"معتبر","بررسی یا شاهد ناقص")))</f>
        <v>بررسی یا شاهد ناقص</v>
      </c>
    </row>
    <row r="23" spans="1:18" ht="45">
      <c r="A23" s="15" t="s">
        <v>457</v>
      </c>
      <c r="B23" s="11" t="s">
        <v>77</v>
      </c>
      <c r="C23" s="11" t="s">
        <v>80</v>
      </c>
      <c r="D23" s="11" t="s">
        <v>83</v>
      </c>
      <c r="E23" s="11" t="s">
        <v>379</v>
      </c>
      <c r="F23" s="11" t="s">
        <v>458</v>
      </c>
      <c r="G23" s="11" t="s">
        <v>116</v>
      </c>
      <c r="H23" s="11" t="s">
        <v>458</v>
      </c>
      <c r="I23" s="11" t="s">
        <v>459</v>
      </c>
      <c r="J23" s="11" t="s">
        <v>460</v>
      </c>
      <c r="K23" s="11" t="s">
        <v>461</v>
      </c>
      <c r="L23" s="11" t="s">
        <v>384</v>
      </c>
      <c r="M23" s="11" t="s">
        <v>385</v>
      </c>
      <c r="N23" s="11" t="s">
        <v>386</v>
      </c>
      <c r="O23" s="11"/>
      <c r="P23" s="11"/>
      <c r="Q23" s="11"/>
      <c r="R23" s="26" t="str">
        <f>IF(A23="","",IF(NOT(AND(COUNTIFS('03-ورودی‌های بازنگری'!$A$8:$A$1007,A23)=1,AND(COUNTIFS('17-جلسات و دوره‌ها'!$A$8:$A$1007,D23)=1,IFERROR(INDEX('17-جلسات و دوره‌ها'!$B$8:$B$1007,MATCH(D23,'17-جلسات و دوره‌ها'!$A$8:$A$1007,0)),"")=B23,IFERROR(INDEX('17-جلسات و دوره‌ها'!$C$8:$C$1007,MATCH(D23,'17-جلسات و دوره‌ها'!$A$8:$A$1007,0)),"")=C23))),"شناسه یا جلسه نامعتبر",IF(AND(M23="بررسی شد",J23&lt;&gt;"",O23&lt;&gt;"",P23&lt;&gt;"",Q23&lt;&gt;"",AND(COUNTIFS('14-مستندات و پیوست‌ها'!$A$8:$A$1007,L23)=1,IFERROR(INDEX('14-مستندات و پیوست‌ها'!$B$8:$B$1007,MATCH(L23,'14-مستندات و پیوست‌ها'!$A$8:$A$1007,0)),"")=B23,OR(IFERROR(INDEX('14-مستندات و پیوست‌ها'!$H$8:$H$1007,MATCH(L23,'14-مستندات و پیوست‌ها'!$A$8:$A$1007,0)),"")="دریافت شده",IFERROR(INDEX('14-مستندات و پیوست‌ها'!$H$8:$H$1007,MATCH(L23,'14-مستندات و پیوست‌ها'!$A$8:$A$1007,0)),"")="فرضی"))),"معتبر","بررسی یا شاهد ناقص")))</f>
        <v>بررسی یا شاهد ناقص</v>
      </c>
    </row>
    <row r="24" spans="1:18" ht="45">
      <c r="A24" s="15" t="s">
        <v>462</v>
      </c>
      <c r="B24" s="11" t="s">
        <v>77</v>
      </c>
      <c r="C24" s="11" t="s">
        <v>80</v>
      </c>
      <c r="D24" s="11" t="s">
        <v>83</v>
      </c>
      <c r="E24" s="11" t="s">
        <v>379</v>
      </c>
      <c r="F24" s="11" t="s">
        <v>463</v>
      </c>
      <c r="G24" s="11" t="s">
        <v>116</v>
      </c>
      <c r="H24" s="11" t="s">
        <v>463</v>
      </c>
      <c r="I24" s="11" t="s">
        <v>464</v>
      </c>
      <c r="J24" s="11" t="s">
        <v>465</v>
      </c>
      <c r="K24" s="11" t="s">
        <v>466</v>
      </c>
      <c r="L24" s="11" t="s">
        <v>384</v>
      </c>
      <c r="M24" s="11" t="s">
        <v>385</v>
      </c>
      <c r="N24" s="11" t="s">
        <v>386</v>
      </c>
      <c r="O24" s="11"/>
      <c r="P24" s="11"/>
      <c r="Q24" s="11"/>
      <c r="R24" s="26" t="str">
        <f>IF(A24="","",IF(NOT(AND(COUNTIFS('03-ورودی‌های بازنگری'!$A$8:$A$1007,A24)=1,AND(COUNTIFS('17-جلسات و دوره‌ها'!$A$8:$A$1007,D24)=1,IFERROR(INDEX('17-جلسات و دوره‌ها'!$B$8:$B$1007,MATCH(D24,'17-جلسات و دوره‌ها'!$A$8:$A$1007,0)),"")=B24,IFERROR(INDEX('17-جلسات و دوره‌ها'!$C$8:$C$1007,MATCH(D24,'17-جلسات و دوره‌ها'!$A$8:$A$1007,0)),"")=C24))),"شناسه یا جلسه نامعتبر",IF(AND(M24="بررسی شد",J24&lt;&gt;"",O24&lt;&gt;"",P24&lt;&gt;"",Q24&lt;&gt;"",AND(COUNTIFS('14-مستندات و پیوست‌ها'!$A$8:$A$1007,L24)=1,IFERROR(INDEX('14-مستندات و پیوست‌ها'!$B$8:$B$1007,MATCH(L24,'14-مستندات و پیوست‌ها'!$A$8:$A$1007,0)),"")=B24,OR(IFERROR(INDEX('14-مستندات و پیوست‌ها'!$H$8:$H$1007,MATCH(L24,'14-مستندات و پیوست‌ها'!$A$8:$A$1007,0)),"")="دریافت شده",IFERROR(INDEX('14-مستندات و پیوست‌ها'!$H$8:$H$1007,MATCH(L24,'14-مستندات و پیوست‌ها'!$A$8:$A$1007,0)),"")="فرضی"))),"معتبر","بررسی یا شاهد ناقص")))</f>
        <v>بررسی یا شاهد ناقص</v>
      </c>
    </row>
    <row r="25" spans="1:18" ht="45">
      <c r="A25" s="15" t="s">
        <v>467</v>
      </c>
      <c r="B25" s="11" t="s">
        <v>77</v>
      </c>
      <c r="C25" s="11" t="s">
        <v>80</v>
      </c>
      <c r="D25" s="11" t="s">
        <v>83</v>
      </c>
      <c r="E25" s="11" t="s">
        <v>379</v>
      </c>
      <c r="F25" s="11" t="s">
        <v>468</v>
      </c>
      <c r="G25" s="11" t="s">
        <v>116</v>
      </c>
      <c r="H25" s="11" t="s">
        <v>468</v>
      </c>
      <c r="I25" s="11" t="s">
        <v>469</v>
      </c>
      <c r="J25" s="11" t="s">
        <v>470</v>
      </c>
      <c r="K25" s="11" t="s">
        <v>471</v>
      </c>
      <c r="L25" s="11" t="s">
        <v>384</v>
      </c>
      <c r="M25" s="11" t="s">
        <v>385</v>
      </c>
      <c r="N25" s="11" t="s">
        <v>386</v>
      </c>
      <c r="O25" s="11"/>
      <c r="P25" s="11"/>
      <c r="Q25" s="11"/>
      <c r="R25" s="26" t="str">
        <f>IF(A25="","",IF(NOT(AND(COUNTIFS('03-ورودی‌های بازنگری'!$A$8:$A$1007,A25)=1,AND(COUNTIFS('17-جلسات و دوره‌ها'!$A$8:$A$1007,D25)=1,IFERROR(INDEX('17-جلسات و دوره‌ها'!$B$8:$B$1007,MATCH(D25,'17-جلسات و دوره‌ها'!$A$8:$A$1007,0)),"")=B25,IFERROR(INDEX('17-جلسات و دوره‌ها'!$C$8:$C$1007,MATCH(D25,'17-جلسات و دوره‌ها'!$A$8:$A$1007,0)),"")=C25))),"شناسه یا جلسه نامعتبر",IF(AND(M25="بررسی شد",J25&lt;&gt;"",O25&lt;&gt;"",P25&lt;&gt;"",Q25&lt;&gt;"",AND(COUNTIFS('14-مستندات و پیوست‌ها'!$A$8:$A$1007,L25)=1,IFERROR(INDEX('14-مستندات و پیوست‌ها'!$B$8:$B$1007,MATCH(L25,'14-مستندات و پیوست‌ها'!$A$8:$A$1007,0)),"")=B25,OR(IFERROR(INDEX('14-مستندات و پیوست‌ها'!$H$8:$H$1007,MATCH(L25,'14-مستندات و پیوست‌ها'!$A$8:$A$1007,0)),"")="دریافت شده",IFERROR(INDEX('14-مستندات و پیوست‌ها'!$H$8:$H$1007,MATCH(L25,'14-مستندات و پیوست‌ها'!$A$8:$A$1007,0)),"")="فرضی"))),"معتبر","بررسی یا شاهد ناقص")))</f>
        <v>بررسی یا شاهد ناقص</v>
      </c>
    </row>
    <row r="26" spans="1:18" ht="45">
      <c r="A26" s="15" t="s">
        <v>472</v>
      </c>
      <c r="B26" s="11" t="s">
        <v>77</v>
      </c>
      <c r="C26" s="11" t="s">
        <v>80</v>
      </c>
      <c r="D26" s="11" t="s">
        <v>83</v>
      </c>
      <c r="E26" s="11" t="s">
        <v>379</v>
      </c>
      <c r="F26" s="11" t="s">
        <v>473</v>
      </c>
      <c r="G26" s="11" t="s">
        <v>116</v>
      </c>
      <c r="H26" s="11" t="s">
        <v>473</v>
      </c>
      <c r="I26" s="11" t="s">
        <v>474</v>
      </c>
      <c r="J26" s="11" t="s">
        <v>475</v>
      </c>
      <c r="K26" s="11" t="s">
        <v>476</v>
      </c>
      <c r="L26" s="11" t="s">
        <v>384</v>
      </c>
      <c r="M26" s="11" t="s">
        <v>385</v>
      </c>
      <c r="N26" s="11" t="s">
        <v>386</v>
      </c>
      <c r="O26" s="11"/>
      <c r="P26" s="11"/>
      <c r="Q26" s="11"/>
      <c r="R26" s="26" t="str">
        <f>IF(A26="","",IF(NOT(AND(COUNTIFS('03-ورودی‌های بازنگری'!$A$8:$A$1007,A26)=1,AND(COUNTIFS('17-جلسات و دوره‌ها'!$A$8:$A$1007,D26)=1,IFERROR(INDEX('17-جلسات و دوره‌ها'!$B$8:$B$1007,MATCH(D26,'17-جلسات و دوره‌ها'!$A$8:$A$1007,0)),"")=B26,IFERROR(INDEX('17-جلسات و دوره‌ها'!$C$8:$C$1007,MATCH(D26,'17-جلسات و دوره‌ها'!$A$8:$A$1007,0)),"")=C26))),"شناسه یا جلسه نامعتبر",IF(AND(M26="بررسی شد",J26&lt;&gt;"",O26&lt;&gt;"",P26&lt;&gt;"",Q26&lt;&gt;"",AND(COUNTIFS('14-مستندات و پیوست‌ها'!$A$8:$A$1007,L26)=1,IFERROR(INDEX('14-مستندات و پیوست‌ها'!$B$8:$B$1007,MATCH(L26,'14-مستندات و پیوست‌ها'!$A$8:$A$1007,0)),"")=B26,OR(IFERROR(INDEX('14-مستندات و پیوست‌ها'!$H$8:$H$1007,MATCH(L26,'14-مستندات و پیوست‌ها'!$A$8:$A$1007,0)),"")="دریافت شده",IFERROR(INDEX('14-مستندات و پیوست‌ها'!$H$8:$H$1007,MATCH(L26,'14-مستندات و پیوست‌ها'!$A$8:$A$1007,0)),"")="فرضی"))),"معتبر","بررسی یا شاهد ناقص")))</f>
        <v>بررسی یا شاهد ناقص</v>
      </c>
    </row>
    <row r="27" spans="1:18" ht="45">
      <c r="A27" s="15" t="s">
        <v>477</v>
      </c>
      <c r="B27" s="11" t="s">
        <v>77</v>
      </c>
      <c r="C27" s="11" t="s">
        <v>80</v>
      </c>
      <c r="D27" s="11" t="s">
        <v>83</v>
      </c>
      <c r="E27" s="11" t="s">
        <v>379</v>
      </c>
      <c r="F27" s="11" t="s">
        <v>478</v>
      </c>
      <c r="G27" s="11" t="s">
        <v>116</v>
      </c>
      <c r="H27" s="11" t="s">
        <v>478</v>
      </c>
      <c r="I27" s="11" t="s">
        <v>479</v>
      </c>
      <c r="J27" s="11" t="s">
        <v>480</v>
      </c>
      <c r="K27" s="11" t="s">
        <v>481</v>
      </c>
      <c r="L27" s="11" t="s">
        <v>384</v>
      </c>
      <c r="M27" s="11" t="s">
        <v>385</v>
      </c>
      <c r="N27" s="11" t="s">
        <v>386</v>
      </c>
      <c r="O27" s="11"/>
      <c r="P27" s="11"/>
      <c r="Q27" s="11"/>
      <c r="R27" s="26" t="str">
        <f>IF(A27="","",IF(NOT(AND(COUNTIFS('03-ورودی‌های بازنگری'!$A$8:$A$1007,A27)=1,AND(COUNTIFS('17-جلسات و دوره‌ها'!$A$8:$A$1007,D27)=1,IFERROR(INDEX('17-جلسات و دوره‌ها'!$B$8:$B$1007,MATCH(D27,'17-جلسات و دوره‌ها'!$A$8:$A$1007,0)),"")=B27,IFERROR(INDEX('17-جلسات و دوره‌ها'!$C$8:$C$1007,MATCH(D27,'17-جلسات و دوره‌ها'!$A$8:$A$1007,0)),"")=C27))),"شناسه یا جلسه نامعتبر",IF(AND(M27="بررسی شد",J27&lt;&gt;"",O27&lt;&gt;"",P27&lt;&gt;"",Q27&lt;&gt;"",AND(COUNTIFS('14-مستندات و پیوست‌ها'!$A$8:$A$1007,L27)=1,IFERROR(INDEX('14-مستندات و پیوست‌ها'!$B$8:$B$1007,MATCH(L27,'14-مستندات و پیوست‌ها'!$A$8:$A$1007,0)),"")=B27,OR(IFERROR(INDEX('14-مستندات و پیوست‌ها'!$H$8:$H$1007,MATCH(L27,'14-مستندات و پیوست‌ها'!$A$8:$A$1007,0)),"")="دریافت شده",IFERROR(INDEX('14-مستندات و پیوست‌ها'!$H$8:$H$1007,MATCH(L27,'14-مستندات و پیوست‌ها'!$A$8:$A$1007,0)),"")="فرضی"))),"معتبر","بررسی یا شاهد ناقص")))</f>
        <v>بررسی یا شاهد ناقص</v>
      </c>
    </row>
    <row r="28" spans="1:18" ht="45">
      <c r="A28" s="15" t="s">
        <v>482</v>
      </c>
      <c r="B28" s="11" t="s">
        <v>77</v>
      </c>
      <c r="C28" s="11" t="s">
        <v>80</v>
      </c>
      <c r="D28" s="11" t="s">
        <v>83</v>
      </c>
      <c r="E28" s="11" t="s">
        <v>379</v>
      </c>
      <c r="F28" s="11" t="s">
        <v>483</v>
      </c>
      <c r="G28" s="11" t="s">
        <v>116</v>
      </c>
      <c r="H28" s="11" t="s">
        <v>483</v>
      </c>
      <c r="I28" s="11" t="s">
        <v>484</v>
      </c>
      <c r="J28" s="11" t="s">
        <v>485</v>
      </c>
      <c r="K28" s="11" t="s">
        <v>486</v>
      </c>
      <c r="L28" s="11" t="s">
        <v>384</v>
      </c>
      <c r="M28" s="11" t="s">
        <v>385</v>
      </c>
      <c r="N28" s="11" t="s">
        <v>386</v>
      </c>
      <c r="O28" s="11"/>
      <c r="P28" s="11"/>
      <c r="Q28" s="11"/>
      <c r="R28" s="26" t="str">
        <f>IF(A28="","",IF(NOT(AND(COUNTIFS('03-ورودی‌های بازنگری'!$A$8:$A$1007,A28)=1,AND(COUNTIFS('17-جلسات و دوره‌ها'!$A$8:$A$1007,D28)=1,IFERROR(INDEX('17-جلسات و دوره‌ها'!$B$8:$B$1007,MATCH(D28,'17-جلسات و دوره‌ها'!$A$8:$A$1007,0)),"")=B28,IFERROR(INDEX('17-جلسات و دوره‌ها'!$C$8:$C$1007,MATCH(D28,'17-جلسات و دوره‌ها'!$A$8:$A$1007,0)),"")=C28))),"شناسه یا جلسه نامعتبر",IF(AND(M28="بررسی شد",J28&lt;&gt;"",O28&lt;&gt;"",P28&lt;&gt;"",Q28&lt;&gt;"",AND(COUNTIFS('14-مستندات و پیوست‌ها'!$A$8:$A$1007,L28)=1,IFERROR(INDEX('14-مستندات و پیوست‌ها'!$B$8:$B$1007,MATCH(L28,'14-مستندات و پیوست‌ها'!$A$8:$A$1007,0)),"")=B28,OR(IFERROR(INDEX('14-مستندات و پیوست‌ها'!$H$8:$H$1007,MATCH(L28,'14-مستندات و پیوست‌ها'!$A$8:$A$1007,0)),"")="دریافت شده",IFERROR(INDEX('14-مستندات و پیوست‌ها'!$H$8:$H$1007,MATCH(L28,'14-مستندات و پیوست‌ها'!$A$8:$A$1007,0)),"")="فرضی"))),"معتبر","بررسی یا شاهد ناقص")))</f>
        <v>بررسی یا شاهد ناقص</v>
      </c>
    </row>
    <row r="29" spans="1:18" ht="45">
      <c r="A29" s="15" t="s">
        <v>487</v>
      </c>
      <c r="B29" s="11" t="s">
        <v>77</v>
      </c>
      <c r="C29" s="11" t="s">
        <v>80</v>
      </c>
      <c r="D29" s="11" t="s">
        <v>83</v>
      </c>
      <c r="E29" s="11" t="s">
        <v>379</v>
      </c>
      <c r="F29" s="11" t="s">
        <v>488</v>
      </c>
      <c r="G29" s="11" t="s">
        <v>116</v>
      </c>
      <c r="H29" s="11" t="s">
        <v>488</v>
      </c>
      <c r="I29" s="11" t="s">
        <v>489</v>
      </c>
      <c r="J29" s="11" t="s">
        <v>490</v>
      </c>
      <c r="K29" s="11" t="s">
        <v>491</v>
      </c>
      <c r="L29" s="11" t="s">
        <v>384</v>
      </c>
      <c r="M29" s="11" t="s">
        <v>385</v>
      </c>
      <c r="N29" s="11" t="s">
        <v>386</v>
      </c>
      <c r="O29" s="11"/>
      <c r="P29" s="11"/>
      <c r="Q29" s="11"/>
      <c r="R29" s="26" t="str">
        <f>IF(A29="","",IF(NOT(AND(COUNTIFS('03-ورودی‌های بازنگری'!$A$8:$A$1007,A29)=1,AND(COUNTIFS('17-جلسات و دوره‌ها'!$A$8:$A$1007,D29)=1,IFERROR(INDEX('17-جلسات و دوره‌ها'!$B$8:$B$1007,MATCH(D29,'17-جلسات و دوره‌ها'!$A$8:$A$1007,0)),"")=B29,IFERROR(INDEX('17-جلسات و دوره‌ها'!$C$8:$C$1007,MATCH(D29,'17-جلسات و دوره‌ها'!$A$8:$A$1007,0)),"")=C29))),"شناسه یا جلسه نامعتبر",IF(AND(M29="بررسی شد",J29&lt;&gt;"",O29&lt;&gt;"",P29&lt;&gt;"",Q29&lt;&gt;"",AND(COUNTIFS('14-مستندات و پیوست‌ها'!$A$8:$A$1007,L29)=1,IFERROR(INDEX('14-مستندات و پیوست‌ها'!$B$8:$B$1007,MATCH(L29,'14-مستندات و پیوست‌ها'!$A$8:$A$1007,0)),"")=B29,OR(IFERROR(INDEX('14-مستندات و پیوست‌ها'!$H$8:$H$1007,MATCH(L29,'14-مستندات و پیوست‌ها'!$A$8:$A$1007,0)),"")="دریافت شده",IFERROR(INDEX('14-مستندات و پیوست‌ها'!$H$8:$H$1007,MATCH(L29,'14-مستندات و پیوست‌ها'!$A$8:$A$1007,0)),"")="فرضی"))),"معتبر","بررسی یا شاهد ناقص")))</f>
        <v>بررسی یا شاهد ناقص</v>
      </c>
    </row>
    <row r="30" spans="1:18" ht="45">
      <c r="A30" s="15" t="s">
        <v>492</v>
      </c>
      <c r="B30" s="11" t="s">
        <v>77</v>
      </c>
      <c r="C30" s="11" t="s">
        <v>80</v>
      </c>
      <c r="D30" s="11" t="s">
        <v>83</v>
      </c>
      <c r="E30" s="11" t="s">
        <v>379</v>
      </c>
      <c r="F30" s="11" t="s">
        <v>493</v>
      </c>
      <c r="G30" s="11" t="s">
        <v>116</v>
      </c>
      <c r="H30" s="11" t="s">
        <v>493</v>
      </c>
      <c r="I30" s="11" t="s">
        <v>494</v>
      </c>
      <c r="J30" s="11" t="s">
        <v>495</v>
      </c>
      <c r="K30" s="11" t="s">
        <v>496</v>
      </c>
      <c r="L30" s="11" t="s">
        <v>384</v>
      </c>
      <c r="M30" s="11" t="s">
        <v>385</v>
      </c>
      <c r="N30" s="11" t="s">
        <v>386</v>
      </c>
      <c r="O30" s="11"/>
      <c r="P30" s="11"/>
      <c r="Q30" s="11"/>
      <c r="R30" s="26" t="str">
        <f>IF(A30="","",IF(NOT(AND(COUNTIFS('03-ورودی‌های بازنگری'!$A$8:$A$1007,A30)=1,AND(COUNTIFS('17-جلسات و دوره‌ها'!$A$8:$A$1007,D30)=1,IFERROR(INDEX('17-جلسات و دوره‌ها'!$B$8:$B$1007,MATCH(D30,'17-جلسات و دوره‌ها'!$A$8:$A$1007,0)),"")=B30,IFERROR(INDEX('17-جلسات و دوره‌ها'!$C$8:$C$1007,MATCH(D30,'17-جلسات و دوره‌ها'!$A$8:$A$1007,0)),"")=C30))),"شناسه یا جلسه نامعتبر",IF(AND(M30="بررسی شد",J30&lt;&gt;"",O30&lt;&gt;"",P30&lt;&gt;"",Q30&lt;&gt;"",AND(COUNTIFS('14-مستندات و پیوست‌ها'!$A$8:$A$1007,L30)=1,IFERROR(INDEX('14-مستندات و پیوست‌ها'!$B$8:$B$1007,MATCH(L30,'14-مستندات و پیوست‌ها'!$A$8:$A$1007,0)),"")=B30,OR(IFERROR(INDEX('14-مستندات و پیوست‌ها'!$H$8:$H$1007,MATCH(L30,'14-مستندات و پیوست‌ها'!$A$8:$A$1007,0)),"")="دریافت شده",IFERROR(INDEX('14-مستندات و پیوست‌ها'!$H$8:$H$1007,MATCH(L30,'14-مستندات و پیوست‌ها'!$A$8:$A$1007,0)),"")="فرضی"))),"معتبر","بررسی یا شاهد ناقص")))</f>
        <v>بررسی یا شاهد ناقص</v>
      </c>
    </row>
    <row r="31" spans="1:18" ht="45">
      <c r="A31" s="15" t="s">
        <v>497</v>
      </c>
      <c r="B31" s="11" t="s">
        <v>77</v>
      </c>
      <c r="C31" s="11" t="s">
        <v>80</v>
      </c>
      <c r="D31" s="11" t="s">
        <v>83</v>
      </c>
      <c r="E31" s="11" t="s">
        <v>379</v>
      </c>
      <c r="F31" s="11" t="s">
        <v>498</v>
      </c>
      <c r="G31" s="11" t="s">
        <v>499</v>
      </c>
      <c r="H31" s="11" t="s">
        <v>498</v>
      </c>
      <c r="I31" s="11" t="s">
        <v>500</v>
      </c>
      <c r="J31" s="11" t="s">
        <v>501</v>
      </c>
      <c r="K31" s="11" t="s">
        <v>502</v>
      </c>
      <c r="L31" s="11" t="s">
        <v>384</v>
      </c>
      <c r="M31" s="11" t="s">
        <v>385</v>
      </c>
      <c r="N31" s="11" t="s">
        <v>386</v>
      </c>
      <c r="O31" s="11"/>
      <c r="P31" s="11"/>
      <c r="Q31" s="11"/>
      <c r="R31" s="26" t="str">
        <f>IF(A31="","",IF(NOT(AND(COUNTIFS('03-ورودی‌های بازنگری'!$A$8:$A$1007,A31)=1,AND(COUNTIFS('17-جلسات و دوره‌ها'!$A$8:$A$1007,D31)=1,IFERROR(INDEX('17-جلسات و دوره‌ها'!$B$8:$B$1007,MATCH(D31,'17-جلسات و دوره‌ها'!$A$8:$A$1007,0)),"")=B31,IFERROR(INDEX('17-جلسات و دوره‌ها'!$C$8:$C$1007,MATCH(D31,'17-جلسات و دوره‌ها'!$A$8:$A$1007,0)),"")=C31))),"شناسه یا جلسه نامعتبر",IF(AND(M31="بررسی شد",J31&lt;&gt;"",O31&lt;&gt;"",P31&lt;&gt;"",Q31&lt;&gt;"",AND(COUNTIFS('14-مستندات و پیوست‌ها'!$A$8:$A$1007,L31)=1,IFERROR(INDEX('14-مستندات و پیوست‌ها'!$B$8:$B$1007,MATCH(L31,'14-مستندات و پیوست‌ها'!$A$8:$A$1007,0)),"")=B31,OR(IFERROR(INDEX('14-مستندات و پیوست‌ها'!$H$8:$H$1007,MATCH(L31,'14-مستندات و پیوست‌ها'!$A$8:$A$1007,0)),"")="دریافت شده",IFERROR(INDEX('14-مستندات و پیوست‌ها'!$H$8:$H$1007,MATCH(L31,'14-مستندات و پیوست‌ها'!$A$8:$A$1007,0)),"")="فرضی"))),"معتبر","بررسی یا شاهد ناقص")))</f>
        <v>بررسی یا شاهد ناقص</v>
      </c>
    </row>
    <row r="32" spans="1:18" ht="45">
      <c r="A32" s="15" t="s">
        <v>503</v>
      </c>
      <c r="B32" s="11" t="s">
        <v>77</v>
      </c>
      <c r="C32" s="11" t="s">
        <v>80</v>
      </c>
      <c r="D32" s="11" t="s">
        <v>83</v>
      </c>
      <c r="E32" s="11" t="s">
        <v>379</v>
      </c>
      <c r="F32" s="11" t="s">
        <v>504</v>
      </c>
      <c r="G32" s="11" t="s">
        <v>499</v>
      </c>
      <c r="H32" s="11" t="s">
        <v>504</v>
      </c>
      <c r="I32" s="11" t="s">
        <v>505</v>
      </c>
      <c r="J32" s="11" t="s">
        <v>506</v>
      </c>
      <c r="K32" s="11" t="s">
        <v>507</v>
      </c>
      <c r="L32" s="11" t="s">
        <v>384</v>
      </c>
      <c r="M32" s="11" t="s">
        <v>385</v>
      </c>
      <c r="N32" s="11" t="s">
        <v>386</v>
      </c>
      <c r="O32" s="11"/>
      <c r="P32" s="11"/>
      <c r="Q32" s="11"/>
      <c r="R32" s="26" t="str">
        <f>IF(A32="","",IF(NOT(AND(COUNTIFS('03-ورودی‌های بازنگری'!$A$8:$A$1007,A32)=1,AND(COUNTIFS('17-جلسات و دوره‌ها'!$A$8:$A$1007,D32)=1,IFERROR(INDEX('17-جلسات و دوره‌ها'!$B$8:$B$1007,MATCH(D32,'17-جلسات و دوره‌ها'!$A$8:$A$1007,0)),"")=B32,IFERROR(INDEX('17-جلسات و دوره‌ها'!$C$8:$C$1007,MATCH(D32,'17-جلسات و دوره‌ها'!$A$8:$A$1007,0)),"")=C32))),"شناسه یا جلسه نامعتبر",IF(AND(M32="بررسی شد",J32&lt;&gt;"",O32&lt;&gt;"",P32&lt;&gt;"",Q32&lt;&gt;"",AND(COUNTIFS('14-مستندات و پیوست‌ها'!$A$8:$A$1007,L32)=1,IFERROR(INDEX('14-مستندات و پیوست‌ها'!$B$8:$B$1007,MATCH(L32,'14-مستندات و پیوست‌ها'!$A$8:$A$1007,0)),"")=B32,OR(IFERROR(INDEX('14-مستندات و پیوست‌ها'!$H$8:$H$1007,MATCH(L32,'14-مستندات و پیوست‌ها'!$A$8:$A$1007,0)),"")="دریافت شده",IFERROR(INDEX('14-مستندات و پیوست‌ها'!$H$8:$H$1007,MATCH(L32,'14-مستندات و پیوست‌ها'!$A$8:$A$1007,0)),"")="فرضی"))),"معتبر","بررسی یا شاهد ناقص")))</f>
        <v>بررسی یا شاهد ناقص</v>
      </c>
    </row>
    <row r="33" spans="1:18" ht="45">
      <c r="A33" s="15" t="s">
        <v>508</v>
      </c>
      <c r="B33" s="11" t="s">
        <v>77</v>
      </c>
      <c r="C33" s="11" t="s">
        <v>80</v>
      </c>
      <c r="D33" s="11" t="s">
        <v>83</v>
      </c>
      <c r="E33" s="11" t="s">
        <v>379</v>
      </c>
      <c r="F33" s="11" t="s">
        <v>509</v>
      </c>
      <c r="G33" s="11" t="s">
        <v>499</v>
      </c>
      <c r="H33" s="11" t="s">
        <v>509</v>
      </c>
      <c r="I33" s="11" t="s">
        <v>510</v>
      </c>
      <c r="J33" s="11" t="s">
        <v>511</v>
      </c>
      <c r="K33" s="11" t="s">
        <v>512</v>
      </c>
      <c r="L33" s="11" t="s">
        <v>384</v>
      </c>
      <c r="M33" s="11" t="s">
        <v>385</v>
      </c>
      <c r="N33" s="11" t="s">
        <v>386</v>
      </c>
      <c r="O33" s="11"/>
      <c r="P33" s="11"/>
      <c r="Q33" s="11"/>
      <c r="R33" s="26" t="str">
        <f>IF(A33="","",IF(NOT(AND(COUNTIFS('03-ورودی‌های بازنگری'!$A$8:$A$1007,A33)=1,AND(COUNTIFS('17-جلسات و دوره‌ها'!$A$8:$A$1007,D33)=1,IFERROR(INDEX('17-جلسات و دوره‌ها'!$B$8:$B$1007,MATCH(D33,'17-جلسات و دوره‌ها'!$A$8:$A$1007,0)),"")=B33,IFERROR(INDEX('17-جلسات و دوره‌ها'!$C$8:$C$1007,MATCH(D33,'17-جلسات و دوره‌ها'!$A$8:$A$1007,0)),"")=C33))),"شناسه یا جلسه نامعتبر",IF(AND(M33="بررسی شد",J33&lt;&gt;"",O33&lt;&gt;"",P33&lt;&gt;"",Q33&lt;&gt;"",AND(COUNTIFS('14-مستندات و پیوست‌ها'!$A$8:$A$1007,L33)=1,IFERROR(INDEX('14-مستندات و پیوست‌ها'!$B$8:$B$1007,MATCH(L33,'14-مستندات و پیوست‌ها'!$A$8:$A$1007,0)),"")=B33,OR(IFERROR(INDEX('14-مستندات و پیوست‌ها'!$H$8:$H$1007,MATCH(L33,'14-مستندات و پیوست‌ها'!$A$8:$A$1007,0)),"")="دریافت شده",IFERROR(INDEX('14-مستندات و پیوست‌ها'!$H$8:$H$1007,MATCH(L33,'14-مستندات و پیوست‌ها'!$A$8:$A$1007,0)),"")="فرضی"))),"معتبر","بررسی یا شاهد ناقص")))</f>
        <v>بررسی یا شاهد ناقص</v>
      </c>
    </row>
    <row r="34" spans="1:18" ht="45">
      <c r="A34" s="15" t="s">
        <v>513</v>
      </c>
      <c r="B34" s="11" t="s">
        <v>77</v>
      </c>
      <c r="C34" s="11" t="s">
        <v>80</v>
      </c>
      <c r="D34" s="11" t="s">
        <v>83</v>
      </c>
      <c r="E34" s="11" t="s">
        <v>379</v>
      </c>
      <c r="F34" s="11" t="s">
        <v>514</v>
      </c>
      <c r="G34" s="11" t="s">
        <v>499</v>
      </c>
      <c r="H34" s="11" t="s">
        <v>514</v>
      </c>
      <c r="I34" s="11" t="s">
        <v>515</v>
      </c>
      <c r="J34" s="11" t="s">
        <v>516</v>
      </c>
      <c r="K34" s="11" t="s">
        <v>517</v>
      </c>
      <c r="L34" s="11" t="s">
        <v>384</v>
      </c>
      <c r="M34" s="11" t="s">
        <v>385</v>
      </c>
      <c r="N34" s="11" t="s">
        <v>386</v>
      </c>
      <c r="O34" s="11"/>
      <c r="P34" s="11"/>
      <c r="Q34" s="11"/>
      <c r="R34" s="26" t="str">
        <f>IF(A34="","",IF(NOT(AND(COUNTIFS('03-ورودی‌های بازنگری'!$A$8:$A$1007,A34)=1,AND(COUNTIFS('17-جلسات و دوره‌ها'!$A$8:$A$1007,D34)=1,IFERROR(INDEX('17-جلسات و دوره‌ها'!$B$8:$B$1007,MATCH(D34,'17-جلسات و دوره‌ها'!$A$8:$A$1007,0)),"")=B34,IFERROR(INDEX('17-جلسات و دوره‌ها'!$C$8:$C$1007,MATCH(D34,'17-جلسات و دوره‌ها'!$A$8:$A$1007,0)),"")=C34))),"شناسه یا جلسه نامعتبر",IF(AND(M34="بررسی شد",J34&lt;&gt;"",O34&lt;&gt;"",P34&lt;&gt;"",Q34&lt;&gt;"",AND(COUNTIFS('14-مستندات و پیوست‌ها'!$A$8:$A$1007,L34)=1,IFERROR(INDEX('14-مستندات و پیوست‌ها'!$B$8:$B$1007,MATCH(L34,'14-مستندات و پیوست‌ها'!$A$8:$A$1007,0)),"")=B34,OR(IFERROR(INDEX('14-مستندات و پیوست‌ها'!$H$8:$H$1007,MATCH(L34,'14-مستندات و پیوست‌ها'!$A$8:$A$1007,0)),"")="دریافت شده",IFERROR(INDEX('14-مستندات و پیوست‌ها'!$H$8:$H$1007,MATCH(L34,'14-مستندات و پیوست‌ها'!$A$8:$A$1007,0)),"")="فرضی"))),"معتبر","بررسی یا شاهد ناقص")))</f>
        <v>بررسی یا شاهد ناقص</v>
      </c>
    </row>
    <row r="35" spans="1:18" ht="45">
      <c r="A35" s="15" t="s">
        <v>518</v>
      </c>
      <c r="B35" s="11" t="s">
        <v>77</v>
      </c>
      <c r="C35" s="11" t="s">
        <v>80</v>
      </c>
      <c r="D35" s="11" t="s">
        <v>83</v>
      </c>
      <c r="E35" s="11" t="s">
        <v>379</v>
      </c>
      <c r="F35" s="11" t="s">
        <v>519</v>
      </c>
      <c r="G35" s="11" t="s">
        <v>499</v>
      </c>
      <c r="H35" s="11" t="s">
        <v>519</v>
      </c>
      <c r="I35" s="11" t="s">
        <v>520</v>
      </c>
      <c r="J35" s="11" t="s">
        <v>521</v>
      </c>
      <c r="K35" s="11" t="s">
        <v>522</v>
      </c>
      <c r="L35" s="11" t="s">
        <v>384</v>
      </c>
      <c r="M35" s="11" t="s">
        <v>385</v>
      </c>
      <c r="N35" s="11" t="s">
        <v>386</v>
      </c>
      <c r="O35" s="11"/>
      <c r="P35" s="11"/>
      <c r="Q35" s="11"/>
      <c r="R35" s="26" t="str">
        <f>IF(A35="","",IF(NOT(AND(COUNTIFS('03-ورودی‌های بازنگری'!$A$8:$A$1007,A35)=1,AND(COUNTIFS('17-جلسات و دوره‌ها'!$A$8:$A$1007,D35)=1,IFERROR(INDEX('17-جلسات و دوره‌ها'!$B$8:$B$1007,MATCH(D35,'17-جلسات و دوره‌ها'!$A$8:$A$1007,0)),"")=B35,IFERROR(INDEX('17-جلسات و دوره‌ها'!$C$8:$C$1007,MATCH(D35,'17-جلسات و دوره‌ها'!$A$8:$A$1007,0)),"")=C35))),"شناسه یا جلسه نامعتبر",IF(AND(M35="بررسی شد",J35&lt;&gt;"",O35&lt;&gt;"",P35&lt;&gt;"",Q35&lt;&gt;"",AND(COUNTIFS('14-مستندات و پیوست‌ها'!$A$8:$A$1007,L35)=1,IFERROR(INDEX('14-مستندات و پیوست‌ها'!$B$8:$B$1007,MATCH(L35,'14-مستندات و پیوست‌ها'!$A$8:$A$1007,0)),"")=B35,OR(IFERROR(INDEX('14-مستندات و پیوست‌ها'!$H$8:$H$1007,MATCH(L35,'14-مستندات و پیوست‌ها'!$A$8:$A$1007,0)),"")="دریافت شده",IFERROR(INDEX('14-مستندات و پیوست‌ها'!$H$8:$H$1007,MATCH(L35,'14-مستندات و پیوست‌ها'!$A$8:$A$1007,0)),"")="فرضی"))),"معتبر","بررسی یا شاهد ناقص")))</f>
        <v>بررسی یا شاهد ناقص</v>
      </c>
    </row>
    <row r="36" spans="1:18" ht="67.5">
      <c r="A36" s="15" t="s">
        <v>523</v>
      </c>
      <c r="B36" s="11" t="s">
        <v>77</v>
      </c>
      <c r="C36" s="11" t="s">
        <v>80</v>
      </c>
      <c r="D36" s="11" t="s">
        <v>83</v>
      </c>
      <c r="E36" s="11" t="s">
        <v>379</v>
      </c>
      <c r="F36" s="11" t="s">
        <v>524</v>
      </c>
      <c r="G36" s="11" t="s">
        <v>499</v>
      </c>
      <c r="H36" s="11" t="s">
        <v>524</v>
      </c>
      <c r="I36" s="11" t="s">
        <v>525</v>
      </c>
      <c r="J36" s="11" t="s">
        <v>526</v>
      </c>
      <c r="K36" s="11" t="s">
        <v>527</v>
      </c>
      <c r="L36" s="11" t="s">
        <v>384</v>
      </c>
      <c r="M36" s="11" t="s">
        <v>385</v>
      </c>
      <c r="N36" s="11" t="s">
        <v>386</v>
      </c>
      <c r="O36" s="11"/>
      <c r="P36" s="11"/>
      <c r="Q36" s="11"/>
      <c r="R36" s="26" t="str">
        <f>IF(A36="","",IF(NOT(AND(COUNTIFS('03-ورودی‌های بازنگری'!$A$8:$A$1007,A36)=1,AND(COUNTIFS('17-جلسات و دوره‌ها'!$A$8:$A$1007,D36)=1,IFERROR(INDEX('17-جلسات و دوره‌ها'!$B$8:$B$1007,MATCH(D36,'17-جلسات و دوره‌ها'!$A$8:$A$1007,0)),"")=B36,IFERROR(INDEX('17-جلسات و دوره‌ها'!$C$8:$C$1007,MATCH(D36,'17-جلسات و دوره‌ها'!$A$8:$A$1007,0)),"")=C36))),"شناسه یا جلسه نامعتبر",IF(AND(M36="بررسی شد",J36&lt;&gt;"",O36&lt;&gt;"",P36&lt;&gt;"",Q36&lt;&gt;"",AND(COUNTIFS('14-مستندات و پیوست‌ها'!$A$8:$A$1007,L36)=1,IFERROR(INDEX('14-مستندات و پیوست‌ها'!$B$8:$B$1007,MATCH(L36,'14-مستندات و پیوست‌ها'!$A$8:$A$1007,0)),"")=B36,OR(IFERROR(INDEX('14-مستندات و پیوست‌ها'!$H$8:$H$1007,MATCH(L36,'14-مستندات و پیوست‌ها'!$A$8:$A$1007,0)),"")="دریافت شده",IFERROR(INDEX('14-مستندات و پیوست‌ها'!$H$8:$H$1007,MATCH(L36,'14-مستندات و پیوست‌ها'!$A$8:$A$1007,0)),"")="فرضی"))),"معتبر","بررسی یا شاهد ناقص")))</f>
        <v>بررسی یا شاهد ناقص</v>
      </c>
    </row>
    <row r="37" spans="1:18" ht="45">
      <c r="A37" s="15" t="s">
        <v>528</v>
      </c>
      <c r="B37" s="11" t="s">
        <v>99</v>
      </c>
      <c r="C37" s="11" t="s">
        <v>529</v>
      </c>
      <c r="D37" s="11" t="s">
        <v>530</v>
      </c>
      <c r="E37" s="11" t="s">
        <v>531</v>
      </c>
      <c r="F37" s="11" t="s">
        <v>532</v>
      </c>
      <c r="G37" s="11" t="s">
        <v>236</v>
      </c>
      <c r="H37" s="11" t="s">
        <v>533</v>
      </c>
      <c r="I37" s="11" t="s">
        <v>534</v>
      </c>
      <c r="J37" s="11" t="s">
        <v>535</v>
      </c>
      <c r="K37" s="11" t="s">
        <v>536</v>
      </c>
      <c r="L37" s="11" t="s">
        <v>534</v>
      </c>
      <c r="M37" s="11" t="s">
        <v>537</v>
      </c>
      <c r="N37" s="11" t="s">
        <v>538</v>
      </c>
      <c r="O37" s="11" t="s">
        <v>539</v>
      </c>
      <c r="P37" s="11" t="s">
        <v>540</v>
      </c>
      <c r="Q37" s="11" t="s">
        <v>541</v>
      </c>
      <c r="R37" s="26" t="str">
        <f>IF(A37="","",IF(NOT(AND(COUNTIFS('03-ورودی‌های بازنگری'!$A$8:$A$1007,A37)=1,AND(COUNTIFS('17-جلسات و دوره‌ها'!$A$8:$A$1007,D37)=1,IFERROR(INDEX('17-جلسات و دوره‌ها'!$B$8:$B$1007,MATCH(D37,'17-جلسات و دوره‌ها'!$A$8:$A$1007,0)),"")=B37,IFERROR(INDEX('17-جلسات و دوره‌ها'!$C$8:$C$1007,MATCH(D37,'17-جلسات و دوره‌ها'!$A$8:$A$1007,0)),"")=C37))),"شناسه یا جلسه نامعتبر",IF(AND(M37="بررسی شد",J37&lt;&gt;"",O37&lt;&gt;"",P37&lt;&gt;"",Q37&lt;&gt;"",AND(COUNTIFS('14-مستندات و پیوست‌ها'!$A$8:$A$1007,L37)=1,IFERROR(INDEX('14-مستندات و پیوست‌ها'!$B$8:$B$1007,MATCH(L37,'14-مستندات و پیوست‌ها'!$A$8:$A$1007,0)),"")=B37,OR(IFERROR(INDEX('14-مستندات و پیوست‌ها'!$H$8:$H$1007,MATCH(L37,'14-مستندات و پیوست‌ها'!$A$8:$A$1007,0)),"")="دریافت شده",IFERROR(INDEX('14-مستندات و پیوست‌ها'!$H$8:$H$1007,MATCH(L37,'14-مستندات و پیوست‌ها'!$A$8:$A$1007,0)),"")="فرضی"))),"معتبر","بررسی یا شاهد ناقص")))</f>
        <v>معتبر</v>
      </c>
    </row>
    <row r="38" spans="1:18" ht="45">
      <c r="A38" s="15" t="s">
        <v>542</v>
      </c>
      <c r="B38" s="11" t="s">
        <v>99</v>
      </c>
      <c r="C38" s="11" t="s">
        <v>529</v>
      </c>
      <c r="D38" s="11" t="s">
        <v>530</v>
      </c>
      <c r="E38" s="11" t="s">
        <v>531</v>
      </c>
      <c r="F38" s="11" t="s">
        <v>543</v>
      </c>
      <c r="G38" s="11" t="s">
        <v>171</v>
      </c>
      <c r="H38" s="11" t="s">
        <v>544</v>
      </c>
      <c r="I38" s="11" t="s">
        <v>534</v>
      </c>
      <c r="J38" s="11" t="s">
        <v>535</v>
      </c>
      <c r="K38" s="11" t="s">
        <v>536</v>
      </c>
      <c r="L38" s="11" t="s">
        <v>534</v>
      </c>
      <c r="M38" s="11" t="s">
        <v>537</v>
      </c>
      <c r="N38" s="11" t="s">
        <v>538</v>
      </c>
      <c r="O38" s="11" t="s">
        <v>539</v>
      </c>
      <c r="P38" s="11" t="s">
        <v>540</v>
      </c>
      <c r="Q38" s="11" t="s">
        <v>541</v>
      </c>
      <c r="R38" s="26" t="str">
        <f>IF(A38="","",IF(NOT(AND(COUNTIFS('03-ورودی‌های بازنگری'!$A$8:$A$1007,A38)=1,AND(COUNTIFS('17-جلسات و دوره‌ها'!$A$8:$A$1007,D38)=1,IFERROR(INDEX('17-جلسات و دوره‌ها'!$B$8:$B$1007,MATCH(D38,'17-جلسات و دوره‌ها'!$A$8:$A$1007,0)),"")=B38,IFERROR(INDEX('17-جلسات و دوره‌ها'!$C$8:$C$1007,MATCH(D38,'17-جلسات و دوره‌ها'!$A$8:$A$1007,0)),"")=C38))),"شناسه یا جلسه نامعتبر",IF(AND(M38="بررسی شد",J38&lt;&gt;"",O38&lt;&gt;"",P38&lt;&gt;"",Q38&lt;&gt;"",AND(COUNTIFS('14-مستندات و پیوست‌ها'!$A$8:$A$1007,L38)=1,IFERROR(INDEX('14-مستندات و پیوست‌ها'!$B$8:$B$1007,MATCH(L38,'14-مستندات و پیوست‌ها'!$A$8:$A$1007,0)),"")=B38,OR(IFERROR(INDEX('14-مستندات و پیوست‌ها'!$H$8:$H$1007,MATCH(L38,'14-مستندات و پیوست‌ها'!$A$8:$A$1007,0)),"")="دریافت شده",IFERROR(INDEX('14-مستندات و پیوست‌ها'!$H$8:$H$1007,MATCH(L38,'14-مستندات و پیوست‌ها'!$A$8:$A$1007,0)),"")="فرضی"))),"معتبر","بررسی یا شاهد ناقص")))</f>
        <v>معتبر</v>
      </c>
    </row>
    <row r="39" spans="1:18" ht="45">
      <c r="A39" s="15" t="s">
        <v>545</v>
      </c>
      <c r="B39" s="11" t="s">
        <v>99</v>
      </c>
      <c r="C39" s="11" t="s">
        <v>529</v>
      </c>
      <c r="D39" s="11" t="s">
        <v>530</v>
      </c>
      <c r="E39" s="11" t="s">
        <v>531</v>
      </c>
      <c r="F39" s="11" t="s">
        <v>546</v>
      </c>
      <c r="G39" s="11" t="s">
        <v>285</v>
      </c>
      <c r="H39" s="11" t="s">
        <v>547</v>
      </c>
      <c r="I39" s="11" t="s">
        <v>534</v>
      </c>
      <c r="J39" s="11" t="s">
        <v>535</v>
      </c>
      <c r="K39" s="11" t="s">
        <v>536</v>
      </c>
      <c r="L39" s="11" t="s">
        <v>534</v>
      </c>
      <c r="M39" s="11" t="s">
        <v>537</v>
      </c>
      <c r="N39" s="11" t="s">
        <v>538</v>
      </c>
      <c r="O39" s="11" t="s">
        <v>539</v>
      </c>
      <c r="P39" s="11" t="s">
        <v>540</v>
      </c>
      <c r="Q39" s="11" t="s">
        <v>541</v>
      </c>
      <c r="R39" s="26" t="str">
        <f>IF(A39="","",IF(NOT(AND(COUNTIFS('03-ورودی‌های بازنگری'!$A$8:$A$1007,A39)=1,AND(COUNTIFS('17-جلسات و دوره‌ها'!$A$8:$A$1007,D39)=1,IFERROR(INDEX('17-جلسات و دوره‌ها'!$B$8:$B$1007,MATCH(D39,'17-جلسات و دوره‌ها'!$A$8:$A$1007,0)),"")=B39,IFERROR(INDEX('17-جلسات و دوره‌ها'!$C$8:$C$1007,MATCH(D39,'17-جلسات و دوره‌ها'!$A$8:$A$1007,0)),"")=C39))),"شناسه یا جلسه نامعتبر",IF(AND(M39="بررسی شد",J39&lt;&gt;"",O39&lt;&gt;"",P39&lt;&gt;"",Q39&lt;&gt;"",AND(COUNTIFS('14-مستندات و پیوست‌ها'!$A$8:$A$1007,L39)=1,IFERROR(INDEX('14-مستندات و پیوست‌ها'!$B$8:$B$1007,MATCH(L39,'14-مستندات و پیوست‌ها'!$A$8:$A$1007,0)),"")=B39,OR(IFERROR(INDEX('14-مستندات و پیوست‌ها'!$H$8:$H$1007,MATCH(L39,'14-مستندات و پیوست‌ها'!$A$8:$A$1007,0)),"")="دریافت شده",IFERROR(INDEX('14-مستندات و پیوست‌ها'!$H$8:$H$1007,MATCH(L39,'14-مستندات و پیوست‌ها'!$A$8:$A$1007,0)),"")="فرضی"))),"معتبر","بررسی یا شاهد ناقص")))</f>
        <v>معتبر</v>
      </c>
    </row>
    <row r="40" spans="1:18" ht="45">
      <c r="A40" s="15" t="s">
        <v>548</v>
      </c>
      <c r="B40" s="11" t="s">
        <v>99</v>
      </c>
      <c r="C40" s="11" t="s">
        <v>529</v>
      </c>
      <c r="D40" s="11" t="s">
        <v>530</v>
      </c>
      <c r="E40" s="11" t="s">
        <v>531</v>
      </c>
      <c r="F40" s="11" t="s">
        <v>549</v>
      </c>
      <c r="G40" s="11" t="s">
        <v>330</v>
      </c>
      <c r="H40" s="11" t="s">
        <v>550</v>
      </c>
      <c r="I40" s="11" t="s">
        <v>534</v>
      </c>
      <c r="J40" s="11" t="s">
        <v>535</v>
      </c>
      <c r="K40" s="11" t="s">
        <v>536</v>
      </c>
      <c r="L40" s="11" t="s">
        <v>534</v>
      </c>
      <c r="M40" s="11" t="s">
        <v>537</v>
      </c>
      <c r="N40" s="11" t="s">
        <v>538</v>
      </c>
      <c r="O40" s="11" t="s">
        <v>539</v>
      </c>
      <c r="P40" s="11" t="s">
        <v>540</v>
      </c>
      <c r="Q40" s="11" t="s">
        <v>541</v>
      </c>
      <c r="R40" s="26" t="str">
        <f>IF(A40="","",IF(NOT(AND(COUNTIFS('03-ورودی‌های بازنگری'!$A$8:$A$1007,A40)=1,AND(COUNTIFS('17-جلسات و دوره‌ها'!$A$8:$A$1007,D40)=1,IFERROR(INDEX('17-جلسات و دوره‌ها'!$B$8:$B$1007,MATCH(D40,'17-جلسات و دوره‌ها'!$A$8:$A$1007,0)),"")=B40,IFERROR(INDEX('17-جلسات و دوره‌ها'!$C$8:$C$1007,MATCH(D40,'17-جلسات و دوره‌ها'!$A$8:$A$1007,0)),"")=C40))),"شناسه یا جلسه نامعتبر",IF(AND(M40="بررسی شد",J40&lt;&gt;"",O40&lt;&gt;"",P40&lt;&gt;"",Q40&lt;&gt;"",AND(COUNTIFS('14-مستندات و پیوست‌ها'!$A$8:$A$1007,L40)=1,IFERROR(INDEX('14-مستندات و پیوست‌ها'!$B$8:$B$1007,MATCH(L40,'14-مستندات و پیوست‌ها'!$A$8:$A$1007,0)),"")=B40,OR(IFERROR(INDEX('14-مستندات و پیوست‌ها'!$H$8:$H$1007,MATCH(L40,'14-مستندات و پیوست‌ها'!$A$8:$A$1007,0)),"")="دریافت شده",IFERROR(INDEX('14-مستندات و پیوست‌ها'!$H$8:$H$1007,MATCH(L40,'14-مستندات و پیوست‌ها'!$A$8:$A$1007,0)),"")="فرضی"))),"معتبر","بررسی یا شاهد ناقص")))</f>
        <v>معتبر</v>
      </c>
    </row>
    <row r="41" spans="1:18" ht="45">
      <c r="A41" s="15" t="s">
        <v>551</v>
      </c>
      <c r="B41" s="11" t="s">
        <v>99</v>
      </c>
      <c r="C41" s="11" t="s">
        <v>529</v>
      </c>
      <c r="D41" s="11" t="s">
        <v>530</v>
      </c>
      <c r="E41" s="11" t="s">
        <v>531</v>
      </c>
      <c r="F41" s="11" t="s">
        <v>552</v>
      </c>
      <c r="G41" s="11" t="s">
        <v>171</v>
      </c>
      <c r="H41" s="11" t="s">
        <v>553</v>
      </c>
      <c r="I41" s="11" t="s">
        <v>534</v>
      </c>
      <c r="J41" s="11" t="s">
        <v>535</v>
      </c>
      <c r="K41" s="11" t="s">
        <v>536</v>
      </c>
      <c r="L41" s="11" t="s">
        <v>534</v>
      </c>
      <c r="M41" s="11" t="s">
        <v>537</v>
      </c>
      <c r="N41" s="11" t="s">
        <v>538</v>
      </c>
      <c r="O41" s="11" t="s">
        <v>539</v>
      </c>
      <c r="P41" s="11" t="s">
        <v>540</v>
      </c>
      <c r="Q41" s="11" t="s">
        <v>541</v>
      </c>
      <c r="R41" s="26" t="str">
        <f>IF(A41="","",IF(NOT(AND(COUNTIFS('03-ورودی‌های بازنگری'!$A$8:$A$1007,A41)=1,AND(COUNTIFS('17-جلسات و دوره‌ها'!$A$8:$A$1007,D41)=1,IFERROR(INDEX('17-جلسات و دوره‌ها'!$B$8:$B$1007,MATCH(D41,'17-جلسات و دوره‌ها'!$A$8:$A$1007,0)),"")=B41,IFERROR(INDEX('17-جلسات و دوره‌ها'!$C$8:$C$1007,MATCH(D41,'17-جلسات و دوره‌ها'!$A$8:$A$1007,0)),"")=C41))),"شناسه یا جلسه نامعتبر",IF(AND(M41="بررسی شد",J41&lt;&gt;"",O41&lt;&gt;"",P41&lt;&gt;"",Q41&lt;&gt;"",AND(COUNTIFS('14-مستندات و پیوست‌ها'!$A$8:$A$1007,L41)=1,IFERROR(INDEX('14-مستندات و پیوست‌ها'!$B$8:$B$1007,MATCH(L41,'14-مستندات و پیوست‌ها'!$A$8:$A$1007,0)),"")=B41,OR(IFERROR(INDEX('14-مستندات و پیوست‌ها'!$H$8:$H$1007,MATCH(L41,'14-مستندات و پیوست‌ها'!$A$8:$A$1007,0)),"")="دریافت شده",IFERROR(INDEX('14-مستندات و پیوست‌ها'!$H$8:$H$1007,MATCH(L41,'14-مستندات و پیوست‌ها'!$A$8:$A$1007,0)),"")="فرضی"))),"معتبر","بررسی یا شاهد ناقص")))</f>
        <v>معتبر</v>
      </c>
    </row>
    <row r="42" spans="1:18" ht="45">
      <c r="A42" s="15" t="s">
        <v>554</v>
      </c>
      <c r="B42" s="11" t="s">
        <v>99</v>
      </c>
      <c r="C42" s="11" t="s">
        <v>529</v>
      </c>
      <c r="D42" s="11" t="s">
        <v>530</v>
      </c>
      <c r="E42" s="11" t="s">
        <v>531</v>
      </c>
      <c r="F42" s="11" t="s">
        <v>555</v>
      </c>
      <c r="G42" s="11" t="s">
        <v>171</v>
      </c>
      <c r="H42" s="11" t="s">
        <v>556</v>
      </c>
      <c r="I42" s="11" t="s">
        <v>534</v>
      </c>
      <c r="J42" s="11" t="s">
        <v>535</v>
      </c>
      <c r="K42" s="11" t="s">
        <v>536</v>
      </c>
      <c r="L42" s="11" t="s">
        <v>534</v>
      </c>
      <c r="M42" s="11" t="s">
        <v>537</v>
      </c>
      <c r="N42" s="11" t="s">
        <v>538</v>
      </c>
      <c r="O42" s="11" t="s">
        <v>539</v>
      </c>
      <c r="P42" s="11" t="s">
        <v>540</v>
      </c>
      <c r="Q42" s="11" t="s">
        <v>541</v>
      </c>
      <c r="R42" s="26" t="str">
        <f>IF(A42="","",IF(NOT(AND(COUNTIFS('03-ورودی‌های بازنگری'!$A$8:$A$1007,A42)=1,AND(COUNTIFS('17-جلسات و دوره‌ها'!$A$8:$A$1007,D42)=1,IFERROR(INDEX('17-جلسات و دوره‌ها'!$B$8:$B$1007,MATCH(D42,'17-جلسات و دوره‌ها'!$A$8:$A$1007,0)),"")=B42,IFERROR(INDEX('17-جلسات و دوره‌ها'!$C$8:$C$1007,MATCH(D42,'17-جلسات و دوره‌ها'!$A$8:$A$1007,0)),"")=C42))),"شناسه یا جلسه نامعتبر",IF(AND(M42="بررسی شد",J42&lt;&gt;"",O42&lt;&gt;"",P42&lt;&gt;"",Q42&lt;&gt;"",AND(COUNTIFS('14-مستندات و پیوست‌ها'!$A$8:$A$1007,L42)=1,IFERROR(INDEX('14-مستندات و پیوست‌ها'!$B$8:$B$1007,MATCH(L42,'14-مستندات و پیوست‌ها'!$A$8:$A$1007,0)),"")=B42,OR(IFERROR(INDEX('14-مستندات و پیوست‌ها'!$H$8:$H$1007,MATCH(L42,'14-مستندات و پیوست‌ها'!$A$8:$A$1007,0)),"")="دریافت شده",IFERROR(INDEX('14-مستندات و پیوست‌ها'!$H$8:$H$1007,MATCH(L42,'14-مستندات و پیوست‌ها'!$A$8:$A$1007,0)),"")="فرضی"))),"معتبر","بررسی یا شاهد ناقص")))</f>
        <v>معتبر</v>
      </c>
    </row>
    <row r="43" spans="1:18" ht="45">
      <c r="A43" s="15" t="s">
        <v>557</v>
      </c>
      <c r="B43" s="11" t="s">
        <v>99</v>
      </c>
      <c r="C43" s="11" t="s">
        <v>529</v>
      </c>
      <c r="D43" s="11" t="s">
        <v>530</v>
      </c>
      <c r="E43" s="11" t="s">
        <v>531</v>
      </c>
      <c r="F43" s="11" t="s">
        <v>558</v>
      </c>
      <c r="G43" s="11" t="s">
        <v>171</v>
      </c>
      <c r="H43" s="11" t="s">
        <v>559</v>
      </c>
      <c r="I43" s="11" t="s">
        <v>534</v>
      </c>
      <c r="J43" s="11" t="s">
        <v>535</v>
      </c>
      <c r="K43" s="11" t="s">
        <v>536</v>
      </c>
      <c r="L43" s="11" t="s">
        <v>534</v>
      </c>
      <c r="M43" s="11" t="s">
        <v>537</v>
      </c>
      <c r="N43" s="11" t="s">
        <v>538</v>
      </c>
      <c r="O43" s="11" t="s">
        <v>539</v>
      </c>
      <c r="P43" s="11" t="s">
        <v>540</v>
      </c>
      <c r="Q43" s="11" t="s">
        <v>541</v>
      </c>
      <c r="R43" s="26" t="str">
        <f>IF(A43="","",IF(NOT(AND(COUNTIFS('03-ورودی‌های بازنگری'!$A$8:$A$1007,A43)=1,AND(COUNTIFS('17-جلسات و دوره‌ها'!$A$8:$A$1007,D43)=1,IFERROR(INDEX('17-جلسات و دوره‌ها'!$B$8:$B$1007,MATCH(D43,'17-جلسات و دوره‌ها'!$A$8:$A$1007,0)),"")=B43,IFERROR(INDEX('17-جلسات و دوره‌ها'!$C$8:$C$1007,MATCH(D43,'17-جلسات و دوره‌ها'!$A$8:$A$1007,0)),"")=C43))),"شناسه یا جلسه نامعتبر",IF(AND(M43="بررسی شد",J43&lt;&gt;"",O43&lt;&gt;"",P43&lt;&gt;"",Q43&lt;&gt;"",AND(COUNTIFS('14-مستندات و پیوست‌ها'!$A$8:$A$1007,L43)=1,IFERROR(INDEX('14-مستندات و پیوست‌ها'!$B$8:$B$1007,MATCH(L43,'14-مستندات و پیوست‌ها'!$A$8:$A$1007,0)),"")=B43,OR(IFERROR(INDEX('14-مستندات و پیوست‌ها'!$H$8:$H$1007,MATCH(L43,'14-مستندات و پیوست‌ها'!$A$8:$A$1007,0)),"")="دریافت شده",IFERROR(INDEX('14-مستندات و پیوست‌ها'!$H$8:$H$1007,MATCH(L43,'14-مستندات و پیوست‌ها'!$A$8:$A$1007,0)),"")="فرضی"))),"معتبر","بررسی یا شاهد ناقص")))</f>
        <v>معتبر</v>
      </c>
    </row>
    <row r="44" spans="1:18">
      <c r="A44" s="15"/>
      <c r="B44" s="11"/>
      <c r="C44" s="11"/>
      <c r="D44" s="11"/>
      <c r="E44" s="11"/>
      <c r="F44" s="11"/>
      <c r="G44" s="11"/>
      <c r="H44" s="11"/>
      <c r="I44" s="11"/>
      <c r="J44" s="11"/>
      <c r="K44" s="11"/>
      <c r="L44" s="11"/>
      <c r="M44" s="11"/>
      <c r="N44" s="11"/>
      <c r="O44" s="11"/>
      <c r="P44" s="11"/>
      <c r="Q44" s="11"/>
      <c r="R44" s="26" t="str">
        <f>IF(A44="","",IF(NOT(AND(COUNTIFS('03-ورودی‌های بازنگری'!$A$8:$A$1007,A44)=1,AND(COUNTIFS('17-جلسات و دوره‌ها'!$A$8:$A$1007,D44)=1,IFERROR(INDEX('17-جلسات و دوره‌ها'!$B$8:$B$1007,MATCH(D44,'17-جلسات و دوره‌ها'!$A$8:$A$1007,0)),"")=B44,IFERROR(INDEX('17-جلسات و دوره‌ها'!$C$8:$C$1007,MATCH(D44,'17-جلسات و دوره‌ها'!$A$8:$A$1007,0)),"")=C44))),"شناسه یا جلسه نامعتبر",IF(AND(M44="بررسی شد",J44&lt;&gt;"",O44&lt;&gt;"",P44&lt;&gt;"",Q44&lt;&gt;"",AND(COUNTIFS('14-مستندات و پیوست‌ها'!$A$8:$A$1007,L44)=1,IFERROR(INDEX('14-مستندات و پیوست‌ها'!$B$8:$B$1007,MATCH(L44,'14-مستندات و پیوست‌ها'!$A$8:$A$1007,0)),"")=B44,OR(IFERROR(INDEX('14-مستندات و پیوست‌ها'!$H$8:$H$1007,MATCH(L44,'14-مستندات و پیوست‌ها'!$A$8:$A$1007,0)),"")="دریافت شده",IFERROR(INDEX('14-مستندات و پیوست‌ها'!$H$8:$H$1007,MATCH(L44,'14-مستندات و پیوست‌ها'!$A$8:$A$1007,0)),"")="فرضی"))),"معتبر","بررسی یا شاهد ناقص")))</f>
        <v/>
      </c>
    </row>
    <row r="45" spans="1:18">
      <c r="A45" s="15"/>
      <c r="B45" s="11"/>
      <c r="C45" s="11"/>
      <c r="D45" s="11"/>
      <c r="E45" s="11"/>
      <c r="F45" s="11"/>
      <c r="G45" s="11"/>
      <c r="H45" s="11"/>
      <c r="I45" s="11"/>
      <c r="J45" s="11"/>
      <c r="K45" s="11"/>
      <c r="L45" s="11"/>
      <c r="M45" s="11"/>
      <c r="N45" s="11"/>
      <c r="O45" s="11"/>
      <c r="P45" s="11"/>
      <c r="Q45" s="11"/>
      <c r="R45" s="26" t="str">
        <f>IF(A45="","",IF(NOT(AND(COUNTIFS('03-ورودی‌های بازنگری'!$A$8:$A$1007,A45)=1,AND(COUNTIFS('17-جلسات و دوره‌ها'!$A$8:$A$1007,D45)=1,IFERROR(INDEX('17-جلسات و دوره‌ها'!$B$8:$B$1007,MATCH(D45,'17-جلسات و دوره‌ها'!$A$8:$A$1007,0)),"")=B45,IFERROR(INDEX('17-جلسات و دوره‌ها'!$C$8:$C$1007,MATCH(D45,'17-جلسات و دوره‌ها'!$A$8:$A$1007,0)),"")=C45))),"شناسه یا جلسه نامعتبر",IF(AND(M45="بررسی شد",J45&lt;&gt;"",O45&lt;&gt;"",P45&lt;&gt;"",Q45&lt;&gt;"",AND(COUNTIFS('14-مستندات و پیوست‌ها'!$A$8:$A$1007,L45)=1,IFERROR(INDEX('14-مستندات و پیوست‌ها'!$B$8:$B$1007,MATCH(L45,'14-مستندات و پیوست‌ها'!$A$8:$A$1007,0)),"")=B45,OR(IFERROR(INDEX('14-مستندات و پیوست‌ها'!$H$8:$H$1007,MATCH(L45,'14-مستندات و پیوست‌ها'!$A$8:$A$1007,0)),"")="دریافت شده",IFERROR(INDEX('14-مستندات و پیوست‌ها'!$H$8:$H$1007,MATCH(L45,'14-مستندات و پیوست‌ها'!$A$8:$A$1007,0)),"")="فرضی"))),"معتبر","بررسی یا شاهد ناقص")))</f>
        <v/>
      </c>
    </row>
    <row r="46" spans="1:18">
      <c r="A46" s="15"/>
      <c r="B46" s="11"/>
      <c r="C46" s="11"/>
      <c r="D46" s="11"/>
      <c r="E46" s="11"/>
      <c r="F46" s="11"/>
      <c r="G46" s="11"/>
      <c r="H46" s="11"/>
      <c r="I46" s="11"/>
      <c r="J46" s="11"/>
      <c r="K46" s="11"/>
      <c r="L46" s="11"/>
      <c r="M46" s="11"/>
      <c r="N46" s="11"/>
      <c r="O46" s="11"/>
      <c r="P46" s="11"/>
      <c r="Q46" s="11"/>
      <c r="R46" s="26" t="str">
        <f>IF(A46="","",IF(NOT(AND(COUNTIFS('03-ورودی‌های بازنگری'!$A$8:$A$1007,A46)=1,AND(COUNTIFS('17-جلسات و دوره‌ها'!$A$8:$A$1007,D46)=1,IFERROR(INDEX('17-جلسات و دوره‌ها'!$B$8:$B$1007,MATCH(D46,'17-جلسات و دوره‌ها'!$A$8:$A$1007,0)),"")=B46,IFERROR(INDEX('17-جلسات و دوره‌ها'!$C$8:$C$1007,MATCH(D46,'17-جلسات و دوره‌ها'!$A$8:$A$1007,0)),"")=C46))),"شناسه یا جلسه نامعتبر",IF(AND(M46="بررسی شد",J46&lt;&gt;"",O46&lt;&gt;"",P46&lt;&gt;"",Q46&lt;&gt;"",AND(COUNTIFS('14-مستندات و پیوست‌ها'!$A$8:$A$1007,L46)=1,IFERROR(INDEX('14-مستندات و پیوست‌ها'!$B$8:$B$1007,MATCH(L46,'14-مستندات و پیوست‌ها'!$A$8:$A$1007,0)),"")=B46,OR(IFERROR(INDEX('14-مستندات و پیوست‌ها'!$H$8:$H$1007,MATCH(L46,'14-مستندات و پیوست‌ها'!$A$8:$A$1007,0)),"")="دریافت شده",IFERROR(INDEX('14-مستندات و پیوست‌ها'!$H$8:$H$1007,MATCH(L46,'14-مستندات و پیوست‌ها'!$A$8:$A$1007,0)),"")="فرضی"))),"معتبر","بررسی یا شاهد ناقص")))</f>
        <v/>
      </c>
    </row>
    <row r="47" spans="1:18">
      <c r="A47" s="15"/>
      <c r="B47" s="11"/>
      <c r="C47" s="11"/>
      <c r="D47" s="11"/>
      <c r="E47" s="11"/>
      <c r="F47" s="11"/>
      <c r="G47" s="11"/>
      <c r="H47" s="11"/>
      <c r="I47" s="11"/>
      <c r="J47" s="11"/>
      <c r="K47" s="11"/>
      <c r="L47" s="11"/>
      <c r="M47" s="11"/>
      <c r="N47" s="11"/>
      <c r="O47" s="11"/>
      <c r="P47" s="11"/>
      <c r="Q47" s="11"/>
      <c r="R47" s="26" t="str">
        <f>IF(A47="","",IF(NOT(AND(COUNTIFS('03-ورودی‌های بازنگری'!$A$8:$A$1007,A47)=1,AND(COUNTIFS('17-جلسات و دوره‌ها'!$A$8:$A$1007,D47)=1,IFERROR(INDEX('17-جلسات و دوره‌ها'!$B$8:$B$1007,MATCH(D47,'17-جلسات و دوره‌ها'!$A$8:$A$1007,0)),"")=B47,IFERROR(INDEX('17-جلسات و دوره‌ها'!$C$8:$C$1007,MATCH(D47,'17-جلسات و دوره‌ها'!$A$8:$A$1007,0)),"")=C47))),"شناسه یا جلسه نامعتبر",IF(AND(M47="بررسی شد",J47&lt;&gt;"",O47&lt;&gt;"",P47&lt;&gt;"",Q47&lt;&gt;"",AND(COUNTIFS('14-مستندات و پیوست‌ها'!$A$8:$A$1007,L47)=1,IFERROR(INDEX('14-مستندات و پیوست‌ها'!$B$8:$B$1007,MATCH(L47,'14-مستندات و پیوست‌ها'!$A$8:$A$1007,0)),"")=B47,OR(IFERROR(INDEX('14-مستندات و پیوست‌ها'!$H$8:$H$1007,MATCH(L47,'14-مستندات و پیوست‌ها'!$A$8:$A$1007,0)),"")="دریافت شده",IFERROR(INDEX('14-مستندات و پیوست‌ها'!$H$8:$H$1007,MATCH(L47,'14-مستندات و پیوست‌ها'!$A$8:$A$1007,0)),"")="فرضی"))),"معتبر","بررسی یا شاهد ناقص")))</f>
        <v/>
      </c>
    </row>
    <row r="48" spans="1:18">
      <c r="A48" s="15"/>
      <c r="B48" s="11"/>
      <c r="C48" s="11"/>
      <c r="D48" s="11"/>
      <c r="E48" s="11"/>
      <c r="F48" s="11"/>
      <c r="G48" s="11"/>
      <c r="H48" s="11"/>
      <c r="I48" s="11"/>
      <c r="J48" s="11"/>
      <c r="K48" s="11"/>
      <c r="L48" s="11"/>
      <c r="M48" s="11"/>
      <c r="N48" s="11"/>
      <c r="O48" s="11"/>
      <c r="P48" s="11"/>
      <c r="Q48" s="11"/>
      <c r="R48" s="26" t="str">
        <f>IF(A48="","",IF(NOT(AND(COUNTIFS('03-ورودی‌های بازنگری'!$A$8:$A$1007,A48)=1,AND(COUNTIFS('17-جلسات و دوره‌ها'!$A$8:$A$1007,D48)=1,IFERROR(INDEX('17-جلسات و دوره‌ها'!$B$8:$B$1007,MATCH(D48,'17-جلسات و دوره‌ها'!$A$8:$A$1007,0)),"")=B48,IFERROR(INDEX('17-جلسات و دوره‌ها'!$C$8:$C$1007,MATCH(D48,'17-جلسات و دوره‌ها'!$A$8:$A$1007,0)),"")=C48))),"شناسه یا جلسه نامعتبر",IF(AND(M48="بررسی شد",J48&lt;&gt;"",O48&lt;&gt;"",P48&lt;&gt;"",Q48&lt;&gt;"",AND(COUNTIFS('14-مستندات و پیوست‌ها'!$A$8:$A$1007,L48)=1,IFERROR(INDEX('14-مستندات و پیوست‌ها'!$B$8:$B$1007,MATCH(L48,'14-مستندات و پیوست‌ها'!$A$8:$A$1007,0)),"")=B48,OR(IFERROR(INDEX('14-مستندات و پیوست‌ها'!$H$8:$H$1007,MATCH(L48,'14-مستندات و پیوست‌ها'!$A$8:$A$1007,0)),"")="دریافت شده",IFERROR(INDEX('14-مستندات و پیوست‌ها'!$H$8:$H$1007,MATCH(L48,'14-مستندات و پیوست‌ها'!$A$8:$A$1007,0)),"")="فرضی"))),"معتبر","بررسی یا شاهد ناقص")))</f>
        <v/>
      </c>
    </row>
    <row r="49" spans="1:18">
      <c r="A49" s="15"/>
      <c r="B49" s="11"/>
      <c r="C49" s="11"/>
      <c r="D49" s="11"/>
      <c r="E49" s="11"/>
      <c r="F49" s="11"/>
      <c r="G49" s="11"/>
      <c r="H49" s="11"/>
      <c r="I49" s="11"/>
      <c r="J49" s="11"/>
      <c r="K49" s="11"/>
      <c r="L49" s="11"/>
      <c r="M49" s="11"/>
      <c r="N49" s="11"/>
      <c r="O49" s="11"/>
      <c r="P49" s="11"/>
      <c r="Q49" s="11"/>
      <c r="R49" s="26" t="str">
        <f>IF(A49="","",IF(NOT(AND(COUNTIFS('03-ورودی‌های بازنگری'!$A$8:$A$1007,A49)=1,AND(COUNTIFS('17-جلسات و دوره‌ها'!$A$8:$A$1007,D49)=1,IFERROR(INDEX('17-جلسات و دوره‌ها'!$B$8:$B$1007,MATCH(D49,'17-جلسات و دوره‌ها'!$A$8:$A$1007,0)),"")=B49,IFERROR(INDEX('17-جلسات و دوره‌ها'!$C$8:$C$1007,MATCH(D49,'17-جلسات و دوره‌ها'!$A$8:$A$1007,0)),"")=C49))),"شناسه یا جلسه نامعتبر",IF(AND(M49="بررسی شد",J49&lt;&gt;"",O49&lt;&gt;"",P49&lt;&gt;"",Q49&lt;&gt;"",AND(COUNTIFS('14-مستندات و پیوست‌ها'!$A$8:$A$1007,L49)=1,IFERROR(INDEX('14-مستندات و پیوست‌ها'!$B$8:$B$1007,MATCH(L49,'14-مستندات و پیوست‌ها'!$A$8:$A$1007,0)),"")=B49,OR(IFERROR(INDEX('14-مستندات و پیوست‌ها'!$H$8:$H$1007,MATCH(L49,'14-مستندات و پیوست‌ها'!$A$8:$A$1007,0)),"")="دریافت شده",IFERROR(INDEX('14-مستندات و پیوست‌ها'!$H$8:$H$1007,MATCH(L49,'14-مستندات و پیوست‌ها'!$A$8:$A$1007,0)),"")="فرضی"))),"معتبر","بررسی یا شاهد ناقص")))</f>
        <v/>
      </c>
    </row>
    <row r="50" spans="1:18">
      <c r="A50" s="15"/>
      <c r="B50" s="11"/>
      <c r="C50" s="11"/>
      <c r="D50" s="11"/>
      <c r="E50" s="11"/>
      <c r="F50" s="11"/>
      <c r="G50" s="11"/>
      <c r="H50" s="11"/>
      <c r="I50" s="11"/>
      <c r="J50" s="11"/>
      <c r="K50" s="11"/>
      <c r="L50" s="11"/>
      <c r="M50" s="11"/>
      <c r="N50" s="11"/>
      <c r="O50" s="11"/>
      <c r="P50" s="11"/>
      <c r="Q50" s="11"/>
      <c r="R50" s="26" t="str">
        <f>IF(A50="","",IF(NOT(AND(COUNTIFS('03-ورودی‌های بازنگری'!$A$8:$A$1007,A50)=1,AND(COUNTIFS('17-جلسات و دوره‌ها'!$A$8:$A$1007,D50)=1,IFERROR(INDEX('17-جلسات و دوره‌ها'!$B$8:$B$1007,MATCH(D50,'17-جلسات و دوره‌ها'!$A$8:$A$1007,0)),"")=B50,IFERROR(INDEX('17-جلسات و دوره‌ها'!$C$8:$C$1007,MATCH(D50,'17-جلسات و دوره‌ها'!$A$8:$A$1007,0)),"")=C50))),"شناسه یا جلسه نامعتبر",IF(AND(M50="بررسی شد",J50&lt;&gt;"",O50&lt;&gt;"",P50&lt;&gt;"",Q50&lt;&gt;"",AND(COUNTIFS('14-مستندات و پیوست‌ها'!$A$8:$A$1007,L50)=1,IFERROR(INDEX('14-مستندات و پیوست‌ها'!$B$8:$B$1007,MATCH(L50,'14-مستندات و پیوست‌ها'!$A$8:$A$1007,0)),"")=B50,OR(IFERROR(INDEX('14-مستندات و پیوست‌ها'!$H$8:$H$1007,MATCH(L50,'14-مستندات و پیوست‌ها'!$A$8:$A$1007,0)),"")="دریافت شده",IFERROR(INDEX('14-مستندات و پیوست‌ها'!$H$8:$H$1007,MATCH(L50,'14-مستندات و پیوست‌ها'!$A$8:$A$1007,0)),"")="فرضی"))),"معتبر","بررسی یا شاهد ناقص")))</f>
        <v/>
      </c>
    </row>
    <row r="51" spans="1:18">
      <c r="A51" s="15"/>
      <c r="B51" s="11"/>
      <c r="C51" s="11"/>
      <c r="D51" s="11"/>
      <c r="E51" s="11"/>
      <c r="F51" s="11"/>
      <c r="G51" s="11"/>
      <c r="H51" s="11"/>
      <c r="I51" s="11"/>
      <c r="J51" s="11"/>
      <c r="K51" s="11"/>
      <c r="L51" s="11"/>
      <c r="M51" s="11"/>
      <c r="N51" s="11"/>
      <c r="O51" s="11"/>
      <c r="P51" s="11"/>
      <c r="Q51" s="11"/>
      <c r="R51" s="26" t="str">
        <f>IF(A51="","",IF(NOT(AND(COUNTIFS('03-ورودی‌های بازنگری'!$A$8:$A$1007,A51)=1,AND(COUNTIFS('17-جلسات و دوره‌ها'!$A$8:$A$1007,D51)=1,IFERROR(INDEX('17-جلسات و دوره‌ها'!$B$8:$B$1007,MATCH(D51,'17-جلسات و دوره‌ها'!$A$8:$A$1007,0)),"")=B51,IFERROR(INDEX('17-جلسات و دوره‌ها'!$C$8:$C$1007,MATCH(D51,'17-جلسات و دوره‌ها'!$A$8:$A$1007,0)),"")=C51))),"شناسه یا جلسه نامعتبر",IF(AND(M51="بررسی شد",J51&lt;&gt;"",O51&lt;&gt;"",P51&lt;&gt;"",Q51&lt;&gt;"",AND(COUNTIFS('14-مستندات و پیوست‌ها'!$A$8:$A$1007,L51)=1,IFERROR(INDEX('14-مستندات و پیوست‌ها'!$B$8:$B$1007,MATCH(L51,'14-مستندات و پیوست‌ها'!$A$8:$A$1007,0)),"")=B51,OR(IFERROR(INDEX('14-مستندات و پیوست‌ها'!$H$8:$H$1007,MATCH(L51,'14-مستندات و پیوست‌ها'!$A$8:$A$1007,0)),"")="دریافت شده",IFERROR(INDEX('14-مستندات و پیوست‌ها'!$H$8:$H$1007,MATCH(L51,'14-مستندات و پیوست‌ها'!$A$8:$A$1007,0)),"")="فرضی"))),"معتبر","بررسی یا شاهد ناقص")))</f>
        <v/>
      </c>
    </row>
  </sheetData>
  <mergeCells count="2">
    <mergeCell ref="A1:R1"/>
    <mergeCell ref="A2:R3"/>
  </mergeCells>
  <conditionalFormatting sqref="A8:A51">
    <cfRule type="duplicateValues" dxfId="64" priority="1"/>
  </conditionalFormatting>
  <conditionalFormatting sqref="R8:R51">
    <cfRule type="containsText" dxfId="63" priority="2" operator="containsText" text="ناقص"/>
  </conditionalFormatting>
  <dataValidations count="1">
    <dataValidation type="list" sqref="M8:M51" xr:uid="{00000000-0002-0000-0300-000000000000}">
      <formula1>"بررسی نشده,بررسی شد,اطلاعات ناکافی,تعویق"</formula1>
    </dataValidation>
  </dataValidation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892A5"/>
    <pageSetUpPr fitToPage="1"/>
  </sheetPr>
  <dimension ref="A1:W60"/>
  <sheetViews>
    <sheetView showGridLines="0" rightToLeft="1" tabSelected="1" zoomScale="85" workbookViewId="0">
      <pane ySplit="7" topLeftCell="A8" activePane="bottomLeft" state="frozen"/>
      <selection pane="bottomLeft" sqref="A1:W1"/>
    </sheetView>
  </sheetViews>
  <sheetFormatPr defaultRowHeight="14.25"/>
  <cols>
    <col min="1" max="1" width="18" customWidth="1"/>
    <col min="2" max="2" width="14" customWidth="1"/>
    <col min="3" max="3" width="16" customWidth="1"/>
    <col min="4" max="4" width="23" customWidth="1"/>
    <col min="5" max="5" width="27" customWidth="1"/>
    <col min="6" max="6" width="20" customWidth="1"/>
    <col min="7" max="7" width="24" customWidth="1"/>
    <col min="8" max="8" width="13" customWidth="1"/>
    <col min="9" max="9" width="52" customWidth="1"/>
    <col min="10" max="10" width="25" customWidth="1"/>
    <col min="11" max="11" width="24" customWidth="1"/>
    <col min="12" max="14" width="16" customWidth="1"/>
    <col min="15" max="15" width="23" customWidth="1"/>
    <col min="16" max="16" width="60" customWidth="1"/>
    <col min="17" max="17" width="25" customWidth="1"/>
    <col min="18" max="19" width="18" customWidth="1"/>
    <col min="20" max="20" width="28" customWidth="1"/>
    <col min="21" max="21" width="20" customWidth="1"/>
    <col min="22" max="22" width="48" customWidth="1"/>
    <col min="23" max="23" width="55" customWidth="1"/>
  </cols>
  <sheetData>
    <row r="1" spans="1:23" ht="33.950000000000003" customHeight="1">
      <c r="A1" s="7" t="s">
        <v>560</v>
      </c>
      <c r="B1" s="7"/>
      <c r="C1" s="7"/>
      <c r="D1" s="7"/>
      <c r="E1" s="7"/>
      <c r="F1" s="7"/>
      <c r="G1" s="7"/>
      <c r="H1" s="7"/>
      <c r="I1" s="7"/>
      <c r="J1" s="7"/>
      <c r="K1" s="7"/>
      <c r="L1" s="7"/>
      <c r="M1" s="7"/>
      <c r="N1" s="7"/>
      <c r="O1" s="7"/>
      <c r="P1" s="7"/>
      <c r="Q1" s="7"/>
      <c r="R1" s="7"/>
      <c r="S1" s="7"/>
      <c r="T1" s="7"/>
      <c r="U1" s="7"/>
      <c r="V1" s="7"/>
      <c r="W1" s="7"/>
    </row>
    <row r="2" spans="1:23" ht="26.1" customHeight="1">
      <c r="A2" s="8" t="s">
        <v>561</v>
      </c>
      <c r="B2" s="8"/>
      <c r="C2" s="8"/>
      <c r="D2" s="8"/>
      <c r="E2" s="8"/>
      <c r="F2" s="8"/>
      <c r="G2" s="8"/>
      <c r="H2" s="8"/>
      <c r="I2" s="8"/>
      <c r="J2" s="8"/>
      <c r="K2" s="8"/>
      <c r="L2" s="8"/>
      <c r="M2" s="8"/>
      <c r="N2" s="8"/>
      <c r="O2" s="8"/>
      <c r="P2" s="8"/>
      <c r="Q2" s="8"/>
      <c r="R2" s="8"/>
      <c r="S2" s="8"/>
      <c r="T2" s="8"/>
      <c r="U2" s="8"/>
      <c r="V2" s="8"/>
      <c r="W2" s="8"/>
    </row>
    <row r="3" spans="1:23" ht="26.1" customHeight="1">
      <c r="A3" s="8"/>
      <c r="B3" s="8"/>
      <c r="C3" s="8"/>
      <c r="D3" s="8"/>
      <c r="E3" s="8"/>
      <c r="F3" s="8"/>
      <c r="G3" s="8"/>
      <c r="H3" s="8"/>
      <c r="I3" s="8"/>
      <c r="J3" s="8"/>
      <c r="K3" s="8"/>
      <c r="L3" s="8"/>
      <c r="M3" s="8"/>
      <c r="N3" s="8"/>
      <c r="O3" s="8"/>
      <c r="P3" s="8"/>
      <c r="Q3" s="8"/>
      <c r="R3" s="8"/>
      <c r="S3" s="8"/>
      <c r="T3" s="8"/>
      <c r="U3" s="8"/>
      <c r="V3" s="8"/>
      <c r="W3" s="8"/>
    </row>
    <row r="4" spans="1:23">
      <c r="A4" s="1"/>
      <c r="B4" s="1"/>
      <c r="C4" s="1"/>
      <c r="D4" s="1"/>
      <c r="E4" s="1"/>
      <c r="F4" s="1"/>
      <c r="G4" s="1"/>
      <c r="H4" s="1"/>
      <c r="I4" s="1"/>
      <c r="J4" s="1"/>
      <c r="K4" s="1"/>
      <c r="L4" s="1"/>
      <c r="M4" s="1"/>
      <c r="N4" s="1"/>
      <c r="O4" s="1"/>
      <c r="P4" s="1"/>
      <c r="Q4" s="1"/>
      <c r="R4" s="1"/>
      <c r="S4" s="1"/>
      <c r="T4" s="1"/>
      <c r="U4" s="1"/>
      <c r="V4" s="1"/>
      <c r="W4" s="1"/>
    </row>
    <row r="5" spans="1:23">
      <c r="A5" s="1"/>
      <c r="B5" s="1"/>
      <c r="C5" s="1"/>
      <c r="D5" s="1"/>
      <c r="E5" s="1"/>
      <c r="F5" s="1"/>
      <c r="G5" s="1"/>
      <c r="H5" s="1"/>
      <c r="I5" s="1"/>
      <c r="J5" s="1"/>
      <c r="K5" s="1"/>
      <c r="L5" s="1"/>
      <c r="M5" s="1"/>
      <c r="N5" s="1"/>
      <c r="O5" s="1"/>
      <c r="P5" s="1"/>
      <c r="Q5" s="1"/>
      <c r="R5" s="1"/>
      <c r="S5" s="1"/>
      <c r="T5" s="1"/>
      <c r="U5" s="1"/>
      <c r="V5" s="1"/>
      <c r="W5" s="1"/>
    </row>
    <row r="6" spans="1:23">
      <c r="A6" s="1"/>
      <c r="B6" s="1"/>
      <c r="C6" s="1"/>
      <c r="D6" s="1"/>
      <c r="E6" s="1"/>
      <c r="F6" s="1"/>
      <c r="G6" s="1"/>
      <c r="H6" s="1"/>
      <c r="I6" s="1"/>
      <c r="J6" s="1"/>
      <c r="K6" s="1"/>
      <c r="L6" s="1"/>
      <c r="M6" s="1"/>
      <c r="N6" s="1"/>
      <c r="O6" s="1"/>
      <c r="P6" s="1"/>
      <c r="Q6" s="1"/>
      <c r="R6" s="1"/>
      <c r="S6" s="1"/>
      <c r="T6" s="1"/>
      <c r="U6" s="1"/>
      <c r="V6" s="1"/>
      <c r="W6" s="1"/>
    </row>
    <row r="7" spans="1:23" ht="48" customHeight="1">
      <c r="A7" s="2" t="s">
        <v>562</v>
      </c>
      <c r="B7" s="2" t="s">
        <v>364</v>
      </c>
      <c r="C7" s="2" t="s">
        <v>365</v>
      </c>
      <c r="D7" s="2" t="s">
        <v>366</v>
      </c>
      <c r="E7" s="2" t="s">
        <v>94</v>
      </c>
      <c r="F7" s="2" t="s">
        <v>363</v>
      </c>
      <c r="G7" s="2" t="s">
        <v>110</v>
      </c>
      <c r="H7" s="2" t="s">
        <v>112</v>
      </c>
      <c r="I7" s="2" t="s">
        <v>563</v>
      </c>
      <c r="J7" s="2" t="s">
        <v>564</v>
      </c>
      <c r="K7" s="2" t="s">
        <v>565</v>
      </c>
      <c r="L7" s="2" t="s">
        <v>566</v>
      </c>
      <c r="M7" s="2" t="s">
        <v>567</v>
      </c>
      <c r="N7" s="2" t="s">
        <v>97</v>
      </c>
      <c r="O7" s="2" t="s">
        <v>568</v>
      </c>
      <c r="P7" s="2" t="s">
        <v>569</v>
      </c>
      <c r="Q7" s="2" t="s">
        <v>570</v>
      </c>
      <c r="R7" s="2" t="s">
        <v>571</v>
      </c>
      <c r="S7" s="2" t="s">
        <v>572</v>
      </c>
      <c r="T7" s="2" t="s">
        <v>573</v>
      </c>
      <c r="U7" s="2" t="s">
        <v>574</v>
      </c>
      <c r="V7" s="2" t="s">
        <v>575</v>
      </c>
      <c r="W7" s="2" t="s">
        <v>576</v>
      </c>
    </row>
    <row r="8" spans="1:23" ht="36" customHeight="1">
      <c r="A8" s="1" t="s">
        <v>577</v>
      </c>
      <c r="B8" s="1" t="s">
        <v>77</v>
      </c>
      <c r="C8" s="1" t="s">
        <v>80</v>
      </c>
      <c r="D8" s="1" t="s">
        <v>83</v>
      </c>
      <c r="E8" s="1" t="s">
        <v>379</v>
      </c>
      <c r="F8" s="1" t="s">
        <v>513</v>
      </c>
      <c r="G8" s="1" t="s">
        <v>499</v>
      </c>
      <c r="H8" s="1" t="s">
        <v>499</v>
      </c>
      <c r="I8" s="1" t="s">
        <v>578</v>
      </c>
      <c r="J8" s="1" t="s">
        <v>579</v>
      </c>
      <c r="K8" s="1" t="s">
        <v>580</v>
      </c>
      <c r="L8" s="1">
        <v>30</v>
      </c>
      <c r="M8" s="1">
        <v>43</v>
      </c>
      <c r="N8" s="1">
        <v>35</v>
      </c>
      <c r="O8" s="1" t="s">
        <v>580</v>
      </c>
      <c r="P8" s="1" t="s">
        <v>581</v>
      </c>
      <c r="Q8" s="1" t="s">
        <v>582</v>
      </c>
      <c r="R8" s="3">
        <f t="shared" ref="R8:R39" si="0">IF(A8="","",IF(AND(ISNUMBER(N8),ISNUMBER(L8)),N8-L8,""))</f>
        <v>5</v>
      </c>
      <c r="S8" s="3">
        <f t="shared" ref="S8:S39" si="1">IF(A8="","",IF(AND(ISNUMBER(N8),ISNUMBER(M8)),N8-M8,""))</f>
        <v>-8</v>
      </c>
      <c r="T8" s="3" t="str">
        <f>IF(A8="","",IF(NOT(AND(COUNTIFS('04-تحلیل شاخص‌ها'!$A$8:$A$1007,A8)=1,AND(COUNTIFS('17-جلسات و دوره‌ها'!$A$8:$A$1007,D8)=1,IFERROR(INDEX('17-جلسات و دوره‌ها'!$B$8:$B$1007,MATCH(D8,'17-جلسات و دوره‌ها'!$A$8:$A$1007,0)),"")=B8,IFERROR(INDEX('17-جلسات و دوره‌ها'!$C$8:$C$1007,MATCH(D8,'17-جلسات و دوره‌ها'!$A$8:$A$1007,0)),"")=C8),COUNTIFS('03-ورودی‌های بازنگری'!$A$8:$A$1007,F8)=1,IFERROR(INDEX('03-ورودی‌های بازنگری'!$D$8:$D$1007,MATCH(F8,'03-ورودی‌های بازنگری'!$A$8:$A$1007,0)),"")=D8)),"رابطه نامعتبر",IF(OR(Q8&lt;&gt;"تأیید شده",NOT(ISNUMBER(L8)),NOT(ISNUMBER(N8)),K8="تأیید نشده",P8=""),"نیازمند تأیید داده و هدف",IF(OR(AND(K8="کمتر بهتر",N8&lt;=L8),AND(K8="بیشتر بهتر",N8&gt;=L8),AND(K8="برابر هدف",N8=L8)),"محقق","محقق نشده"))))</f>
        <v>نیازمند تأیید داده و هدف</v>
      </c>
      <c r="U8" s="3">
        <f>IF(A8="","",COUNTIFS('15-روابط'!$C$8:$C$1007,"ورودی",'15-روابط'!$D$8:$D$1007,F8,'15-روابط'!$E$8:$E$1007,"برنامه مصوب معتبر"))</f>
        <v>0</v>
      </c>
      <c r="V8" s="3" t="str">
        <f t="shared" ref="V8:V39" si="2">IF(A8="","",IF(T8&lt;&gt;"محقق نشده",T8,IF(O8="مشتری",IF(U8=0,"IATF: هدف مشتری؛ برنامه مصوب ندارد","برنامه مشتری ثبت شده؛ پایش اجرا لازم"),IF(O8="محیط‌زیستی",IF(U8=0,"هدف محیط‌زیستی؛ تعیین اقدام لازم","اقدام محیط‌زیستی ثبت شده"),"عدم تحقق؛ بررسی مدیریت لازم"))))</f>
        <v>نیازمند تأیید داده و هدف</v>
      </c>
      <c r="W8" s="1" t="s">
        <v>583</v>
      </c>
    </row>
    <row r="9" spans="1:23" ht="36" customHeight="1">
      <c r="A9" s="1" t="s">
        <v>584</v>
      </c>
      <c r="B9" s="1" t="s">
        <v>77</v>
      </c>
      <c r="C9" s="1" t="s">
        <v>80</v>
      </c>
      <c r="D9" s="1" t="s">
        <v>83</v>
      </c>
      <c r="E9" s="1" t="s">
        <v>379</v>
      </c>
      <c r="F9" s="1" t="s">
        <v>513</v>
      </c>
      <c r="G9" s="1" t="s">
        <v>499</v>
      </c>
      <c r="H9" s="1" t="s">
        <v>499</v>
      </c>
      <c r="I9" s="1" t="s">
        <v>585</v>
      </c>
      <c r="J9" s="1" t="s">
        <v>579</v>
      </c>
      <c r="K9" s="1" t="s">
        <v>580</v>
      </c>
      <c r="L9" s="1">
        <v>0.04</v>
      </c>
      <c r="M9" s="1">
        <v>7.0000000000000007E-2</v>
      </c>
      <c r="N9" s="1">
        <v>7.0000000000000007E-2</v>
      </c>
      <c r="O9" s="1" t="s">
        <v>580</v>
      </c>
      <c r="P9" s="1" t="s">
        <v>581</v>
      </c>
      <c r="Q9" s="1" t="s">
        <v>582</v>
      </c>
      <c r="R9" s="3">
        <f t="shared" si="0"/>
        <v>3.0000000000000006E-2</v>
      </c>
      <c r="S9" s="3">
        <f t="shared" si="1"/>
        <v>0</v>
      </c>
      <c r="T9" s="3" t="str">
        <f>IF(A9="","",IF(NOT(AND(COUNTIFS('04-تحلیل شاخص‌ها'!$A$8:$A$1007,A9)=1,AND(COUNTIFS('17-جلسات و دوره‌ها'!$A$8:$A$1007,D9)=1,IFERROR(INDEX('17-جلسات و دوره‌ها'!$B$8:$B$1007,MATCH(D9,'17-جلسات و دوره‌ها'!$A$8:$A$1007,0)),"")=B9,IFERROR(INDEX('17-جلسات و دوره‌ها'!$C$8:$C$1007,MATCH(D9,'17-جلسات و دوره‌ها'!$A$8:$A$1007,0)),"")=C9),COUNTIFS('03-ورودی‌های بازنگری'!$A$8:$A$1007,F9)=1,IFERROR(INDEX('03-ورودی‌های بازنگری'!$D$8:$D$1007,MATCH(F9,'03-ورودی‌های بازنگری'!$A$8:$A$1007,0)),"")=D9)),"رابطه نامعتبر",IF(OR(Q9&lt;&gt;"تأیید شده",NOT(ISNUMBER(L9)),NOT(ISNUMBER(N9)),K9="تأیید نشده",P9=""),"نیازمند تأیید داده و هدف",IF(OR(AND(K9="کمتر بهتر",N9&lt;=L9),AND(K9="بیشتر بهتر",N9&gt;=L9),AND(K9="برابر هدف",N9=L9)),"محقق","محقق نشده"))))</f>
        <v>نیازمند تأیید داده و هدف</v>
      </c>
      <c r="U9" s="3">
        <f>IF(A9="","",COUNTIFS('15-روابط'!$C$8:$C$1007,"ورودی",'15-روابط'!$D$8:$D$1007,F9,'15-روابط'!$E$8:$E$1007,"برنامه مصوب معتبر"))</f>
        <v>0</v>
      </c>
      <c r="V9" s="3" t="str">
        <f t="shared" si="2"/>
        <v>نیازمند تأیید داده و هدف</v>
      </c>
      <c r="W9" s="1" t="s">
        <v>583</v>
      </c>
    </row>
    <row r="10" spans="1:23" ht="48" customHeight="1">
      <c r="A10" s="1" t="s">
        <v>586</v>
      </c>
      <c r="B10" s="1" t="s">
        <v>77</v>
      </c>
      <c r="C10" s="1" t="s">
        <v>80</v>
      </c>
      <c r="D10" s="1" t="s">
        <v>83</v>
      </c>
      <c r="E10" s="1" t="s">
        <v>379</v>
      </c>
      <c r="F10" s="1" t="s">
        <v>513</v>
      </c>
      <c r="G10" s="1" t="s">
        <v>499</v>
      </c>
      <c r="H10" s="1" t="s">
        <v>499</v>
      </c>
      <c r="I10" s="1" t="s">
        <v>587</v>
      </c>
      <c r="J10" s="1" t="s">
        <v>579</v>
      </c>
      <c r="K10" s="1" t="s">
        <v>580</v>
      </c>
      <c r="L10" s="1">
        <v>95</v>
      </c>
      <c r="M10" s="1">
        <v>83</v>
      </c>
      <c r="N10" s="1">
        <v>83</v>
      </c>
      <c r="O10" s="1" t="s">
        <v>580</v>
      </c>
      <c r="P10" s="1" t="s">
        <v>588</v>
      </c>
      <c r="Q10" s="1" t="s">
        <v>582</v>
      </c>
      <c r="R10" s="3">
        <f t="shared" si="0"/>
        <v>-12</v>
      </c>
      <c r="S10" s="3">
        <f t="shared" si="1"/>
        <v>0</v>
      </c>
      <c r="T10" s="3" t="str">
        <f>IF(A10="","",IF(NOT(AND(COUNTIFS('04-تحلیل شاخص‌ها'!$A$8:$A$1007,A10)=1,AND(COUNTIFS('17-جلسات و دوره‌ها'!$A$8:$A$1007,D10)=1,IFERROR(INDEX('17-جلسات و دوره‌ها'!$B$8:$B$1007,MATCH(D10,'17-جلسات و دوره‌ها'!$A$8:$A$1007,0)),"")=B10,IFERROR(INDEX('17-جلسات و دوره‌ها'!$C$8:$C$1007,MATCH(D10,'17-جلسات و دوره‌ها'!$A$8:$A$1007,0)),"")=C10),COUNTIFS('03-ورودی‌های بازنگری'!$A$8:$A$1007,F10)=1,IFERROR(INDEX('03-ورودی‌های بازنگری'!$D$8:$D$1007,MATCH(F10,'03-ورودی‌های بازنگری'!$A$8:$A$1007,0)),"")=D10)),"رابطه نامعتبر",IF(OR(Q10&lt;&gt;"تأیید شده",NOT(ISNUMBER(L10)),NOT(ISNUMBER(N10)),K10="تأیید نشده",P10=""),"نیازمند تأیید داده و هدف",IF(OR(AND(K10="کمتر بهتر",N10&lt;=L10),AND(K10="بیشتر بهتر",N10&gt;=L10),AND(K10="برابر هدف",N10=L10)),"محقق","محقق نشده"))))</f>
        <v>نیازمند تأیید داده و هدف</v>
      </c>
      <c r="U10" s="3">
        <f>IF(A10="","",COUNTIFS('15-روابط'!$C$8:$C$1007,"ورودی",'15-روابط'!$D$8:$D$1007,F10,'15-روابط'!$E$8:$E$1007,"برنامه مصوب معتبر"))</f>
        <v>0</v>
      </c>
      <c r="V10" s="3" t="str">
        <f t="shared" si="2"/>
        <v>نیازمند تأیید داده و هدف</v>
      </c>
      <c r="W10" s="1" t="s">
        <v>583</v>
      </c>
    </row>
    <row r="11" spans="1:23" ht="48" customHeight="1">
      <c r="A11" s="1" t="s">
        <v>589</v>
      </c>
      <c r="B11" s="1" t="s">
        <v>77</v>
      </c>
      <c r="C11" s="1" t="s">
        <v>80</v>
      </c>
      <c r="D11" s="1" t="s">
        <v>83</v>
      </c>
      <c r="E11" s="1" t="s">
        <v>379</v>
      </c>
      <c r="F11" s="1" t="s">
        <v>513</v>
      </c>
      <c r="G11" s="1" t="s">
        <v>499</v>
      </c>
      <c r="H11" s="1" t="s">
        <v>499</v>
      </c>
      <c r="I11" s="1" t="s">
        <v>590</v>
      </c>
      <c r="J11" s="1" t="s">
        <v>579</v>
      </c>
      <c r="K11" s="1" t="s">
        <v>580</v>
      </c>
      <c r="L11" s="1">
        <v>90</v>
      </c>
      <c r="M11" s="1">
        <v>83</v>
      </c>
      <c r="N11" s="1">
        <v>86</v>
      </c>
      <c r="O11" s="1" t="s">
        <v>580</v>
      </c>
      <c r="P11" s="1" t="s">
        <v>588</v>
      </c>
      <c r="Q11" s="1" t="s">
        <v>582</v>
      </c>
      <c r="R11" s="3">
        <f t="shared" si="0"/>
        <v>-4</v>
      </c>
      <c r="S11" s="3">
        <f t="shared" si="1"/>
        <v>3</v>
      </c>
      <c r="T11" s="3" t="str">
        <f>IF(A11="","",IF(NOT(AND(COUNTIFS('04-تحلیل شاخص‌ها'!$A$8:$A$1007,A11)=1,AND(COUNTIFS('17-جلسات و دوره‌ها'!$A$8:$A$1007,D11)=1,IFERROR(INDEX('17-جلسات و دوره‌ها'!$B$8:$B$1007,MATCH(D11,'17-جلسات و دوره‌ها'!$A$8:$A$1007,0)),"")=B11,IFERROR(INDEX('17-جلسات و دوره‌ها'!$C$8:$C$1007,MATCH(D11,'17-جلسات و دوره‌ها'!$A$8:$A$1007,0)),"")=C11),COUNTIFS('03-ورودی‌های بازنگری'!$A$8:$A$1007,F11)=1,IFERROR(INDEX('03-ورودی‌های بازنگری'!$D$8:$D$1007,MATCH(F11,'03-ورودی‌های بازنگری'!$A$8:$A$1007,0)),"")=D11)),"رابطه نامعتبر",IF(OR(Q11&lt;&gt;"تأیید شده",NOT(ISNUMBER(L11)),NOT(ISNUMBER(N11)),K11="تأیید نشده",P11=""),"نیازمند تأیید داده و هدف",IF(OR(AND(K11="کمتر بهتر",N11&lt;=L11),AND(K11="بیشتر بهتر",N11&gt;=L11),AND(K11="برابر هدف",N11=L11)),"محقق","محقق نشده"))))</f>
        <v>نیازمند تأیید داده و هدف</v>
      </c>
      <c r="U11" s="3">
        <f>IF(A11="","",COUNTIFS('15-روابط'!$C$8:$C$1007,"ورودی",'15-روابط'!$D$8:$D$1007,F11,'15-روابط'!$E$8:$E$1007,"برنامه مصوب معتبر"))</f>
        <v>0</v>
      </c>
      <c r="V11" s="3" t="str">
        <f t="shared" si="2"/>
        <v>نیازمند تأیید داده و هدف</v>
      </c>
      <c r="W11" s="1" t="s">
        <v>583</v>
      </c>
    </row>
    <row r="12" spans="1:23" ht="36" customHeight="1">
      <c r="A12" s="1" t="s">
        <v>591</v>
      </c>
      <c r="B12" s="1" t="s">
        <v>77</v>
      </c>
      <c r="C12" s="1" t="s">
        <v>80</v>
      </c>
      <c r="D12" s="1" t="s">
        <v>83</v>
      </c>
      <c r="E12" s="1" t="s">
        <v>379</v>
      </c>
      <c r="F12" s="1" t="s">
        <v>513</v>
      </c>
      <c r="G12" s="1" t="s">
        <v>499</v>
      </c>
      <c r="H12" s="1" t="s">
        <v>499</v>
      </c>
      <c r="I12" s="1" t="s">
        <v>592</v>
      </c>
      <c r="J12" s="1" t="s">
        <v>579</v>
      </c>
      <c r="K12" s="1" t="s">
        <v>580</v>
      </c>
      <c r="L12" s="1">
        <v>80</v>
      </c>
      <c r="M12" s="1">
        <v>71</v>
      </c>
      <c r="N12" s="1">
        <v>83</v>
      </c>
      <c r="O12" s="1" t="s">
        <v>580</v>
      </c>
      <c r="P12" s="1" t="s">
        <v>581</v>
      </c>
      <c r="Q12" s="1" t="s">
        <v>582</v>
      </c>
      <c r="R12" s="3">
        <f t="shared" si="0"/>
        <v>3</v>
      </c>
      <c r="S12" s="3">
        <f t="shared" si="1"/>
        <v>12</v>
      </c>
      <c r="T12" s="3" t="str">
        <f>IF(A12="","",IF(NOT(AND(COUNTIFS('04-تحلیل شاخص‌ها'!$A$8:$A$1007,A12)=1,AND(COUNTIFS('17-جلسات و دوره‌ها'!$A$8:$A$1007,D12)=1,IFERROR(INDEX('17-جلسات و دوره‌ها'!$B$8:$B$1007,MATCH(D12,'17-جلسات و دوره‌ها'!$A$8:$A$1007,0)),"")=B12,IFERROR(INDEX('17-جلسات و دوره‌ها'!$C$8:$C$1007,MATCH(D12,'17-جلسات و دوره‌ها'!$A$8:$A$1007,0)),"")=C12),COUNTIFS('03-ورودی‌های بازنگری'!$A$8:$A$1007,F12)=1,IFERROR(INDEX('03-ورودی‌های بازنگری'!$D$8:$D$1007,MATCH(F12,'03-ورودی‌های بازنگری'!$A$8:$A$1007,0)),"")=D12)),"رابطه نامعتبر",IF(OR(Q12&lt;&gt;"تأیید شده",NOT(ISNUMBER(L12)),NOT(ISNUMBER(N12)),K12="تأیید نشده",P12=""),"نیازمند تأیید داده و هدف",IF(OR(AND(K12="کمتر بهتر",N12&lt;=L12),AND(K12="بیشتر بهتر",N12&gt;=L12),AND(K12="برابر هدف",N12=L12)),"محقق","محقق نشده"))))</f>
        <v>نیازمند تأیید داده و هدف</v>
      </c>
      <c r="U12" s="3">
        <f>IF(A12="","",COUNTIFS('15-روابط'!$C$8:$C$1007,"ورودی",'15-روابط'!$D$8:$D$1007,F12,'15-روابط'!$E$8:$E$1007,"برنامه مصوب معتبر"))</f>
        <v>0</v>
      </c>
      <c r="V12" s="3" t="str">
        <f t="shared" si="2"/>
        <v>نیازمند تأیید داده و هدف</v>
      </c>
      <c r="W12" s="1" t="s">
        <v>583</v>
      </c>
    </row>
    <row r="13" spans="1:23" ht="36" customHeight="1">
      <c r="A13" s="1" t="s">
        <v>593</v>
      </c>
      <c r="B13" s="1" t="s">
        <v>77</v>
      </c>
      <c r="C13" s="1" t="s">
        <v>80</v>
      </c>
      <c r="D13" s="1" t="s">
        <v>83</v>
      </c>
      <c r="E13" s="1" t="s">
        <v>379</v>
      </c>
      <c r="F13" s="1" t="s">
        <v>513</v>
      </c>
      <c r="G13" s="1" t="s">
        <v>499</v>
      </c>
      <c r="H13" s="1" t="s">
        <v>499</v>
      </c>
      <c r="I13" s="1" t="s">
        <v>594</v>
      </c>
      <c r="J13" s="1" t="s">
        <v>579</v>
      </c>
      <c r="K13" s="1" t="s">
        <v>580</v>
      </c>
      <c r="L13" s="1">
        <v>95</v>
      </c>
      <c r="M13" s="1">
        <v>91.45</v>
      </c>
      <c r="N13" s="1">
        <v>95.73</v>
      </c>
      <c r="O13" s="1" t="s">
        <v>580</v>
      </c>
      <c r="P13" s="1" t="s">
        <v>581</v>
      </c>
      <c r="Q13" s="1" t="s">
        <v>582</v>
      </c>
      <c r="R13" s="3">
        <f t="shared" si="0"/>
        <v>0.73000000000000398</v>
      </c>
      <c r="S13" s="3">
        <f t="shared" si="1"/>
        <v>4.2800000000000011</v>
      </c>
      <c r="T13" s="3" t="str">
        <f>IF(A13="","",IF(NOT(AND(COUNTIFS('04-تحلیل شاخص‌ها'!$A$8:$A$1007,A13)=1,AND(COUNTIFS('17-جلسات و دوره‌ها'!$A$8:$A$1007,D13)=1,IFERROR(INDEX('17-جلسات و دوره‌ها'!$B$8:$B$1007,MATCH(D13,'17-جلسات و دوره‌ها'!$A$8:$A$1007,0)),"")=B13,IFERROR(INDEX('17-جلسات و دوره‌ها'!$C$8:$C$1007,MATCH(D13,'17-جلسات و دوره‌ها'!$A$8:$A$1007,0)),"")=C13),COUNTIFS('03-ورودی‌های بازنگری'!$A$8:$A$1007,F13)=1,IFERROR(INDEX('03-ورودی‌های بازنگری'!$D$8:$D$1007,MATCH(F13,'03-ورودی‌های بازنگری'!$A$8:$A$1007,0)),"")=D13)),"رابطه نامعتبر",IF(OR(Q13&lt;&gt;"تأیید شده",NOT(ISNUMBER(L13)),NOT(ISNUMBER(N13)),K13="تأیید نشده",P13=""),"نیازمند تأیید داده و هدف",IF(OR(AND(K13="کمتر بهتر",N13&lt;=L13),AND(K13="بیشتر بهتر",N13&gt;=L13),AND(K13="برابر هدف",N13=L13)),"محقق","محقق نشده"))))</f>
        <v>نیازمند تأیید داده و هدف</v>
      </c>
      <c r="U13" s="3">
        <f>IF(A13="","",COUNTIFS('15-روابط'!$C$8:$C$1007,"ورودی",'15-روابط'!$D$8:$D$1007,F13,'15-روابط'!$E$8:$E$1007,"برنامه مصوب معتبر"))</f>
        <v>0</v>
      </c>
      <c r="V13" s="3" t="str">
        <f t="shared" si="2"/>
        <v>نیازمند تأیید داده و هدف</v>
      </c>
      <c r="W13" s="1" t="s">
        <v>583</v>
      </c>
    </row>
    <row r="14" spans="1:23" ht="36" customHeight="1">
      <c r="A14" s="1" t="s">
        <v>595</v>
      </c>
      <c r="B14" s="1" t="s">
        <v>77</v>
      </c>
      <c r="C14" s="1" t="s">
        <v>80</v>
      </c>
      <c r="D14" s="1" t="s">
        <v>83</v>
      </c>
      <c r="E14" s="1" t="s">
        <v>379</v>
      </c>
      <c r="F14" s="1" t="s">
        <v>513</v>
      </c>
      <c r="G14" s="1" t="s">
        <v>499</v>
      </c>
      <c r="H14" s="1" t="s">
        <v>499</v>
      </c>
      <c r="I14" s="1" t="s">
        <v>596</v>
      </c>
      <c r="J14" s="1" t="s">
        <v>579</v>
      </c>
      <c r="K14" s="1" t="s">
        <v>580</v>
      </c>
      <c r="L14" s="1">
        <v>90</v>
      </c>
      <c r="M14" s="1">
        <v>76</v>
      </c>
      <c r="N14" s="1">
        <v>96.2</v>
      </c>
      <c r="O14" s="1" t="s">
        <v>580</v>
      </c>
      <c r="P14" s="1" t="s">
        <v>581</v>
      </c>
      <c r="Q14" s="1" t="s">
        <v>582</v>
      </c>
      <c r="R14" s="3">
        <f t="shared" si="0"/>
        <v>6.2000000000000028</v>
      </c>
      <c r="S14" s="3">
        <f t="shared" si="1"/>
        <v>20.200000000000003</v>
      </c>
      <c r="T14" s="3" t="str">
        <f>IF(A14="","",IF(NOT(AND(COUNTIFS('04-تحلیل شاخص‌ها'!$A$8:$A$1007,A14)=1,AND(COUNTIFS('17-جلسات و دوره‌ها'!$A$8:$A$1007,D14)=1,IFERROR(INDEX('17-جلسات و دوره‌ها'!$B$8:$B$1007,MATCH(D14,'17-جلسات و دوره‌ها'!$A$8:$A$1007,0)),"")=B14,IFERROR(INDEX('17-جلسات و دوره‌ها'!$C$8:$C$1007,MATCH(D14,'17-جلسات و دوره‌ها'!$A$8:$A$1007,0)),"")=C14),COUNTIFS('03-ورودی‌های بازنگری'!$A$8:$A$1007,F14)=1,IFERROR(INDEX('03-ورودی‌های بازنگری'!$D$8:$D$1007,MATCH(F14,'03-ورودی‌های بازنگری'!$A$8:$A$1007,0)),"")=D14)),"رابطه نامعتبر",IF(OR(Q14&lt;&gt;"تأیید شده",NOT(ISNUMBER(L14)),NOT(ISNUMBER(N14)),K14="تأیید نشده",P14=""),"نیازمند تأیید داده و هدف",IF(OR(AND(K14="کمتر بهتر",N14&lt;=L14),AND(K14="بیشتر بهتر",N14&gt;=L14),AND(K14="برابر هدف",N14=L14)),"محقق","محقق نشده"))))</f>
        <v>نیازمند تأیید داده و هدف</v>
      </c>
      <c r="U14" s="3">
        <f>IF(A14="","",COUNTIFS('15-روابط'!$C$8:$C$1007,"ورودی",'15-روابط'!$D$8:$D$1007,F14,'15-روابط'!$E$8:$E$1007,"برنامه مصوب معتبر"))</f>
        <v>0</v>
      </c>
      <c r="V14" s="3" t="str">
        <f t="shared" si="2"/>
        <v>نیازمند تأیید داده و هدف</v>
      </c>
      <c r="W14" s="1" t="s">
        <v>583</v>
      </c>
    </row>
    <row r="15" spans="1:23" ht="36" customHeight="1">
      <c r="A15" s="1" t="s">
        <v>597</v>
      </c>
      <c r="B15" s="1" t="s">
        <v>77</v>
      </c>
      <c r="C15" s="1" t="s">
        <v>80</v>
      </c>
      <c r="D15" s="1" t="s">
        <v>83</v>
      </c>
      <c r="E15" s="1" t="s">
        <v>379</v>
      </c>
      <c r="F15" s="1" t="s">
        <v>513</v>
      </c>
      <c r="G15" s="1" t="s">
        <v>499</v>
      </c>
      <c r="H15" s="1" t="s">
        <v>499</v>
      </c>
      <c r="I15" s="1" t="s">
        <v>598</v>
      </c>
      <c r="J15" s="1" t="s">
        <v>579</v>
      </c>
      <c r="K15" s="1" t="s">
        <v>580</v>
      </c>
      <c r="L15" s="1">
        <v>95</v>
      </c>
      <c r="M15" s="1">
        <v>90</v>
      </c>
      <c r="N15" s="1">
        <v>90</v>
      </c>
      <c r="O15" s="1" t="s">
        <v>580</v>
      </c>
      <c r="P15" s="1" t="s">
        <v>581</v>
      </c>
      <c r="Q15" s="1" t="s">
        <v>582</v>
      </c>
      <c r="R15" s="3">
        <f t="shared" si="0"/>
        <v>-5</v>
      </c>
      <c r="S15" s="3">
        <f t="shared" si="1"/>
        <v>0</v>
      </c>
      <c r="T15" s="3" t="str">
        <f>IF(A15="","",IF(NOT(AND(COUNTIFS('04-تحلیل شاخص‌ها'!$A$8:$A$1007,A15)=1,AND(COUNTIFS('17-جلسات و دوره‌ها'!$A$8:$A$1007,D15)=1,IFERROR(INDEX('17-جلسات و دوره‌ها'!$B$8:$B$1007,MATCH(D15,'17-جلسات و دوره‌ها'!$A$8:$A$1007,0)),"")=B15,IFERROR(INDEX('17-جلسات و دوره‌ها'!$C$8:$C$1007,MATCH(D15,'17-جلسات و دوره‌ها'!$A$8:$A$1007,0)),"")=C15),COUNTIFS('03-ورودی‌های بازنگری'!$A$8:$A$1007,F15)=1,IFERROR(INDEX('03-ورودی‌های بازنگری'!$D$8:$D$1007,MATCH(F15,'03-ورودی‌های بازنگری'!$A$8:$A$1007,0)),"")=D15)),"رابطه نامعتبر",IF(OR(Q15&lt;&gt;"تأیید شده",NOT(ISNUMBER(L15)),NOT(ISNUMBER(N15)),K15="تأیید نشده",P15=""),"نیازمند تأیید داده و هدف",IF(OR(AND(K15="کمتر بهتر",N15&lt;=L15),AND(K15="بیشتر بهتر",N15&gt;=L15),AND(K15="برابر هدف",N15=L15)),"محقق","محقق نشده"))))</f>
        <v>نیازمند تأیید داده و هدف</v>
      </c>
      <c r="U15" s="3">
        <f>IF(A15="","",COUNTIFS('15-روابط'!$C$8:$C$1007,"ورودی",'15-روابط'!$D$8:$D$1007,F15,'15-روابط'!$E$8:$E$1007,"برنامه مصوب معتبر"))</f>
        <v>0</v>
      </c>
      <c r="V15" s="3" t="str">
        <f t="shared" si="2"/>
        <v>نیازمند تأیید داده و هدف</v>
      </c>
      <c r="W15" s="1" t="s">
        <v>583</v>
      </c>
    </row>
    <row r="16" spans="1:23" ht="36" customHeight="1">
      <c r="A16" s="1" t="s">
        <v>599</v>
      </c>
      <c r="B16" s="1" t="s">
        <v>77</v>
      </c>
      <c r="C16" s="1" t="s">
        <v>80</v>
      </c>
      <c r="D16" s="1" t="s">
        <v>83</v>
      </c>
      <c r="E16" s="1" t="s">
        <v>379</v>
      </c>
      <c r="F16" s="1" t="s">
        <v>513</v>
      </c>
      <c r="G16" s="1" t="s">
        <v>499</v>
      </c>
      <c r="H16" s="1" t="s">
        <v>499</v>
      </c>
      <c r="I16" s="1" t="s">
        <v>600</v>
      </c>
      <c r="J16" s="1" t="s">
        <v>579</v>
      </c>
      <c r="K16" s="1" t="s">
        <v>580</v>
      </c>
      <c r="L16" s="1">
        <v>90</v>
      </c>
      <c r="M16" s="1">
        <v>80</v>
      </c>
      <c r="N16" s="1">
        <v>80</v>
      </c>
      <c r="O16" s="1" t="s">
        <v>580</v>
      </c>
      <c r="P16" s="1" t="s">
        <v>581</v>
      </c>
      <c r="Q16" s="1" t="s">
        <v>582</v>
      </c>
      <c r="R16" s="3">
        <f t="shared" si="0"/>
        <v>-10</v>
      </c>
      <c r="S16" s="3">
        <f t="shared" si="1"/>
        <v>0</v>
      </c>
      <c r="T16" s="3" t="str">
        <f>IF(A16="","",IF(NOT(AND(COUNTIFS('04-تحلیل شاخص‌ها'!$A$8:$A$1007,A16)=1,AND(COUNTIFS('17-جلسات و دوره‌ها'!$A$8:$A$1007,D16)=1,IFERROR(INDEX('17-جلسات و دوره‌ها'!$B$8:$B$1007,MATCH(D16,'17-جلسات و دوره‌ها'!$A$8:$A$1007,0)),"")=B16,IFERROR(INDEX('17-جلسات و دوره‌ها'!$C$8:$C$1007,MATCH(D16,'17-جلسات و دوره‌ها'!$A$8:$A$1007,0)),"")=C16),COUNTIFS('03-ورودی‌های بازنگری'!$A$8:$A$1007,F16)=1,IFERROR(INDEX('03-ورودی‌های بازنگری'!$D$8:$D$1007,MATCH(F16,'03-ورودی‌های بازنگری'!$A$8:$A$1007,0)),"")=D16)),"رابطه نامعتبر",IF(OR(Q16&lt;&gt;"تأیید شده",NOT(ISNUMBER(L16)),NOT(ISNUMBER(N16)),K16="تأیید نشده",P16=""),"نیازمند تأیید داده و هدف",IF(OR(AND(K16="کمتر بهتر",N16&lt;=L16),AND(K16="بیشتر بهتر",N16&gt;=L16),AND(K16="برابر هدف",N16=L16)),"محقق","محقق نشده"))))</f>
        <v>نیازمند تأیید داده و هدف</v>
      </c>
      <c r="U16" s="3">
        <f>IF(A16="","",COUNTIFS('15-روابط'!$C$8:$C$1007,"ورودی",'15-روابط'!$D$8:$D$1007,F16,'15-روابط'!$E$8:$E$1007,"برنامه مصوب معتبر"))</f>
        <v>0</v>
      </c>
      <c r="V16" s="3" t="str">
        <f t="shared" si="2"/>
        <v>نیازمند تأیید داده و هدف</v>
      </c>
      <c r="W16" s="1" t="s">
        <v>583</v>
      </c>
    </row>
    <row r="17" spans="1:23" ht="36" customHeight="1">
      <c r="A17" s="1" t="s">
        <v>601</v>
      </c>
      <c r="B17" s="1" t="s">
        <v>77</v>
      </c>
      <c r="C17" s="1" t="s">
        <v>80</v>
      </c>
      <c r="D17" s="1" t="s">
        <v>83</v>
      </c>
      <c r="E17" s="1" t="s">
        <v>379</v>
      </c>
      <c r="F17" s="1" t="s">
        <v>513</v>
      </c>
      <c r="G17" s="1" t="s">
        <v>499</v>
      </c>
      <c r="H17" s="1" t="s">
        <v>499</v>
      </c>
      <c r="I17" s="1" t="s">
        <v>602</v>
      </c>
      <c r="J17" s="1" t="s">
        <v>579</v>
      </c>
      <c r="K17" s="1" t="s">
        <v>580</v>
      </c>
      <c r="L17" s="1">
        <v>90</v>
      </c>
      <c r="M17" s="1">
        <v>83</v>
      </c>
      <c r="N17" s="1">
        <v>83</v>
      </c>
      <c r="O17" s="1" t="s">
        <v>580</v>
      </c>
      <c r="P17" s="1" t="s">
        <v>581</v>
      </c>
      <c r="Q17" s="1" t="s">
        <v>582</v>
      </c>
      <c r="R17" s="3">
        <f t="shared" si="0"/>
        <v>-7</v>
      </c>
      <c r="S17" s="3">
        <f t="shared" si="1"/>
        <v>0</v>
      </c>
      <c r="T17" s="3" t="str">
        <f>IF(A17="","",IF(NOT(AND(COUNTIFS('04-تحلیل شاخص‌ها'!$A$8:$A$1007,A17)=1,AND(COUNTIFS('17-جلسات و دوره‌ها'!$A$8:$A$1007,D17)=1,IFERROR(INDEX('17-جلسات و دوره‌ها'!$B$8:$B$1007,MATCH(D17,'17-جلسات و دوره‌ها'!$A$8:$A$1007,0)),"")=B17,IFERROR(INDEX('17-جلسات و دوره‌ها'!$C$8:$C$1007,MATCH(D17,'17-جلسات و دوره‌ها'!$A$8:$A$1007,0)),"")=C17),COUNTIFS('03-ورودی‌های بازنگری'!$A$8:$A$1007,F17)=1,IFERROR(INDEX('03-ورودی‌های بازنگری'!$D$8:$D$1007,MATCH(F17,'03-ورودی‌های بازنگری'!$A$8:$A$1007,0)),"")=D17)),"رابطه نامعتبر",IF(OR(Q17&lt;&gt;"تأیید شده",NOT(ISNUMBER(L17)),NOT(ISNUMBER(N17)),K17="تأیید نشده",P17=""),"نیازمند تأیید داده و هدف",IF(OR(AND(K17="کمتر بهتر",N17&lt;=L17),AND(K17="بیشتر بهتر",N17&gt;=L17),AND(K17="برابر هدف",N17=L17)),"محقق","محقق نشده"))))</f>
        <v>نیازمند تأیید داده و هدف</v>
      </c>
      <c r="U17" s="3">
        <f>IF(A17="","",COUNTIFS('15-روابط'!$C$8:$C$1007,"ورودی",'15-روابط'!$D$8:$D$1007,F17,'15-روابط'!$E$8:$E$1007,"برنامه مصوب معتبر"))</f>
        <v>0</v>
      </c>
      <c r="V17" s="3" t="str">
        <f t="shared" si="2"/>
        <v>نیازمند تأیید داده و هدف</v>
      </c>
      <c r="W17" s="1" t="s">
        <v>583</v>
      </c>
    </row>
    <row r="18" spans="1:23" ht="48" customHeight="1">
      <c r="A18" s="1" t="s">
        <v>603</v>
      </c>
      <c r="B18" s="1" t="s">
        <v>77</v>
      </c>
      <c r="C18" s="1" t="s">
        <v>80</v>
      </c>
      <c r="D18" s="1" t="s">
        <v>83</v>
      </c>
      <c r="E18" s="1" t="s">
        <v>379</v>
      </c>
      <c r="F18" s="1" t="s">
        <v>513</v>
      </c>
      <c r="G18" s="1" t="s">
        <v>499</v>
      </c>
      <c r="H18" s="1" t="s">
        <v>499</v>
      </c>
      <c r="I18" s="1" t="s">
        <v>604</v>
      </c>
      <c r="J18" s="1" t="s">
        <v>579</v>
      </c>
      <c r="K18" s="1" t="s">
        <v>580</v>
      </c>
      <c r="L18" s="1">
        <v>90</v>
      </c>
      <c r="M18" s="1">
        <v>82.1</v>
      </c>
      <c r="N18" s="1">
        <v>84.6</v>
      </c>
      <c r="O18" s="1" t="s">
        <v>580</v>
      </c>
      <c r="P18" s="1" t="s">
        <v>605</v>
      </c>
      <c r="Q18" s="1" t="s">
        <v>582</v>
      </c>
      <c r="R18" s="3">
        <f t="shared" si="0"/>
        <v>-5.4000000000000057</v>
      </c>
      <c r="S18" s="3">
        <f t="shared" si="1"/>
        <v>2.5</v>
      </c>
      <c r="T18" s="3" t="str">
        <f>IF(A18="","",IF(NOT(AND(COUNTIFS('04-تحلیل شاخص‌ها'!$A$8:$A$1007,A18)=1,AND(COUNTIFS('17-جلسات و دوره‌ها'!$A$8:$A$1007,D18)=1,IFERROR(INDEX('17-جلسات و دوره‌ها'!$B$8:$B$1007,MATCH(D18,'17-جلسات و دوره‌ها'!$A$8:$A$1007,0)),"")=B18,IFERROR(INDEX('17-جلسات و دوره‌ها'!$C$8:$C$1007,MATCH(D18,'17-جلسات و دوره‌ها'!$A$8:$A$1007,0)),"")=C18),COUNTIFS('03-ورودی‌های بازنگری'!$A$8:$A$1007,F18)=1,IFERROR(INDEX('03-ورودی‌های بازنگری'!$D$8:$D$1007,MATCH(F18,'03-ورودی‌های بازنگری'!$A$8:$A$1007,0)),"")=D18)),"رابطه نامعتبر",IF(OR(Q18&lt;&gt;"تأیید شده",NOT(ISNUMBER(L18)),NOT(ISNUMBER(N18)),K18="تأیید نشده",P18=""),"نیازمند تأیید داده و هدف",IF(OR(AND(K18="کمتر بهتر",N18&lt;=L18),AND(K18="بیشتر بهتر",N18&gt;=L18),AND(K18="برابر هدف",N18=L18)),"محقق","محقق نشده"))))</f>
        <v>نیازمند تأیید داده و هدف</v>
      </c>
      <c r="U18" s="3">
        <f>IF(A18="","",COUNTIFS('15-روابط'!$C$8:$C$1007,"ورودی",'15-روابط'!$D$8:$D$1007,F18,'15-روابط'!$E$8:$E$1007,"برنامه مصوب معتبر"))</f>
        <v>0</v>
      </c>
      <c r="V18" s="3" t="str">
        <f t="shared" si="2"/>
        <v>نیازمند تأیید داده و هدف</v>
      </c>
      <c r="W18" s="1" t="s">
        <v>583</v>
      </c>
    </row>
    <row r="19" spans="1:23" ht="48" customHeight="1">
      <c r="A19" s="1" t="s">
        <v>606</v>
      </c>
      <c r="B19" s="1" t="s">
        <v>77</v>
      </c>
      <c r="C19" s="1" t="s">
        <v>80</v>
      </c>
      <c r="D19" s="1" t="s">
        <v>83</v>
      </c>
      <c r="E19" s="1" t="s">
        <v>379</v>
      </c>
      <c r="F19" s="1" t="s">
        <v>412</v>
      </c>
      <c r="G19" s="1" t="s">
        <v>607</v>
      </c>
      <c r="H19" s="1" t="s">
        <v>171</v>
      </c>
      <c r="I19" s="1" t="s">
        <v>608</v>
      </c>
      <c r="J19" s="1" t="s">
        <v>579</v>
      </c>
      <c r="K19" s="1" t="s">
        <v>580</v>
      </c>
      <c r="L19" s="1">
        <v>100</v>
      </c>
      <c r="M19" s="1">
        <v>100</v>
      </c>
      <c r="N19" s="1">
        <v>100</v>
      </c>
      <c r="O19" s="1" t="s">
        <v>580</v>
      </c>
      <c r="P19" s="1" t="s">
        <v>609</v>
      </c>
      <c r="Q19" s="1" t="s">
        <v>582</v>
      </c>
      <c r="R19" s="3">
        <f t="shared" si="0"/>
        <v>0</v>
      </c>
      <c r="S19" s="3">
        <f t="shared" si="1"/>
        <v>0</v>
      </c>
      <c r="T19" s="3" t="str">
        <f>IF(A19="","",IF(NOT(AND(COUNTIFS('04-تحلیل شاخص‌ها'!$A$8:$A$1007,A19)=1,AND(COUNTIFS('17-جلسات و دوره‌ها'!$A$8:$A$1007,D19)=1,IFERROR(INDEX('17-جلسات و دوره‌ها'!$B$8:$B$1007,MATCH(D19,'17-جلسات و دوره‌ها'!$A$8:$A$1007,0)),"")=B19,IFERROR(INDEX('17-جلسات و دوره‌ها'!$C$8:$C$1007,MATCH(D19,'17-جلسات و دوره‌ها'!$A$8:$A$1007,0)),"")=C19),COUNTIFS('03-ورودی‌های بازنگری'!$A$8:$A$1007,F19)=1,IFERROR(INDEX('03-ورودی‌های بازنگری'!$D$8:$D$1007,MATCH(F19,'03-ورودی‌های بازنگری'!$A$8:$A$1007,0)),"")=D19)),"رابطه نامعتبر",IF(OR(Q19&lt;&gt;"تأیید شده",NOT(ISNUMBER(L19)),NOT(ISNUMBER(N19)),K19="تأیید نشده",P19=""),"نیازمند تأیید داده و هدف",IF(OR(AND(K19="کمتر بهتر",N19&lt;=L19),AND(K19="بیشتر بهتر",N19&gt;=L19),AND(K19="برابر هدف",N19=L19)),"محقق","محقق نشده"))))</f>
        <v>نیازمند تأیید داده و هدف</v>
      </c>
      <c r="U19" s="3">
        <f>IF(A19="","",COUNTIFS('15-روابط'!$C$8:$C$1007,"ورودی",'15-روابط'!$D$8:$D$1007,F19,'15-روابط'!$E$8:$E$1007,"برنامه مصوب معتبر"))</f>
        <v>0</v>
      </c>
      <c r="V19" s="3" t="str">
        <f t="shared" si="2"/>
        <v>نیازمند تأیید داده و هدف</v>
      </c>
      <c r="W19" s="1" t="s">
        <v>583</v>
      </c>
    </row>
    <row r="20" spans="1:23" ht="36" customHeight="1">
      <c r="A20" s="1" t="s">
        <v>610</v>
      </c>
      <c r="B20" s="1" t="s">
        <v>77</v>
      </c>
      <c r="C20" s="1" t="s">
        <v>80</v>
      </c>
      <c r="D20" s="1" t="s">
        <v>83</v>
      </c>
      <c r="E20" s="1" t="s">
        <v>379</v>
      </c>
      <c r="F20" s="1" t="s">
        <v>412</v>
      </c>
      <c r="G20" s="1" t="s">
        <v>607</v>
      </c>
      <c r="H20" s="1" t="s">
        <v>171</v>
      </c>
      <c r="I20" s="1" t="s">
        <v>611</v>
      </c>
      <c r="J20" s="1" t="s">
        <v>579</v>
      </c>
      <c r="K20" s="1" t="s">
        <v>580</v>
      </c>
      <c r="L20" s="1">
        <v>-10</v>
      </c>
      <c r="M20" s="1">
        <v>-11</v>
      </c>
      <c r="N20" s="1">
        <v>-10.38</v>
      </c>
      <c r="O20" s="1" t="s">
        <v>580</v>
      </c>
      <c r="P20" s="1" t="s">
        <v>612</v>
      </c>
      <c r="Q20" s="1" t="s">
        <v>582</v>
      </c>
      <c r="R20" s="3">
        <f t="shared" si="0"/>
        <v>-0.38000000000000078</v>
      </c>
      <c r="S20" s="3">
        <f t="shared" si="1"/>
        <v>0.61999999999999922</v>
      </c>
      <c r="T20" s="3" t="str">
        <f>IF(A20="","",IF(NOT(AND(COUNTIFS('04-تحلیل شاخص‌ها'!$A$8:$A$1007,A20)=1,AND(COUNTIFS('17-جلسات و دوره‌ها'!$A$8:$A$1007,D20)=1,IFERROR(INDEX('17-جلسات و دوره‌ها'!$B$8:$B$1007,MATCH(D20,'17-جلسات و دوره‌ها'!$A$8:$A$1007,0)),"")=B20,IFERROR(INDEX('17-جلسات و دوره‌ها'!$C$8:$C$1007,MATCH(D20,'17-جلسات و دوره‌ها'!$A$8:$A$1007,0)),"")=C20),COUNTIFS('03-ورودی‌های بازنگری'!$A$8:$A$1007,F20)=1,IFERROR(INDEX('03-ورودی‌های بازنگری'!$D$8:$D$1007,MATCH(F20,'03-ورودی‌های بازنگری'!$A$8:$A$1007,0)),"")=D20)),"رابطه نامعتبر",IF(OR(Q20&lt;&gt;"تأیید شده",NOT(ISNUMBER(L20)),NOT(ISNUMBER(N20)),K20="تأیید نشده",P20=""),"نیازمند تأیید داده و هدف",IF(OR(AND(K20="کمتر بهتر",N20&lt;=L20),AND(K20="بیشتر بهتر",N20&gt;=L20),AND(K20="برابر هدف",N20=L20)),"محقق","محقق نشده"))))</f>
        <v>نیازمند تأیید داده و هدف</v>
      </c>
      <c r="U20" s="3">
        <f>IF(A20="","",COUNTIFS('15-روابط'!$C$8:$C$1007,"ورودی",'15-روابط'!$D$8:$D$1007,F20,'15-روابط'!$E$8:$E$1007,"برنامه مصوب معتبر"))</f>
        <v>0</v>
      </c>
      <c r="V20" s="3" t="str">
        <f t="shared" si="2"/>
        <v>نیازمند تأیید داده و هدف</v>
      </c>
      <c r="W20" s="1" t="s">
        <v>583</v>
      </c>
    </row>
    <row r="21" spans="1:23" ht="48" customHeight="1">
      <c r="A21" s="1" t="s">
        <v>613</v>
      </c>
      <c r="B21" s="1" t="s">
        <v>77</v>
      </c>
      <c r="C21" s="1" t="s">
        <v>80</v>
      </c>
      <c r="D21" s="1" t="s">
        <v>83</v>
      </c>
      <c r="E21" s="1" t="s">
        <v>379</v>
      </c>
      <c r="F21" s="1" t="s">
        <v>412</v>
      </c>
      <c r="G21" s="1" t="s">
        <v>607</v>
      </c>
      <c r="H21" s="1" t="s">
        <v>171</v>
      </c>
      <c r="I21" s="1" t="s">
        <v>614</v>
      </c>
      <c r="J21" s="1" t="s">
        <v>579</v>
      </c>
      <c r="K21" s="1" t="s">
        <v>580</v>
      </c>
      <c r="L21" s="1">
        <v>80</v>
      </c>
      <c r="M21" s="1">
        <v>87.5</v>
      </c>
      <c r="N21" s="1">
        <v>95</v>
      </c>
      <c r="O21" s="1" t="s">
        <v>580</v>
      </c>
      <c r="P21" s="1" t="s">
        <v>615</v>
      </c>
      <c r="Q21" s="1" t="s">
        <v>582</v>
      </c>
      <c r="R21" s="3">
        <f t="shared" si="0"/>
        <v>15</v>
      </c>
      <c r="S21" s="3">
        <f t="shared" si="1"/>
        <v>7.5</v>
      </c>
      <c r="T21" s="3" t="str">
        <f>IF(A21="","",IF(NOT(AND(COUNTIFS('04-تحلیل شاخص‌ها'!$A$8:$A$1007,A21)=1,AND(COUNTIFS('17-جلسات و دوره‌ها'!$A$8:$A$1007,D21)=1,IFERROR(INDEX('17-جلسات و دوره‌ها'!$B$8:$B$1007,MATCH(D21,'17-جلسات و دوره‌ها'!$A$8:$A$1007,0)),"")=B21,IFERROR(INDEX('17-جلسات و دوره‌ها'!$C$8:$C$1007,MATCH(D21,'17-جلسات و دوره‌ها'!$A$8:$A$1007,0)),"")=C21),COUNTIFS('03-ورودی‌های بازنگری'!$A$8:$A$1007,F21)=1,IFERROR(INDEX('03-ورودی‌های بازنگری'!$D$8:$D$1007,MATCH(F21,'03-ورودی‌های بازنگری'!$A$8:$A$1007,0)),"")=D21)),"رابطه نامعتبر",IF(OR(Q21&lt;&gt;"تأیید شده",NOT(ISNUMBER(L21)),NOT(ISNUMBER(N21)),K21="تأیید نشده",P21=""),"نیازمند تأیید داده و هدف",IF(OR(AND(K21="کمتر بهتر",N21&lt;=L21),AND(K21="بیشتر بهتر",N21&gt;=L21),AND(K21="برابر هدف",N21=L21)),"محقق","محقق نشده"))))</f>
        <v>نیازمند تأیید داده و هدف</v>
      </c>
      <c r="U21" s="3">
        <f>IF(A21="","",COUNTIFS('15-روابط'!$C$8:$C$1007,"ورودی",'15-روابط'!$D$8:$D$1007,F21,'15-روابط'!$E$8:$E$1007,"برنامه مصوب معتبر"))</f>
        <v>0</v>
      </c>
      <c r="V21" s="3" t="str">
        <f t="shared" si="2"/>
        <v>نیازمند تأیید داده و هدف</v>
      </c>
      <c r="W21" s="1" t="s">
        <v>583</v>
      </c>
    </row>
    <row r="22" spans="1:23" ht="36" customHeight="1">
      <c r="A22" s="1" t="s">
        <v>616</v>
      </c>
      <c r="B22" s="1" t="s">
        <v>77</v>
      </c>
      <c r="C22" s="1" t="s">
        <v>80</v>
      </c>
      <c r="D22" s="1" t="s">
        <v>83</v>
      </c>
      <c r="E22" s="1" t="s">
        <v>379</v>
      </c>
      <c r="F22" s="1" t="s">
        <v>412</v>
      </c>
      <c r="G22" s="1" t="s">
        <v>607</v>
      </c>
      <c r="H22" s="1" t="s">
        <v>171</v>
      </c>
      <c r="I22" s="1" t="s">
        <v>617</v>
      </c>
      <c r="J22" s="1" t="s">
        <v>579</v>
      </c>
      <c r="K22" s="1" t="s">
        <v>580</v>
      </c>
      <c r="L22" s="1">
        <v>3</v>
      </c>
      <c r="M22" s="1">
        <v>5.99</v>
      </c>
      <c r="N22" s="1">
        <v>4</v>
      </c>
      <c r="O22" s="1" t="s">
        <v>580</v>
      </c>
      <c r="P22" s="1" t="s">
        <v>618</v>
      </c>
      <c r="Q22" s="1" t="s">
        <v>582</v>
      </c>
      <c r="R22" s="3">
        <f t="shared" si="0"/>
        <v>1</v>
      </c>
      <c r="S22" s="3">
        <f t="shared" si="1"/>
        <v>-1.9900000000000002</v>
      </c>
      <c r="T22" s="3" t="str">
        <f>IF(A22="","",IF(NOT(AND(COUNTIFS('04-تحلیل شاخص‌ها'!$A$8:$A$1007,A22)=1,AND(COUNTIFS('17-جلسات و دوره‌ها'!$A$8:$A$1007,D22)=1,IFERROR(INDEX('17-جلسات و دوره‌ها'!$B$8:$B$1007,MATCH(D22,'17-جلسات و دوره‌ها'!$A$8:$A$1007,0)),"")=B22,IFERROR(INDEX('17-جلسات و دوره‌ها'!$C$8:$C$1007,MATCH(D22,'17-جلسات و دوره‌ها'!$A$8:$A$1007,0)),"")=C22),COUNTIFS('03-ورودی‌های بازنگری'!$A$8:$A$1007,F22)=1,IFERROR(INDEX('03-ورودی‌های بازنگری'!$D$8:$D$1007,MATCH(F22,'03-ورودی‌های بازنگری'!$A$8:$A$1007,0)),"")=D22)),"رابطه نامعتبر",IF(OR(Q22&lt;&gt;"تأیید شده",NOT(ISNUMBER(L22)),NOT(ISNUMBER(N22)),K22="تأیید نشده",P22=""),"نیازمند تأیید داده و هدف",IF(OR(AND(K22="کمتر بهتر",N22&lt;=L22),AND(K22="بیشتر بهتر",N22&gt;=L22),AND(K22="برابر هدف",N22=L22)),"محقق","محقق نشده"))))</f>
        <v>نیازمند تأیید داده و هدف</v>
      </c>
      <c r="U22" s="3">
        <f>IF(A22="","",COUNTIFS('15-روابط'!$C$8:$C$1007,"ورودی",'15-روابط'!$D$8:$D$1007,F22,'15-روابط'!$E$8:$E$1007,"برنامه مصوب معتبر"))</f>
        <v>0</v>
      </c>
      <c r="V22" s="3" t="str">
        <f t="shared" si="2"/>
        <v>نیازمند تأیید داده و هدف</v>
      </c>
      <c r="W22" s="1" t="s">
        <v>583</v>
      </c>
    </row>
    <row r="23" spans="1:23" ht="36" customHeight="1">
      <c r="A23" s="1" t="s">
        <v>619</v>
      </c>
      <c r="B23" s="1" t="s">
        <v>77</v>
      </c>
      <c r="C23" s="1" t="s">
        <v>80</v>
      </c>
      <c r="D23" s="1" t="s">
        <v>83</v>
      </c>
      <c r="E23" s="1" t="s">
        <v>379</v>
      </c>
      <c r="F23" s="1" t="s">
        <v>412</v>
      </c>
      <c r="G23" s="1" t="s">
        <v>607</v>
      </c>
      <c r="H23" s="1" t="s">
        <v>171</v>
      </c>
      <c r="I23" s="1" t="s">
        <v>620</v>
      </c>
      <c r="J23" s="1" t="s">
        <v>579</v>
      </c>
      <c r="K23" s="1" t="s">
        <v>580</v>
      </c>
      <c r="L23" s="1">
        <v>80</v>
      </c>
      <c r="M23" s="1">
        <v>88</v>
      </c>
      <c r="N23" s="1">
        <v>93</v>
      </c>
      <c r="O23" s="1" t="s">
        <v>580</v>
      </c>
      <c r="P23" s="1" t="s">
        <v>581</v>
      </c>
      <c r="Q23" s="1" t="s">
        <v>582</v>
      </c>
      <c r="R23" s="3">
        <f t="shared" si="0"/>
        <v>13</v>
      </c>
      <c r="S23" s="3">
        <f t="shared" si="1"/>
        <v>5</v>
      </c>
      <c r="T23" s="3" t="str">
        <f>IF(A23="","",IF(NOT(AND(COUNTIFS('04-تحلیل شاخص‌ها'!$A$8:$A$1007,A23)=1,AND(COUNTIFS('17-جلسات و دوره‌ها'!$A$8:$A$1007,D23)=1,IFERROR(INDEX('17-جلسات و دوره‌ها'!$B$8:$B$1007,MATCH(D23,'17-جلسات و دوره‌ها'!$A$8:$A$1007,0)),"")=B23,IFERROR(INDEX('17-جلسات و دوره‌ها'!$C$8:$C$1007,MATCH(D23,'17-جلسات و دوره‌ها'!$A$8:$A$1007,0)),"")=C23),COUNTIFS('03-ورودی‌های بازنگری'!$A$8:$A$1007,F23)=1,IFERROR(INDEX('03-ورودی‌های بازنگری'!$D$8:$D$1007,MATCH(F23,'03-ورودی‌های بازنگری'!$A$8:$A$1007,0)),"")=D23)),"رابطه نامعتبر",IF(OR(Q23&lt;&gt;"تأیید شده",NOT(ISNUMBER(L23)),NOT(ISNUMBER(N23)),K23="تأیید نشده",P23=""),"نیازمند تأیید داده و هدف",IF(OR(AND(K23="کمتر بهتر",N23&lt;=L23),AND(K23="بیشتر بهتر",N23&gt;=L23),AND(K23="برابر هدف",N23=L23)),"محقق","محقق نشده"))))</f>
        <v>نیازمند تأیید داده و هدف</v>
      </c>
      <c r="U23" s="3">
        <f>IF(A23="","",COUNTIFS('15-روابط'!$C$8:$C$1007,"ورودی",'15-روابط'!$D$8:$D$1007,F23,'15-روابط'!$E$8:$E$1007,"برنامه مصوب معتبر"))</f>
        <v>0</v>
      </c>
      <c r="V23" s="3" t="str">
        <f t="shared" si="2"/>
        <v>نیازمند تأیید داده و هدف</v>
      </c>
      <c r="W23" s="1" t="s">
        <v>583</v>
      </c>
    </row>
    <row r="24" spans="1:23" ht="36" customHeight="1">
      <c r="A24" s="1" t="s">
        <v>621</v>
      </c>
      <c r="B24" s="1" t="s">
        <v>77</v>
      </c>
      <c r="C24" s="1" t="s">
        <v>80</v>
      </c>
      <c r="D24" s="1" t="s">
        <v>83</v>
      </c>
      <c r="E24" s="1" t="s">
        <v>379</v>
      </c>
      <c r="F24" s="1" t="s">
        <v>412</v>
      </c>
      <c r="G24" s="1" t="s">
        <v>607</v>
      </c>
      <c r="H24" s="1" t="s">
        <v>171</v>
      </c>
      <c r="I24" s="1" t="s">
        <v>622</v>
      </c>
      <c r="J24" s="1" t="s">
        <v>579</v>
      </c>
      <c r="K24" s="1" t="s">
        <v>580</v>
      </c>
      <c r="L24" s="1">
        <v>6</v>
      </c>
      <c r="M24" s="1">
        <v>4.5</v>
      </c>
      <c r="N24" s="1">
        <v>9</v>
      </c>
      <c r="O24" s="1" t="s">
        <v>580</v>
      </c>
      <c r="P24" s="1" t="s">
        <v>623</v>
      </c>
      <c r="Q24" s="1" t="s">
        <v>582</v>
      </c>
      <c r="R24" s="3">
        <f t="shared" si="0"/>
        <v>3</v>
      </c>
      <c r="S24" s="3">
        <f t="shared" si="1"/>
        <v>4.5</v>
      </c>
      <c r="T24" s="3" t="str">
        <f>IF(A24="","",IF(NOT(AND(COUNTIFS('04-تحلیل شاخص‌ها'!$A$8:$A$1007,A24)=1,AND(COUNTIFS('17-جلسات و دوره‌ها'!$A$8:$A$1007,D24)=1,IFERROR(INDEX('17-جلسات و دوره‌ها'!$B$8:$B$1007,MATCH(D24,'17-جلسات و دوره‌ها'!$A$8:$A$1007,0)),"")=B24,IFERROR(INDEX('17-جلسات و دوره‌ها'!$C$8:$C$1007,MATCH(D24,'17-جلسات و دوره‌ها'!$A$8:$A$1007,0)),"")=C24),COUNTIFS('03-ورودی‌های بازنگری'!$A$8:$A$1007,F24)=1,IFERROR(INDEX('03-ورودی‌های بازنگری'!$D$8:$D$1007,MATCH(F24,'03-ورودی‌های بازنگری'!$A$8:$A$1007,0)),"")=D24)),"رابطه نامعتبر",IF(OR(Q24&lt;&gt;"تأیید شده",NOT(ISNUMBER(L24)),NOT(ISNUMBER(N24)),K24="تأیید نشده",P24=""),"نیازمند تأیید داده و هدف",IF(OR(AND(K24="کمتر بهتر",N24&lt;=L24),AND(K24="بیشتر بهتر",N24&gt;=L24),AND(K24="برابر هدف",N24=L24)),"محقق","محقق نشده"))))</f>
        <v>نیازمند تأیید داده و هدف</v>
      </c>
      <c r="U24" s="3">
        <f>IF(A24="","",COUNTIFS('15-روابط'!$C$8:$C$1007,"ورودی",'15-روابط'!$D$8:$D$1007,F24,'15-روابط'!$E$8:$E$1007,"برنامه مصوب معتبر"))</f>
        <v>0</v>
      </c>
      <c r="V24" s="3" t="str">
        <f t="shared" si="2"/>
        <v>نیازمند تأیید داده و هدف</v>
      </c>
      <c r="W24" s="1" t="s">
        <v>583</v>
      </c>
    </row>
    <row r="25" spans="1:23" ht="36" customHeight="1">
      <c r="A25" s="1" t="s">
        <v>624</v>
      </c>
      <c r="B25" s="1" t="s">
        <v>77</v>
      </c>
      <c r="C25" s="1" t="s">
        <v>80</v>
      </c>
      <c r="D25" s="1" t="s">
        <v>83</v>
      </c>
      <c r="E25" s="1" t="s">
        <v>379</v>
      </c>
      <c r="F25" s="1" t="s">
        <v>412</v>
      </c>
      <c r="G25" s="1" t="s">
        <v>607</v>
      </c>
      <c r="H25" s="1" t="s">
        <v>171</v>
      </c>
      <c r="I25" s="1" t="s">
        <v>625</v>
      </c>
      <c r="J25" s="1" t="s">
        <v>579</v>
      </c>
      <c r="K25" s="1" t="s">
        <v>580</v>
      </c>
      <c r="L25" s="1">
        <v>85</v>
      </c>
      <c r="M25" s="1">
        <v>74</v>
      </c>
      <c r="N25" s="1">
        <v>76</v>
      </c>
      <c r="O25" s="1" t="s">
        <v>580</v>
      </c>
      <c r="P25" s="1" t="s">
        <v>581</v>
      </c>
      <c r="Q25" s="1" t="s">
        <v>582</v>
      </c>
      <c r="R25" s="3">
        <f t="shared" si="0"/>
        <v>-9</v>
      </c>
      <c r="S25" s="3">
        <f t="shared" si="1"/>
        <v>2</v>
      </c>
      <c r="T25" s="3" t="str">
        <f>IF(A25="","",IF(NOT(AND(COUNTIFS('04-تحلیل شاخص‌ها'!$A$8:$A$1007,A25)=1,AND(COUNTIFS('17-جلسات و دوره‌ها'!$A$8:$A$1007,D25)=1,IFERROR(INDEX('17-جلسات و دوره‌ها'!$B$8:$B$1007,MATCH(D25,'17-جلسات و دوره‌ها'!$A$8:$A$1007,0)),"")=B25,IFERROR(INDEX('17-جلسات و دوره‌ها'!$C$8:$C$1007,MATCH(D25,'17-جلسات و دوره‌ها'!$A$8:$A$1007,0)),"")=C25),COUNTIFS('03-ورودی‌های بازنگری'!$A$8:$A$1007,F25)=1,IFERROR(INDEX('03-ورودی‌های بازنگری'!$D$8:$D$1007,MATCH(F25,'03-ورودی‌های بازنگری'!$A$8:$A$1007,0)),"")=D25)),"رابطه نامعتبر",IF(OR(Q25&lt;&gt;"تأیید شده",NOT(ISNUMBER(L25)),NOT(ISNUMBER(N25)),K25="تأیید نشده",P25=""),"نیازمند تأیید داده و هدف",IF(OR(AND(K25="کمتر بهتر",N25&lt;=L25),AND(K25="بیشتر بهتر",N25&gt;=L25),AND(K25="برابر هدف",N25=L25)),"محقق","محقق نشده"))))</f>
        <v>نیازمند تأیید داده و هدف</v>
      </c>
      <c r="U25" s="3">
        <f>IF(A25="","",COUNTIFS('15-روابط'!$C$8:$C$1007,"ورودی",'15-روابط'!$D$8:$D$1007,F25,'15-روابط'!$E$8:$E$1007,"برنامه مصوب معتبر"))</f>
        <v>0</v>
      </c>
      <c r="V25" s="3" t="str">
        <f t="shared" si="2"/>
        <v>نیازمند تأیید داده و هدف</v>
      </c>
      <c r="W25" s="1" t="s">
        <v>583</v>
      </c>
    </row>
    <row r="26" spans="1:23" ht="36" customHeight="1">
      <c r="A26" s="1" t="s">
        <v>626</v>
      </c>
      <c r="B26" s="1" t="s">
        <v>77</v>
      </c>
      <c r="C26" s="1" t="s">
        <v>80</v>
      </c>
      <c r="D26" s="1" t="s">
        <v>83</v>
      </c>
      <c r="E26" s="1" t="s">
        <v>379</v>
      </c>
      <c r="F26" s="1" t="s">
        <v>412</v>
      </c>
      <c r="G26" s="1" t="s">
        <v>607</v>
      </c>
      <c r="H26" s="1" t="s">
        <v>171</v>
      </c>
      <c r="I26" s="1" t="s">
        <v>627</v>
      </c>
      <c r="J26" s="1" t="s">
        <v>579</v>
      </c>
      <c r="K26" s="1" t="s">
        <v>580</v>
      </c>
      <c r="L26" s="1">
        <v>0</v>
      </c>
      <c r="M26" s="1">
        <v>4.97</v>
      </c>
      <c r="N26" s="1">
        <v>2</v>
      </c>
      <c r="O26" s="1" t="s">
        <v>580</v>
      </c>
      <c r="P26" s="1" t="s">
        <v>581</v>
      </c>
      <c r="Q26" s="1" t="s">
        <v>582</v>
      </c>
      <c r="R26" s="3">
        <f t="shared" si="0"/>
        <v>2</v>
      </c>
      <c r="S26" s="3">
        <f t="shared" si="1"/>
        <v>-2.9699999999999998</v>
      </c>
      <c r="T26" s="3" t="str">
        <f>IF(A26="","",IF(NOT(AND(COUNTIFS('04-تحلیل شاخص‌ها'!$A$8:$A$1007,A26)=1,AND(COUNTIFS('17-جلسات و دوره‌ها'!$A$8:$A$1007,D26)=1,IFERROR(INDEX('17-جلسات و دوره‌ها'!$B$8:$B$1007,MATCH(D26,'17-جلسات و دوره‌ها'!$A$8:$A$1007,0)),"")=B26,IFERROR(INDEX('17-جلسات و دوره‌ها'!$C$8:$C$1007,MATCH(D26,'17-جلسات و دوره‌ها'!$A$8:$A$1007,0)),"")=C26),COUNTIFS('03-ورودی‌های بازنگری'!$A$8:$A$1007,F26)=1,IFERROR(INDEX('03-ورودی‌های بازنگری'!$D$8:$D$1007,MATCH(F26,'03-ورودی‌های بازنگری'!$A$8:$A$1007,0)),"")=D26)),"رابطه نامعتبر",IF(OR(Q26&lt;&gt;"تأیید شده",NOT(ISNUMBER(L26)),NOT(ISNUMBER(N26)),K26="تأیید نشده",P26=""),"نیازمند تأیید داده و هدف",IF(OR(AND(K26="کمتر بهتر",N26&lt;=L26),AND(K26="بیشتر بهتر",N26&gt;=L26),AND(K26="برابر هدف",N26=L26)),"محقق","محقق نشده"))))</f>
        <v>نیازمند تأیید داده و هدف</v>
      </c>
      <c r="U26" s="3">
        <f>IF(A26="","",COUNTIFS('15-روابط'!$C$8:$C$1007,"ورودی",'15-روابط'!$D$8:$D$1007,F26,'15-روابط'!$E$8:$E$1007,"برنامه مصوب معتبر"))</f>
        <v>0</v>
      </c>
      <c r="V26" s="3" t="str">
        <f t="shared" si="2"/>
        <v>نیازمند تأیید داده و هدف</v>
      </c>
      <c r="W26" s="1" t="s">
        <v>583</v>
      </c>
    </row>
    <row r="27" spans="1:23" ht="36" customHeight="1">
      <c r="A27" s="1" t="s">
        <v>628</v>
      </c>
      <c r="B27" s="1" t="s">
        <v>77</v>
      </c>
      <c r="C27" s="1" t="s">
        <v>80</v>
      </c>
      <c r="D27" s="1" t="s">
        <v>83</v>
      </c>
      <c r="E27" s="1" t="s">
        <v>379</v>
      </c>
      <c r="F27" s="1" t="s">
        <v>412</v>
      </c>
      <c r="G27" s="1" t="s">
        <v>607</v>
      </c>
      <c r="H27" s="1" t="s">
        <v>171</v>
      </c>
      <c r="I27" s="1" t="s">
        <v>629</v>
      </c>
      <c r="J27" s="1" t="s">
        <v>579</v>
      </c>
      <c r="K27" s="1" t="s">
        <v>580</v>
      </c>
      <c r="L27" s="1">
        <v>0</v>
      </c>
      <c r="M27" s="1">
        <v>0.22</v>
      </c>
      <c r="N27" s="1">
        <v>0.1</v>
      </c>
      <c r="O27" s="1" t="s">
        <v>580</v>
      </c>
      <c r="P27" s="1" t="s">
        <v>581</v>
      </c>
      <c r="Q27" s="1" t="s">
        <v>582</v>
      </c>
      <c r="R27" s="3">
        <f t="shared" si="0"/>
        <v>0.1</v>
      </c>
      <c r="S27" s="3">
        <f t="shared" si="1"/>
        <v>-0.12</v>
      </c>
      <c r="T27" s="3" t="str">
        <f>IF(A27="","",IF(NOT(AND(COUNTIFS('04-تحلیل شاخص‌ها'!$A$8:$A$1007,A27)=1,AND(COUNTIFS('17-جلسات و دوره‌ها'!$A$8:$A$1007,D27)=1,IFERROR(INDEX('17-جلسات و دوره‌ها'!$B$8:$B$1007,MATCH(D27,'17-جلسات و دوره‌ها'!$A$8:$A$1007,0)),"")=B27,IFERROR(INDEX('17-جلسات و دوره‌ها'!$C$8:$C$1007,MATCH(D27,'17-جلسات و دوره‌ها'!$A$8:$A$1007,0)),"")=C27),COUNTIFS('03-ورودی‌های بازنگری'!$A$8:$A$1007,F27)=1,IFERROR(INDEX('03-ورودی‌های بازنگری'!$D$8:$D$1007,MATCH(F27,'03-ورودی‌های بازنگری'!$A$8:$A$1007,0)),"")=D27)),"رابطه نامعتبر",IF(OR(Q27&lt;&gt;"تأیید شده",NOT(ISNUMBER(L27)),NOT(ISNUMBER(N27)),K27="تأیید نشده",P27=""),"نیازمند تأیید داده و هدف",IF(OR(AND(K27="کمتر بهتر",N27&lt;=L27),AND(K27="بیشتر بهتر",N27&gt;=L27),AND(K27="برابر هدف",N27=L27)),"محقق","محقق نشده"))))</f>
        <v>نیازمند تأیید داده و هدف</v>
      </c>
      <c r="U27" s="3">
        <f>IF(A27="","",COUNTIFS('15-روابط'!$C$8:$C$1007,"ورودی",'15-روابط'!$D$8:$D$1007,F27,'15-روابط'!$E$8:$E$1007,"برنامه مصوب معتبر"))</f>
        <v>0</v>
      </c>
      <c r="V27" s="3" t="str">
        <f t="shared" si="2"/>
        <v>نیازمند تأیید داده و هدف</v>
      </c>
      <c r="W27" s="1" t="s">
        <v>583</v>
      </c>
    </row>
    <row r="28" spans="1:23" ht="48" customHeight="1">
      <c r="A28" s="1" t="s">
        <v>630</v>
      </c>
      <c r="B28" s="1" t="s">
        <v>77</v>
      </c>
      <c r="C28" s="1" t="s">
        <v>80</v>
      </c>
      <c r="D28" s="1" t="s">
        <v>83</v>
      </c>
      <c r="E28" s="1" t="s">
        <v>379</v>
      </c>
      <c r="F28" s="1" t="s">
        <v>412</v>
      </c>
      <c r="G28" s="1" t="s">
        <v>607</v>
      </c>
      <c r="H28" s="1" t="s">
        <v>171</v>
      </c>
      <c r="I28" s="1" t="s">
        <v>631</v>
      </c>
      <c r="J28" s="1" t="s">
        <v>579</v>
      </c>
      <c r="K28" s="1" t="s">
        <v>580</v>
      </c>
      <c r="L28" s="1">
        <v>65</v>
      </c>
      <c r="M28" s="1">
        <v>73.69</v>
      </c>
      <c r="N28" s="1">
        <v>75</v>
      </c>
      <c r="O28" s="1" t="s">
        <v>580</v>
      </c>
      <c r="P28" s="1" t="s">
        <v>632</v>
      </c>
      <c r="Q28" s="1" t="s">
        <v>582</v>
      </c>
      <c r="R28" s="3">
        <f t="shared" si="0"/>
        <v>10</v>
      </c>
      <c r="S28" s="3">
        <f t="shared" si="1"/>
        <v>1.3100000000000023</v>
      </c>
      <c r="T28" s="3" t="str">
        <f>IF(A28="","",IF(NOT(AND(COUNTIFS('04-تحلیل شاخص‌ها'!$A$8:$A$1007,A28)=1,AND(COUNTIFS('17-جلسات و دوره‌ها'!$A$8:$A$1007,D28)=1,IFERROR(INDEX('17-جلسات و دوره‌ها'!$B$8:$B$1007,MATCH(D28,'17-جلسات و دوره‌ها'!$A$8:$A$1007,0)),"")=B28,IFERROR(INDEX('17-جلسات و دوره‌ها'!$C$8:$C$1007,MATCH(D28,'17-جلسات و دوره‌ها'!$A$8:$A$1007,0)),"")=C28),COUNTIFS('03-ورودی‌های بازنگری'!$A$8:$A$1007,F28)=1,IFERROR(INDEX('03-ورودی‌های بازنگری'!$D$8:$D$1007,MATCH(F28,'03-ورودی‌های بازنگری'!$A$8:$A$1007,0)),"")=D28)),"رابطه نامعتبر",IF(OR(Q28&lt;&gt;"تأیید شده",NOT(ISNUMBER(L28)),NOT(ISNUMBER(N28)),K28="تأیید نشده",P28=""),"نیازمند تأیید داده و هدف",IF(OR(AND(K28="کمتر بهتر",N28&lt;=L28),AND(K28="بیشتر بهتر",N28&gt;=L28),AND(K28="برابر هدف",N28=L28)),"محقق","محقق نشده"))))</f>
        <v>نیازمند تأیید داده و هدف</v>
      </c>
      <c r="U28" s="3">
        <f>IF(A28="","",COUNTIFS('15-روابط'!$C$8:$C$1007,"ورودی",'15-روابط'!$D$8:$D$1007,F28,'15-روابط'!$E$8:$E$1007,"برنامه مصوب معتبر"))</f>
        <v>0</v>
      </c>
      <c r="V28" s="3" t="str">
        <f t="shared" si="2"/>
        <v>نیازمند تأیید داده و هدف</v>
      </c>
      <c r="W28" s="1" t="s">
        <v>583</v>
      </c>
    </row>
    <row r="29" spans="1:23" ht="36" customHeight="1">
      <c r="A29" s="1" t="s">
        <v>633</v>
      </c>
      <c r="B29" s="1" t="s">
        <v>77</v>
      </c>
      <c r="C29" s="1" t="s">
        <v>80</v>
      </c>
      <c r="D29" s="1" t="s">
        <v>83</v>
      </c>
      <c r="E29" s="1" t="s">
        <v>379</v>
      </c>
      <c r="F29" s="1" t="s">
        <v>412</v>
      </c>
      <c r="G29" s="1" t="s">
        <v>607</v>
      </c>
      <c r="H29" s="1" t="s">
        <v>171</v>
      </c>
      <c r="I29" s="1" t="s">
        <v>634</v>
      </c>
      <c r="J29" s="1" t="s">
        <v>579</v>
      </c>
      <c r="K29" s="1" t="s">
        <v>580</v>
      </c>
      <c r="L29" s="1">
        <v>3</v>
      </c>
      <c r="M29" s="1">
        <v>2.2999999999999998</v>
      </c>
      <c r="N29" s="1">
        <v>2.5</v>
      </c>
      <c r="O29" s="1" t="s">
        <v>580</v>
      </c>
      <c r="P29" s="1" t="s">
        <v>581</v>
      </c>
      <c r="Q29" s="1" t="s">
        <v>582</v>
      </c>
      <c r="R29" s="3">
        <f t="shared" si="0"/>
        <v>-0.5</v>
      </c>
      <c r="S29" s="3">
        <f t="shared" si="1"/>
        <v>0.20000000000000018</v>
      </c>
      <c r="T29" s="3" t="str">
        <f>IF(A29="","",IF(NOT(AND(COUNTIFS('04-تحلیل شاخص‌ها'!$A$8:$A$1007,A29)=1,AND(COUNTIFS('17-جلسات و دوره‌ها'!$A$8:$A$1007,D29)=1,IFERROR(INDEX('17-جلسات و دوره‌ها'!$B$8:$B$1007,MATCH(D29,'17-جلسات و دوره‌ها'!$A$8:$A$1007,0)),"")=B29,IFERROR(INDEX('17-جلسات و دوره‌ها'!$C$8:$C$1007,MATCH(D29,'17-جلسات و دوره‌ها'!$A$8:$A$1007,0)),"")=C29),COUNTIFS('03-ورودی‌های بازنگری'!$A$8:$A$1007,F29)=1,IFERROR(INDEX('03-ورودی‌های بازنگری'!$D$8:$D$1007,MATCH(F29,'03-ورودی‌های بازنگری'!$A$8:$A$1007,0)),"")=D29)),"رابطه نامعتبر",IF(OR(Q29&lt;&gt;"تأیید شده",NOT(ISNUMBER(L29)),NOT(ISNUMBER(N29)),K29="تأیید نشده",P29=""),"نیازمند تأیید داده و هدف",IF(OR(AND(K29="کمتر بهتر",N29&lt;=L29),AND(K29="بیشتر بهتر",N29&gt;=L29),AND(K29="برابر هدف",N29=L29)),"محقق","محقق نشده"))))</f>
        <v>نیازمند تأیید داده و هدف</v>
      </c>
      <c r="U29" s="3">
        <f>IF(A29="","",COUNTIFS('15-روابط'!$C$8:$C$1007,"ورودی",'15-روابط'!$D$8:$D$1007,F29,'15-روابط'!$E$8:$E$1007,"برنامه مصوب معتبر"))</f>
        <v>0</v>
      </c>
      <c r="V29" s="3" t="str">
        <f t="shared" si="2"/>
        <v>نیازمند تأیید داده و هدف</v>
      </c>
      <c r="W29" s="1" t="s">
        <v>583</v>
      </c>
    </row>
    <row r="30" spans="1:23" ht="36" customHeight="1">
      <c r="A30" s="1" t="s">
        <v>635</v>
      </c>
      <c r="B30" s="1" t="s">
        <v>77</v>
      </c>
      <c r="C30" s="1" t="s">
        <v>80</v>
      </c>
      <c r="D30" s="1" t="s">
        <v>83</v>
      </c>
      <c r="E30" s="1" t="s">
        <v>379</v>
      </c>
      <c r="F30" s="1" t="s">
        <v>412</v>
      </c>
      <c r="G30" s="1" t="s">
        <v>607</v>
      </c>
      <c r="H30" s="1" t="s">
        <v>171</v>
      </c>
      <c r="I30" s="1" t="s">
        <v>636</v>
      </c>
      <c r="J30" s="1" t="s">
        <v>579</v>
      </c>
      <c r="K30" s="1" t="s">
        <v>580</v>
      </c>
      <c r="L30" s="1">
        <v>3</v>
      </c>
      <c r="M30" s="1">
        <v>1</v>
      </c>
      <c r="N30" s="1">
        <v>2</v>
      </c>
      <c r="O30" s="1" t="s">
        <v>580</v>
      </c>
      <c r="P30" s="1" t="s">
        <v>637</v>
      </c>
      <c r="Q30" s="1" t="s">
        <v>582</v>
      </c>
      <c r="R30" s="3">
        <f t="shared" si="0"/>
        <v>-1</v>
      </c>
      <c r="S30" s="3">
        <f t="shared" si="1"/>
        <v>1</v>
      </c>
      <c r="T30" s="3" t="str">
        <f>IF(A30="","",IF(NOT(AND(COUNTIFS('04-تحلیل شاخص‌ها'!$A$8:$A$1007,A30)=1,AND(COUNTIFS('17-جلسات و دوره‌ها'!$A$8:$A$1007,D30)=1,IFERROR(INDEX('17-جلسات و دوره‌ها'!$B$8:$B$1007,MATCH(D30,'17-جلسات و دوره‌ها'!$A$8:$A$1007,0)),"")=B30,IFERROR(INDEX('17-جلسات و دوره‌ها'!$C$8:$C$1007,MATCH(D30,'17-جلسات و دوره‌ها'!$A$8:$A$1007,0)),"")=C30),COUNTIFS('03-ورودی‌های بازنگری'!$A$8:$A$1007,F30)=1,IFERROR(INDEX('03-ورودی‌های بازنگری'!$D$8:$D$1007,MATCH(F30,'03-ورودی‌های بازنگری'!$A$8:$A$1007,0)),"")=D30)),"رابطه نامعتبر",IF(OR(Q30&lt;&gt;"تأیید شده",NOT(ISNUMBER(L30)),NOT(ISNUMBER(N30)),K30="تأیید نشده",P30=""),"نیازمند تأیید داده و هدف",IF(OR(AND(K30="کمتر بهتر",N30&lt;=L30),AND(K30="بیشتر بهتر",N30&gt;=L30),AND(K30="برابر هدف",N30=L30)),"محقق","محقق نشده"))))</f>
        <v>نیازمند تأیید داده و هدف</v>
      </c>
      <c r="U30" s="3">
        <f>IF(A30="","",COUNTIFS('15-روابط'!$C$8:$C$1007,"ورودی",'15-روابط'!$D$8:$D$1007,F30,'15-روابط'!$E$8:$E$1007,"برنامه مصوب معتبر"))</f>
        <v>0</v>
      </c>
      <c r="V30" s="3" t="str">
        <f t="shared" si="2"/>
        <v>نیازمند تأیید داده و هدف</v>
      </c>
      <c r="W30" s="1" t="s">
        <v>583</v>
      </c>
    </row>
    <row r="31" spans="1:23" ht="36" customHeight="1">
      <c r="A31" s="1" t="s">
        <v>638</v>
      </c>
      <c r="B31" s="1" t="s">
        <v>77</v>
      </c>
      <c r="C31" s="1" t="s">
        <v>80</v>
      </c>
      <c r="D31" s="1" t="s">
        <v>83</v>
      </c>
      <c r="E31" s="1" t="s">
        <v>379</v>
      </c>
      <c r="F31" s="1" t="s">
        <v>412</v>
      </c>
      <c r="G31" s="1" t="s">
        <v>607</v>
      </c>
      <c r="H31" s="1" t="s">
        <v>171</v>
      </c>
      <c r="I31" s="1" t="s">
        <v>639</v>
      </c>
      <c r="J31" s="1" t="s">
        <v>579</v>
      </c>
      <c r="K31" s="1" t="s">
        <v>580</v>
      </c>
      <c r="L31" s="1">
        <v>100</v>
      </c>
      <c r="M31" s="1">
        <v>97</v>
      </c>
      <c r="N31" s="1">
        <v>98.25</v>
      </c>
      <c r="O31" s="1" t="s">
        <v>580</v>
      </c>
      <c r="P31" s="1" t="s">
        <v>581</v>
      </c>
      <c r="Q31" s="1" t="s">
        <v>582</v>
      </c>
      <c r="R31" s="3">
        <f t="shared" si="0"/>
        <v>-1.75</v>
      </c>
      <c r="S31" s="3">
        <f t="shared" si="1"/>
        <v>1.25</v>
      </c>
      <c r="T31" s="3" t="str">
        <f>IF(A31="","",IF(NOT(AND(COUNTIFS('04-تحلیل شاخص‌ها'!$A$8:$A$1007,A31)=1,AND(COUNTIFS('17-جلسات و دوره‌ها'!$A$8:$A$1007,D31)=1,IFERROR(INDEX('17-جلسات و دوره‌ها'!$B$8:$B$1007,MATCH(D31,'17-جلسات و دوره‌ها'!$A$8:$A$1007,0)),"")=B31,IFERROR(INDEX('17-جلسات و دوره‌ها'!$C$8:$C$1007,MATCH(D31,'17-جلسات و دوره‌ها'!$A$8:$A$1007,0)),"")=C31),COUNTIFS('03-ورودی‌های بازنگری'!$A$8:$A$1007,F31)=1,IFERROR(INDEX('03-ورودی‌های بازنگری'!$D$8:$D$1007,MATCH(F31,'03-ورودی‌های بازنگری'!$A$8:$A$1007,0)),"")=D31)),"رابطه نامعتبر",IF(OR(Q31&lt;&gt;"تأیید شده",NOT(ISNUMBER(L31)),NOT(ISNUMBER(N31)),K31="تأیید نشده",P31=""),"نیازمند تأیید داده و هدف",IF(OR(AND(K31="کمتر بهتر",N31&lt;=L31),AND(K31="بیشتر بهتر",N31&gt;=L31),AND(K31="برابر هدف",N31=L31)),"محقق","محقق نشده"))))</f>
        <v>نیازمند تأیید داده و هدف</v>
      </c>
      <c r="U31" s="3">
        <f>IF(A31="","",COUNTIFS('15-روابط'!$C$8:$C$1007,"ورودی",'15-روابط'!$D$8:$D$1007,F31,'15-روابط'!$E$8:$E$1007,"برنامه مصوب معتبر"))</f>
        <v>0</v>
      </c>
      <c r="V31" s="3" t="str">
        <f t="shared" si="2"/>
        <v>نیازمند تأیید داده و هدف</v>
      </c>
      <c r="W31" s="1" t="s">
        <v>583</v>
      </c>
    </row>
    <row r="32" spans="1:23" ht="36" customHeight="1">
      <c r="A32" s="1" t="s">
        <v>640</v>
      </c>
      <c r="B32" s="1" t="s">
        <v>77</v>
      </c>
      <c r="C32" s="1" t="s">
        <v>80</v>
      </c>
      <c r="D32" s="1" t="s">
        <v>83</v>
      </c>
      <c r="E32" s="1" t="s">
        <v>379</v>
      </c>
      <c r="F32" s="1" t="s">
        <v>412</v>
      </c>
      <c r="G32" s="1" t="s">
        <v>607</v>
      </c>
      <c r="H32" s="1" t="s">
        <v>171</v>
      </c>
      <c r="I32" s="1" t="s">
        <v>641</v>
      </c>
      <c r="J32" s="1" t="s">
        <v>579</v>
      </c>
      <c r="K32" s="1" t="s">
        <v>580</v>
      </c>
      <c r="L32" s="1">
        <v>2100</v>
      </c>
      <c r="M32" s="1">
        <v>1004.63</v>
      </c>
      <c r="N32" s="1">
        <v>1610</v>
      </c>
      <c r="O32" s="1" t="s">
        <v>580</v>
      </c>
      <c r="P32" s="1" t="s">
        <v>581</v>
      </c>
      <c r="Q32" s="1" t="s">
        <v>582</v>
      </c>
      <c r="R32" s="3">
        <f t="shared" si="0"/>
        <v>-490</v>
      </c>
      <c r="S32" s="3">
        <f t="shared" si="1"/>
        <v>605.37</v>
      </c>
      <c r="T32" s="3" t="str">
        <f>IF(A32="","",IF(NOT(AND(COUNTIFS('04-تحلیل شاخص‌ها'!$A$8:$A$1007,A32)=1,AND(COUNTIFS('17-جلسات و دوره‌ها'!$A$8:$A$1007,D32)=1,IFERROR(INDEX('17-جلسات و دوره‌ها'!$B$8:$B$1007,MATCH(D32,'17-جلسات و دوره‌ها'!$A$8:$A$1007,0)),"")=B32,IFERROR(INDEX('17-جلسات و دوره‌ها'!$C$8:$C$1007,MATCH(D32,'17-جلسات و دوره‌ها'!$A$8:$A$1007,0)),"")=C32),COUNTIFS('03-ورودی‌های بازنگری'!$A$8:$A$1007,F32)=1,IFERROR(INDEX('03-ورودی‌های بازنگری'!$D$8:$D$1007,MATCH(F32,'03-ورودی‌های بازنگری'!$A$8:$A$1007,0)),"")=D32)),"رابطه نامعتبر",IF(OR(Q32&lt;&gt;"تأیید شده",NOT(ISNUMBER(L32)),NOT(ISNUMBER(N32)),K32="تأیید نشده",P32=""),"نیازمند تأیید داده و هدف",IF(OR(AND(K32="کمتر بهتر",N32&lt;=L32),AND(K32="بیشتر بهتر",N32&gt;=L32),AND(K32="برابر هدف",N32=L32)),"محقق","محقق نشده"))))</f>
        <v>نیازمند تأیید داده و هدف</v>
      </c>
      <c r="U32" s="3">
        <f>IF(A32="","",COUNTIFS('15-روابط'!$C$8:$C$1007,"ورودی",'15-روابط'!$D$8:$D$1007,F32,'15-روابط'!$E$8:$E$1007,"برنامه مصوب معتبر"))</f>
        <v>0</v>
      </c>
      <c r="V32" s="3" t="str">
        <f t="shared" si="2"/>
        <v>نیازمند تأیید داده و هدف</v>
      </c>
      <c r="W32" s="1" t="s">
        <v>583</v>
      </c>
    </row>
    <row r="33" spans="1:23" ht="36" customHeight="1">
      <c r="A33" s="1" t="s">
        <v>642</v>
      </c>
      <c r="B33" s="1" t="s">
        <v>77</v>
      </c>
      <c r="C33" s="1" t="s">
        <v>80</v>
      </c>
      <c r="D33" s="1" t="s">
        <v>83</v>
      </c>
      <c r="E33" s="1" t="s">
        <v>379</v>
      </c>
      <c r="F33" s="1" t="s">
        <v>412</v>
      </c>
      <c r="G33" s="1" t="s">
        <v>607</v>
      </c>
      <c r="H33" s="1" t="s">
        <v>171</v>
      </c>
      <c r="I33" s="1" t="s">
        <v>643</v>
      </c>
      <c r="J33" s="1" t="s">
        <v>579</v>
      </c>
      <c r="K33" s="1" t="s">
        <v>580</v>
      </c>
      <c r="L33" s="1">
        <v>4000</v>
      </c>
      <c r="M33" s="1">
        <v>6959</v>
      </c>
      <c r="N33" s="1">
        <v>3727</v>
      </c>
      <c r="O33" s="1" t="s">
        <v>580</v>
      </c>
      <c r="P33" s="1" t="s">
        <v>644</v>
      </c>
      <c r="Q33" s="1" t="s">
        <v>582</v>
      </c>
      <c r="R33" s="3">
        <f t="shared" si="0"/>
        <v>-273</v>
      </c>
      <c r="S33" s="3">
        <f t="shared" si="1"/>
        <v>-3232</v>
      </c>
      <c r="T33" s="3" t="str">
        <f>IF(A33="","",IF(NOT(AND(COUNTIFS('04-تحلیل شاخص‌ها'!$A$8:$A$1007,A33)=1,AND(COUNTIFS('17-جلسات و دوره‌ها'!$A$8:$A$1007,D33)=1,IFERROR(INDEX('17-جلسات و دوره‌ها'!$B$8:$B$1007,MATCH(D33,'17-جلسات و دوره‌ها'!$A$8:$A$1007,0)),"")=B33,IFERROR(INDEX('17-جلسات و دوره‌ها'!$C$8:$C$1007,MATCH(D33,'17-جلسات و دوره‌ها'!$A$8:$A$1007,0)),"")=C33),COUNTIFS('03-ورودی‌های بازنگری'!$A$8:$A$1007,F33)=1,IFERROR(INDEX('03-ورودی‌های بازنگری'!$D$8:$D$1007,MATCH(F33,'03-ورودی‌های بازنگری'!$A$8:$A$1007,0)),"")=D33)),"رابطه نامعتبر",IF(OR(Q33&lt;&gt;"تأیید شده",NOT(ISNUMBER(L33)),NOT(ISNUMBER(N33)),K33="تأیید نشده",P33=""),"نیازمند تأیید داده و هدف",IF(OR(AND(K33="کمتر بهتر",N33&lt;=L33),AND(K33="بیشتر بهتر",N33&gt;=L33),AND(K33="برابر هدف",N33=L33)),"محقق","محقق نشده"))))</f>
        <v>نیازمند تأیید داده و هدف</v>
      </c>
      <c r="U33" s="3">
        <f>IF(A33="","",COUNTIFS('15-روابط'!$C$8:$C$1007,"ورودی",'15-روابط'!$D$8:$D$1007,F33,'15-روابط'!$E$8:$E$1007,"برنامه مصوب معتبر"))</f>
        <v>0</v>
      </c>
      <c r="V33" s="3" t="str">
        <f t="shared" si="2"/>
        <v>نیازمند تأیید داده و هدف</v>
      </c>
      <c r="W33" s="1" t="s">
        <v>583</v>
      </c>
    </row>
    <row r="34" spans="1:23" ht="48" customHeight="1">
      <c r="A34" s="1" t="s">
        <v>645</v>
      </c>
      <c r="B34" s="1" t="s">
        <v>77</v>
      </c>
      <c r="C34" s="1" t="s">
        <v>80</v>
      </c>
      <c r="D34" s="1" t="s">
        <v>83</v>
      </c>
      <c r="E34" s="1" t="s">
        <v>379</v>
      </c>
      <c r="F34" s="1" t="s">
        <v>412</v>
      </c>
      <c r="G34" s="1" t="s">
        <v>607</v>
      </c>
      <c r="H34" s="1" t="s">
        <v>171</v>
      </c>
      <c r="I34" s="1" t="s">
        <v>646</v>
      </c>
      <c r="J34" s="1" t="s">
        <v>579</v>
      </c>
      <c r="K34" s="1" t="s">
        <v>580</v>
      </c>
      <c r="L34" s="1">
        <v>400</v>
      </c>
      <c r="M34" s="1">
        <v>203.82</v>
      </c>
      <c r="N34" s="1">
        <v>586.59</v>
      </c>
      <c r="O34" s="1" t="s">
        <v>580</v>
      </c>
      <c r="P34" s="1" t="s">
        <v>647</v>
      </c>
      <c r="Q34" s="1" t="s">
        <v>582</v>
      </c>
      <c r="R34" s="3">
        <f t="shared" si="0"/>
        <v>186.59000000000003</v>
      </c>
      <c r="S34" s="3">
        <f t="shared" si="1"/>
        <v>382.77000000000004</v>
      </c>
      <c r="T34" s="3" t="str">
        <f>IF(A34="","",IF(NOT(AND(COUNTIFS('04-تحلیل شاخص‌ها'!$A$8:$A$1007,A34)=1,AND(COUNTIFS('17-جلسات و دوره‌ها'!$A$8:$A$1007,D34)=1,IFERROR(INDEX('17-جلسات و دوره‌ها'!$B$8:$B$1007,MATCH(D34,'17-جلسات و دوره‌ها'!$A$8:$A$1007,0)),"")=B34,IFERROR(INDEX('17-جلسات و دوره‌ها'!$C$8:$C$1007,MATCH(D34,'17-جلسات و دوره‌ها'!$A$8:$A$1007,0)),"")=C34),COUNTIFS('03-ورودی‌های بازنگری'!$A$8:$A$1007,F34)=1,IFERROR(INDEX('03-ورودی‌های بازنگری'!$D$8:$D$1007,MATCH(F34,'03-ورودی‌های بازنگری'!$A$8:$A$1007,0)),"")=D34)),"رابطه نامعتبر",IF(OR(Q34&lt;&gt;"تأیید شده",NOT(ISNUMBER(L34)),NOT(ISNUMBER(N34)),K34="تأیید نشده",P34=""),"نیازمند تأیید داده و هدف",IF(OR(AND(K34="کمتر بهتر",N34&lt;=L34),AND(K34="بیشتر بهتر",N34&gt;=L34),AND(K34="برابر هدف",N34=L34)),"محقق","محقق نشده"))))</f>
        <v>نیازمند تأیید داده و هدف</v>
      </c>
      <c r="U34" s="3">
        <f>IF(A34="","",COUNTIFS('15-روابط'!$C$8:$C$1007,"ورودی",'15-روابط'!$D$8:$D$1007,F34,'15-روابط'!$E$8:$E$1007,"برنامه مصوب معتبر"))</f>
        <v>0</v>
      </c>
      <c r="V34" s="3" t="str">
        <f t="shared" si="2"/>
        <v>نیازمند تأیید داده و هدف</v>
      </c>
      <c r="W34" s="1" t="s">
        <v>583</v>
      </c>
    </row>
    <row r="35" spans="1:23" ht="36" customHeight="1">
      <c r="A35" s="1" t="s">
        <v>648</v>
      </c>
      <c r="B35" s="1" t="s">
        <v>77</v>
      </c>
      <c r="C35" s="1" t="s">
        <v>80</v>
      </c>
      <c r="D35" s="1" t="s">
        <v>83</v>
      </c>
      <c r="E35" s="1" t="s">
        <v>379</v>
      </c>
      <c r="F35" s="1" t="s">
        <v>412</v>
      </c>
      <c r="G35" s="1" t="s">
        <v>607</v>
      </c>
      <c r="H35" s="1" t="s">
        <v>171</v>
      </c>
      <c r="I35" s="1" t="s">
        <v>649</v>
      </c>
      <c r="J35" s="1" t="s">
        <v>579</v>
      </c>
      <c r="K35" s="1" t="s">
        <v>580</v>
      </c>
      <c r="L35" s="1">
        <v>92</v>
      </c>
      <c r="M35" s="1">
        <v>82.29</v>
      </c>
      <c r="N35" s="1">
        <v>87.68</v>
      </c>
      <c r="O35" s="1" t="s">
        <v>580</v>
      </c>
      <c r="P35" s="1" t="s">
        <v>650</v>
      </c>
      <c r="Q35" s="1" t="s">
        <v>582</v>
      </c>
      <c r="R35" s="3">
        <f t="shared" si="0"/>
        <v>-4.3199999999999932</v>
      </c>
      <c r="S35" s="3">
        <f t="shared" si="1"/>
        <v>5.3900000000000006</v>
      </c>
      <c r="T35" s="3" t="str">
        <f>IF(A35="","",IF(NOT(AND(COUNTIFS('04-تحلیل شاخص‌ها'!$A$8:$A$1007,A35)=1,AND(COUNTIFS('17-جلسات و دوره‌ها'!$A$8:$A$1007,D35)=1,IFERROR(INDEX('17-جلسات و دوره‌ها'!$B$8:$B$1007,MATCH(D35,'17-جلسات و دوره‌ها'!$A$8:$A$1007,0)),"")=B35,IFERROR(INDEX('17-جلسات و دوره‌ها'!$C$8:$C$1007,MATCH(D35,'17-جلسات و دوره‌ها'!$A$8:$A$1007,0)),"")=C35),COUNTIFS('03-ورودی‌های بازنگری'!$A$8:$A$1007,F35)=1,IFERROR(INDEX('03-ورودی‌های بازنگری'!$D$8:$D$1007,MATCH(F35,'03-ورودی‌های بازنگری'!$A$8:$A$1007,0)),"")=D35)),"رابطه نامعتبر",IF(OR(Q35&lt;&gt;"تأیید شده",NOT(ISNUMBER(L35)),NOT(ISNUMBER(N35)),K35="تأیید نشده",P35=""),"نیازمند تأیید داده و هدف",IF(OR(AND(K35="کمتر بهتر",N35&lt;=L35),AND(K35="بیشتر بهتر",N35&gt;=L35),AND(K35="برابر هدف",N35=L35)),"محقق","محقق نشده"))))</f>
        <v>نیازمند تأیید داده و هدف</v>
      </c>
      <c r="U35" s="3">
        <f>IF(A35="","",COUNTIFS('15-روابط'!$C$8:$C$1007,"ورودی",'15-روابط'!$D$8:$D$1007,F35,'15-روابط'!$E$8:$E$1007,"برنامه مصوب معتبر"))</f>
        <v>0</v>
      </c>
      <c r="V35" s="3" t="str">
        <f t="shared" si="2"/>
        <v>نیازمند تأیید داده و هدف</v>
      </c>
      <c r="W35" s="1" t="s">
        <v>583</v>
      </c>
    </row>
    <row r="36" spans="1:23" ht="36" customHeight="1">
      <c r="A36" s="1" t="s">
        <v>651</v>
      </c>
      <c r="B36" s="1" t="s">
        <v>77</v>
      </c>
      <c r="C36" s="1" t="s">
        <v>80</v>
      </c>
      <c r="D36" s="1" t="s">
        <v>83</v>
      </c>
      <c r="E36" s="1" t="s">
        <v>379</v>
      </c>
      <c r="F36" s="1" t="s">
        <v>412</v>
      </c>
      <c r="G36" s="1" t="s">
        <v>607</v>
      </c>
      <c r="H36" s="1" t="s">
        <v>171</v>
      </c>
      <c r="I36" s="1" t="s">
        <v>652</v>
      </c>
      <c r="J36" s="1" t="s">
        <v>579</v>
      </c>
      <c r="K36" s="1" t="s">
        <v>580</v>
      </c>
      <c r="L36" s="1">
        <v>0</v>
      </c>
      <c r="M36" s="1">
        <v>9.8800000000000008</v>
      </c>
      <c r="N36" s="1">
        <v>7.21</v>
      </c>
      <c r="O36" s="1" t="s">
        <v>580</v>
      </c>
      <c r="P36" s="1" t="s">
        <v>581</v>
      </c>
      <c r="Q36" s="1" t="s">
        <v>582</v>
      </c>
      <c r="R36" s="3">
        <f t="shared" si="0"/>
        <v>7.21</v>
      </c>
      <c r="S36" s="3">
        <f t="shared" si="1"/>
        <v>-2.6700000000000008</v>
      </c>
      <c r="T36" s="3" t="str">
        <f>IF(A36="","",IF(NOT(AND(COUNTIFS('04-تحلیل شاخص‌ها'!$A$8:$A$1007,A36)=1,AND(COUNTIFS('17-جلسات و دوره‌ها'!$A$8:$A$1007,D36)=1,IFERROR(INDEX('17-جلسات و دوره‌ها'!$B$8:$B$1007,MATCH(D36,'17-جلسات و دوره‌ها'!$A$8:$A$1007,0)),"")=B36,IFERROR(INDEX('17-جلسات و دوره‌ها'!$C$8:$C$1007,MATCH(D36,'17-جلسات و دوره‌ها'!$A$8:$A$1007,0)),"")=C36),COUNTIFS('03-ورودی‌های بازنگری'!$A$8:$A$1007,F36)=1,IFERROR(INDEX('03-ورودی‌های بازنگری'!$D$8:$D$1007,MATCH(F36,'03-ورودی‌های بازنگری'!$A$8:$A$1007,0)),"")=D36)),"رابطه نامعتبر",IF(OR(Q36&lt;&gt;"تأیید شده",NOT(ISNUMBER(L36)),NOT(ISNUMBER(N36)),K36="تأیید نشده",P36=""),"نیازمند تأیید داده و هدف",IF(OR(AND(K36="کمتر بهتر",N36&lt;=L36),AND(K36="بیشتر بهتر",N36&gt;=L36),AND(K36="برابر هدف",N36=L36)),"محقق","محقق نشده"))))</f>
        <v>نیازمند تأیید داده و هدف</v>
      </c>
      <c r="U36" s="3">
        <f>IF(A36="","",COUNTIFS('15-روابط'!$C$8:$C$1007,"ورودی",'15-روابط'!$D$8:$D$1007,F36,'15-روابط'!$E$8:$E$1007,"برنامه مصوب معتبر"))</f>
        <v>0</v>
      </c>
      <c r="V36" s="3" t="str">
        <f t="shared" si="2"/>
        <v>نیازمند تأیید داده و هدف</v>
      </c>
      <c r="W36" s="1" t="s">
        <v>583</v>
      </c>
    </row>
    <row r="37" spans="1:23" ht="36" customHeight="1">
      <c r="A37" s="1" t="s">
        <v>653</v>
      </c>
      <c r="B37" s="1" t="s">
        <v>77</v>
      </c>
      <c r="C37" s="1" t="s">
        <v>80</v>
      </c>
      <c r="D37" s="1" t="s">
        <v>83</v>
      </c>
      <c r="E37" s="1" t="s">
        <v>379</v>
      </c>
      <c r="F37" s="1" t="s">
        <v>412</v>
      </c>
      <c r="G37" s="1" t="s">
        <v>607</v>
      </c>
      <c r="H37" s="1" t="s">
        <v>171</v>
      </c>
      <c r="I37" s="1" t="s">
        <v>654</v>
      </c>
      <c r="J37" s="1" t="s">
        <v>579</v>
      </c>
      <c r="K37" s="1" t="s">
        <v>580</v>
      </c>
      <c r="L37" s="1">
        <v>600</v>
      </c>
      <c r="M37" s="1">
        <v>1577</v>
      </c>
      <c r="N37" s="1">
        <v>951.83</v>
      </c>
      <c r="O37" s="1" t="s">
        <v>580</v>
      </c>
      <c r="P37" s="1" t="s">
        <v>655</v>
      </c>
      <c r="Q37" s="1" t="s">
        <v>582</v>
      </c>
      <c r="R37" s="3">
        <f t="shared" si="0"/>
        <v>351.83000000000004</v>
      </c>
      <c r="S37" s="3">
        <f t="shared" si="1"/>
        <v>-625.16999999999996</v>
      </c>
      <c r="T37" s="3" t="str">
        <f>IF(A37="","",IF(NOT(AND(COUNTIFS('04-تحلیل شاخص‌ها'!$A$8:$A$1007,A37)=1,AND(COUNTIFS('17-جلسات و دوره‌ها'!$A$8:$A$1007,D37)=1,IFERROR(INDEX('17-جلسات و دوره‌ها'!$B$8:$B$1007,MATCH(D37,'17-جلسات و دوره‌ها'!$A$8:$A$1007,0)),"")=B37,IFERROR(INDEX('17-جلسات و دوره‌ها'!$C$8:$C$1007,MATCH(D37,'17-جلسات و دوره‌ها'!$A$8:$A$1007,0)),"")=C37),COUNTIFS('03-ورودی‌های بازنگری'!$A$8:$A$1007,F37)=1,IFERROR(INDEX('03-ورودی‌های بازنگری'!$D$8:$D$1007,MATCH(F37,'03-ورودی‌های بازنگری'!$A$8:$A$1007,0)),"")=D37)),"رابطه نامعتبر",IF(OR(Q37&lt;&gt;"تأیید شده",NOT(ISNUMBER(L37)),NOT(ISNUMBER(N37)),K37="تأیید نشده",P37=""),"نیازمند تأیید داده و هدف",IF(OR(AND(K37="کمتر بهتر",N37&lt;=L37),AND(K37="بیشتر بهتر",N37&gt;=L37),AND(K37="برابر هدف",N37=L37)),"محقق","محقق نشده"))))</f>
        <v>نیازمند تأیید داده و هدف</v>
      </c>
      <c r="U37" s="3">
        <f>IF(A37="","",COUNTIFS('15-روابط'!$C$8:$C$1007,"ورودی",'15-روابط'!$D$8:$D$1007,F37,'15-روابط'!$E$8:$E$1007,"برنامه مصوب معتبر"))</f>
        <v>0</v>
      </c>
      <c r="V37" s="3" t="str">
        <f t="shared" si="2"/>
        <v>نیازمند تأیید داده و هدف</v>
      </c>
      <c r="W37" s="1" t="s">
        <v>583</v>
      </c>
    </row>
    <row r="38" spans="1:23" ht="36" customHeight="1">
      <c r="A38" s="1" t="s">
        <v>656</v>
      </c>
      <c r="B38" s="1" t="s">
        <v>77</v>
      </c>
      <c r="C38" s="1" t="s">
        <v>80</v>
      </c>
      <c r="D38" s="1" t="s">
        <v>83</v>
      </c>
      <c r="E38" s="1" t="s">
        <v>379</v>
      </c>
      <c r="F38" s="1" t="s">
        <v>412</v>
      </c>
      <c r="G38" s="1" t="s">
        <v>607</v>
      </c>
      <c r="H38" s="1" t="s">
        <v>171</v>
      </c>
      <c r="I38" s="1" t="s">
        <v>657</v>
      </c>
      <c r="J38" s="1" t="s">
        <v>579</v>
      </c>
      <c r="K38" s="1" t="s">
        <v>580</v>
      </c>
      <c r="L38" s="1">
        <v>0</v>
      </c>
      <c r="M38" s="1">
        <v>0</v>
      </c>
      <c r="N38" s="1">
        <v>0</v>
      </c>
      <c r="O38" s="1" t="s">
        <v>580</v>
      </c>
      <c r="P38" s="1" t="s">
        <v>581</v>
      </c>
      <c r="Q38" s="1" t="s">
        <v>582</v>
      </c>
      <c r="R38" s="3">
        <f t="shared" si="0"/>
        <v>0</v>
      </c>
      <c r="S38" s="3">
        <f t="shared" si="1"/>
        <v>0</v>
      </c>
      <c r="T38" s="3" t="str">
        <f>IF(A38="","",IF(NOT(AND(COUNTIFS('04-تحلیل شاخص‌ها'!$A$8:$A$1007,A38)=1,AND(COUNTIFS('17-جلسات و دوره‌ها'!$A$8:$A$1007,D38)=1,IFERROR(INDEX('17-جلسات و دوره‌ها'!$B$8:$B$1007,MATCH(D38,'17-جلسات و دوره‌ها'!$A$8:$A$1007,0)),"")=B38,IFERROR(INDEX('17-جلسات و دوره‌ها'!$C$8:$C$1007,MATCH(D38,'17-جلسات و دوره‌ها'!$A$8:$A$1007,0)),"")=C38),COUNTIFS('03-ورودی‌های بازنگری'!$A$8:$A$1007,F38)=1,IFERROR(INDEX('03-ورودی‌های بازنگری'!$D$8:$D$1007,MATCH(F38,'03-ورودی‌های بازنگری'!$A$8:$A$1007,0)),"")=D38)),"رابطه نامعتبر",IF(OR(Q38&lt;&gt;"تأیید شده",NOT(ISNUMBER(L38)),NOT(ISNUMBER(N38)),K38="تأیید نشده",P38=""),"نیازمند تأیید داده و هدف",IF(OR(AND(K38="کمتر بهتر",N38&lt;=L38),AND(K38="بیشتر بهتر",N38&gt;=L38),AND(K38="برابر هدف",N38=L38)),"محقق","محقق نشده"))))</f>
        <v>نیازمند تأیید داده و هدف</v>
      </c>
      <c r="U38" s="3">
        <f>IF(A38="","",COUNTIFS('15-روابط'!$C$8:$C$1007,"ورودی",'15-روابط'!$D$8:$D$1007,F38,'15-روابط'!$E$8:$E$1007,"برنامه مصوب معتبر"))</f>
        <v>0</v>
      </c>
      <c r="V38" s="3" t="str">
        <f t="shared" si="2"/>
        <v>نیازمند تأیید داده و هدف</v>
      </c>
      <c r="W38" s="1" t="s">
        <v>583</v>
      </c>
    </row>
    <row r="39" spans="1:23" ht="36" customHeight="1">
      <c r="A39" s="1" t="s">
        <v>658</v>
      </c>
      <c r="B39" s="1" t="s">
        <v>77</v>
      </c>
      <c r="C39" s="1" t="s">
        <v>80</v>
      </c>
      <c r="D39" s="1" t="s">
        <v>83</v>
      </c>
      <c r="E39" s="1" t="s">
        <v>379</v>
      </c>
      <c r="F39" s="1" t="s">
        <v>412</v>
      </c>
      <c r="G39" s="1" t="s">
        <v>607</v>
      </c>
      <c r="H39" s="1" t="s">
        <v>171</v>
      </c>
      <c r="I39" s="1" t="s">
        <v>659</v>
      </c>
      <c r="J39" s="1" t="s">
        <v>579</v>
      </c>
      <c r="K39" s="1" t="s">
        <v>580</v>
      </c>
      <c r="L39" s="1">
        <v>100</v>
      </c>
      <c r="M39" s="1">
        <v>85.26</v>
      </c>
      <c r="N39" s="1">
        <v>90.87</v>
      </c>
      <c r="O39" s="1" t="s">
        <v>580</v>
      </c>
      <c r="P39" s="1" t="s">
        <v>581</v>
      </c>
      <c r="Q39" s="1" t="s">
        <v>582</v>
      </c>
      <c r="R39" s="3">
        <f t="shared" si="0"/>
        <v>-9.1299999999999955</v>
      </c>
      <c r="S39" s="3">
        <f t="shared" si="1"/>
        <v>5.6099999999999994</v>
      </c>
      <c r="T39" s="3" t="str">
        <f>IF(A39="","",IF(NOT(AND(COUNTIFS('04-تحلیل شاخص‌ها'!$A$8:$A$1007,A39)=1,AND(COUNTIFS('17-جلسات و دوره‌ها'!$A$8:$A$1007,D39)=1,IFERROR(INDEX('17-جلسات و دوره‌ها'!$B$8:$B$1007,MATCH(D39,'17-جلسات و دوره‌ها'!$A$8:$A$1007,0)),"")=B39,IFERROR(INDEX('17-جلسات و دوره‌ها'!$C$8:$C$1007,MATCH(D39,'17-جلسات و دوره‌ها'!$A$8:$A$1007,0)),"")=C39),COUNTIFS('03-ورودی‌های بازنگری'!$A$8:$A$1007,F39)=1,IFERROR(INDEX('03-ورودی‌های بازنگری'!$D$8:$D$1007,MATCH(F39,'03-ورودی‌های بازنگری'!$A$8:$A$1007,0)),"")=D39)),"رابطه نامعتبر",IF(OR(Q39&lt;&gt;"تأیید شده",NOT(ISNUMBER(L39)),NOT(ISNUMBER(N39)),K39="تأیید نشده",P39=""),"نیازمند تأیید داده و هدف",IF(OR(AND(K39="کمتر بهتر",N39&lt;=L39),AND(K39="بیشتر بهتر",N39&gt;=L39),AND(K39="برابر هدف",N39=L39)),"محقق","محقق نشده"))))</f>
        <v>نیازمند تأیید داده و هدف</v>
      </c>
      <c r="U39" s="3">
        <f>IF(A39="","",COUNTIFS('15-روابط'!$C$8:$C$1007,"ورودی",'15-روابط'!$D$8:$D$1007,F39,'15-روابط'!$E$8:$E$1007,"برنامه مصوب معتبر"))</f>
        <v>0</v>
      </c>
      <c r="V39" s="3" t="str">
        <f t="shared" si="2"/>
        <v>نیازمند تأیید داده و هدف</v>
      </c>
      <c r="W39" s="1" t="s">
        <v>583</v>
      </c>
    </row>
    <row r="40" spans="1:23" ht="36" customHeight="1">
      <c r="A40" s="1" t="s">
        <v>660</v>
      </c>
      <c r="B40" s="1" t="s">
        <v>77</v>
      </c>
      <c r="C40" s="1" t="s">
        <v>80</v>
      </c>
      <c r="D40" s="1" t="s">
        <v>83</v>
      </c>
      <c r="E40" s="1" t="s">
        <v>379</v>
      </c>
      <c r="F40" s="1" t="s">
        <v>412</v>
      </c>
      <c r="G40" s="1" t="s">
        <v>607</v>
      </c>
      <c r="H40" s="1" t="s">
        <v>171</v>
      </c>
      <c r="I40" s="1" t="s">
        <v>661</v>
      </c>
      <c r="J40" s="1" t="s">
        <v>579</v>
      </c>
      <c r="K40" s="1" t="s">
        <v>580</v>
      </c>
      <c r="L40" s="1">
        <v>600</v>
      </c>
      <c r="M40" s="1">
        <v>547</v>
      </c>
      <c r="N40" s="1">
        <v>703.92</v>
      </c>
      <c r="O40" s="1" t="s">
        <v>580</v>
      </c>
      <c r="P40" s="1" t="s">
        <v>662</v>
      </c>
      <c r="Q40" s="1" t="s">
        <v>582</v>
      </c>
      <c r="R40" s="3">
        <f t="shared" ref="R40:R60" si="3">IF(A40="","",IF(AND(ISNUMBER(N40),ISNUMBER(L40)),N40-L40,""))</f>
        <v>103.91999999999996</v>
      </c>
      <c r="S40" s="3">
        <f t="shared" ref="S40:S60" si="4">IF(A40="","",IF(AND(ISNUMBER(N40),ISNUMBER(M40)),N40-M40,""))</f>
        <v>156.91999999999996</v>
      </c>
      <c r="T40" s="3" t="str">
        <f>IF(A40="","",IF(NOT(AND(COUNTIFS('04-تحلیل شاخص‌ها'!$A$8:$A$1007,A40)=1,AND(COUNTIFS('17-جلسات و دوره‌ها'!$A$8:$A$1007,D40)=1,IFERROR(INDEX('17-جلسات و دوره‌ها'!$B$8:$B$1007,MATCH(D40,'17-جلسات و دوره‌ها'!$A$8:$A$1007,0)),"")=B40,IFERROR(INDEX('17-جلسات و دوره‌ها'!$C$8:$C$1007,MATCH(D40,'17-جلسات و دوره‌ها'!$A$8:$A$1007,0)),"")=C40),COUNTIFS('03-ورودی‌های بازنگری'!$A$8:$A$1007,F40)=1,IFERROR(INDEX('03-ورودی‌های بازنگری'!$D$8:$D$1007,MATCH(F40,'03-ورودی‌های بازنگری'!$A$8:$A$1007,0)),"")=D40)),"رابطه نامعتبر",IF(OR(Q40&lt;&gt;"تأیید شده",NOT(ISNUMBER(L40)),NOT(ISNUMBER(N40)),K40="تأیید نشده",P40=""),"نیازمند تأیید داده و هدف",IF(OR(AND(K40="کمتر بهتر",N40&lt;=L40),AND(K40="بیشتر بهتر",N40&gt;=L40),AND(K40="برابر هدف",N40=L40)),"محقق","محقق نشده"))))</f>
        <v>نیازمند تأیید داده و هدف</v>
      </c>
      <c r="U40" s="3">
        <f>IF(A40="","",COUNTIFS('15-روابط'!$C$8:$C$1007,"ورودی",'15-روابط'!$D$8:$D$1007,F40,'15-روابط'!$E$8:$E$1007,"برنامه مصوب معتبر"))</f>
        <v>0</v>
      </c>
      <c r="V40" s="3" t="str">
        <f t="shared" ref="V40:V71" si="5">IF(A40="","",IF(T40&lt;&gt;"محقق نشده",T40,IF(O40="مشتری",IF(U40=0,"IATF: هدف مشتری؛ برنامه مصوب ندارد","برنامه مشتری ثبت شده؛ پایش اجرا لازم"),IF(O40="محیط‌زیستی",IF(U40=0,"هدف محیط‌زیستی؛ تعیین اقدام لازم","اقدام محیط‌زیستی ثبت شده"),"عدم تحقق؛ بررسی مدیریت لازم"))))</f>
        <v>نیازمند تأیید داده و هدف</v>
      </c>
      <c r="W40" s="1" t="s">
        <v>583</v>
      </c>
    </row>
    <row r="41" spans="1:23" ht="36" customHeight="1">
      <c r="A41" s="1" t="s">
        <v>663</v>
      </c>
      <c r="B41" s="1" t="s">
        <v>77</v>
      </c>
      <c r="C41" s="1" t="s">
        <v>80</v>
      </c>
      <c r="D41" s="1" t="s">
        <v>83</v>
      </c>
      <c r="E41" s="1" t="s">
        <v>379</v>
      </c>
      <c r="F41" s="1" t="s">
        <v>412</v>
      </c>
      <c r="G41" s="1" t="s">
        <v>607</v>
      </c>
      <c r="H41" s="1" t="s">
        <v>171</v>
      </c>
      <c r="I41" s="1" t="s">
        <v>664</v>
      </c>
      <c r="J41" s="1" t="s">
        <v>579</v>
      </c>
      <c r="K41" s="1" t="s">
        <v>580</v>
      </c>
      <c r="L41" s="1">
        <v>0</v>
      </c>
      <c r="M41" s="1">
        <v>0</v>
      </c>
      <c r="N41" s="1">
        <v>0</v>
      </c>
      <c r="O41" s="1" t="s">
        <v>580</v>
      </c>
      <c r="P41" s="1" t="s">
        <v>581</v>
      </c>
      <c r="Q41" s="1" t="s">
        <v>582</v>
      </c>
      <c r="R41" s="3">
        <f t="shared" si="3"/>
        <v>0</v>
      </c>
      <c r="S41" s="3">
        <f t="shared" si="4"/>
        <v>0</v>
      </c>
      <c r="T41" s="3" t="str">
        <f>IF(A41="","",IF(NOT(AND(COUNTIFS('04-تحلیل شاخص‌ها'!$A$8:$A$1007,A41)=1,AND(COUNTIFS('17-جلسات و دوره‌ها'!$A$8:$A$1007,D41)=1,IFERROR(INDEX('17-جلسات و دوره‌ها'!$B$8:$B$1007,MATCH(D41,'17-جلسات و دوره‌ها'!$A$8:$A$1007,0)),"")=B41,IFERROR(INDEX('17-جلسات و دوره‌ها'!$C$8:$C$1007,MATCH(D41,'17-جلسات و دوره‌ها'!$A$8:$A$1007,0)),"")=C41),COUNTIFS('03-ورودی‌های بازنگری'!$A$8:$A$1007,F41)=1,IFERROR(INDEX('03-ورودی‌های بازنگری'!$D$8:$D$1007,MATCH(F41,'03-ورودی‌های بازنگری'!$A$8:$A$1007,0)),"")=D41)),"رابطه نامعتبر",IF(OR(Q41&lt;&gt;"تأیید شده",NOT(ISNUMBER(L41)),NOT(ISNUMBER(N41)),K41="تأیید نشده",P41=""),"نیازمند تأیید داده و هدف",IF(OR(AND(K41="کمتر بهتر",N41&lt;=L41),AND(K41="بیشتر بهتر",N41&gt;=L41),AND(K41="برابر هدف",N41=L41)),"محقق","محقق نشده"))))</f>
        <v>نیازمند تأیید داده و هدف</v>
      </c>
      <c r="U41" s="3">
        <f>IF(A41="","",COUNTIFS('15-روابط'!$C$8:$C$1007,"ورودی",'15-روابط'!$D$8:$D$1007,F41,'15-روابط'!$E$8:$E$1007,"برنامه مصوب معتبر"))</f>
        <v>0</v>
      </c>
      <c r="V41" s="3" t="str">
        <f t="shared" si="5"/>
        <v>نیازمند تأیید داده و هدف</v>
      </c>
      <c r="W41" s="1" t="s">
        <v>583</v>
      </c>
    </row>
    <row r="42" spans="1:23" ht="36" customHeight="1">
      <c r="A42" s="1" t="s">
        <v>665</v>
      </c>
      <c r="B42" s="1" t="s">
        <v>77</v>
      </c>
      <c r="C42" s="1" t="s">
        <v>80</v>
      </c>
      <c r="D42" s="1" t="s">
        <v>83</v>
      </c>
      <c r="E42" s="1" t="s">
        <v>379</v>
      </c>
      <c r="F42" s="1" t="s">
        <v>412</v>
      </c>
      <c r="G42" s="1" t="s">
        <v>607</v>
      </c>
      <c r="H42" s="1" t="s">
        <v>171</v>
      </c>
      <c r="I42" s="1" t="s">
        <v>666</v>
      </c>
      <c r="J42" s="1" t="s">
        <v>579</v>
      </c>
      <c r="K42" s="1" t="s">
        <v>580</v>
      </c>
      <c r="L42" s="1">
        <v>100</v>
      </c>
      <c r="M42" s="1">
        <v>93</v>
      </c>
      <c r="N42" s="1">
        <v>98.13</v>
      </c>
      <c r="O42" s="1" t="s">
        <v>580</v>
      </c>
      <c r="P42" s="1" t="s">
        <v>581</v>
      </c>
      <c r="Q42" s="1" t="s">
        <v>582</v>
      </c>
      <c r="R42" s="3">
        <f t="shared" si="3"/>
        <v>-1.8700000000000045</v>
      </c>
      <c r="S42" s="3">
        <f t="shared" si="4"/>
        <v>5.1299999999999955</v>
      </c>
      <c r="T42" s="3" t="str">
        <f>IF(A42="","",IF(NOT(AND(COUNTIFS('04-تحلیل شاخص‌ها'!$A$8:$A$1007,A42)=1,AND(COUNTIFS('17-جلسات و دوره‌ها'!$A$8:$A$1007,D42)=1,IFERROR(INDEX('17-جلسات و دوره‌ها'!$B$8:$B$1007,MATCH(D42,'17-جلسات و دوره‌ها'!$A$8:$A$1007,0)),"")=B42,IFERROR(INDEX('17-جلسات و دوره‌ها'!$C$8:$C$1007,MATCH(D42,'17-جلسات و دوره‌ها'!$A$8:$A$1007,0)),"")=C42),COUNTIFS('03-ورودی‌های بازنگری'!$A$8:$A$1007,F42)=1,IFERROR(INDEX('03-ورودی‌های بازنگری'!$D$8:$D$1007,MATCH(F42,'03-ورودی‌های بازنگری'!$A$8:$A$1007,0)),"")=D42)),"رابطه نامعتبر",IF(OR(Q42&lt;&gt;"تأیید شده",NOT(ISNUMBER(L42)),NOT(ISNUMBER(N42)),K42="تأیید نشده",P42=""),"نیازمند تأیید داده و هدف",IF(OR(AND(K42="کمتر بهتر",N42&lt;=L42),AND(K42="بیشتر بهتر",N42&gt;=L42),AND(K42="برابر هدف",N42=L42)),"محقق","محقق نشده"))))</f>
        <v>نیازمند تأیید داده و هدف</v>
      </c>
      <c r="U42" s="3">
        <f>IF(A42="","",COUNTIFS('15-روابط'!$C$8:$C$1007,"ورودی",'15-روابط'!$D$8:$D$1007,F42,'15-روابط'!$E$8:$E$1007,"برنامه مصوب معتبر"))</f>
        <v>0</v>
      </c>
      <c r="V42" s="3" t="str">
        <f t="shared" si="5"/>
        <v>نیازمند تأیید داده و هدف</v>
      </c>
      <c r="W42" s="1" t="s">
        <v>583</v>
      </c>
    </row>
    <row r="43" spans="1:23" ht="36" customHeight="1">
      <c r="A43" s="1" t="s">
        <v>667</v>
      </c>
      <c r="B43" s="1" t="s">
        <v>77</v>
      </c>
      <c r="C43" s="1" t="s">
        <v>80</v>
      </c>
      <c r="D43" s="1" t="s">
        <v>83</v>
      </c>
      <c r="E43" s="1" t="s">
        <v>379</v>
      </c>
      <c r="F43" s="1" t="s">
        <v>412</v>
      </c>
      <c r="G43" s="1" t="s">
        <v>607</v>
      </c>
      <c r="H43" s="1" t="s">
        <v>171</v>
      </c>
      <c r="I43" s="1" t="s">
        <v>668</v>
      </c>
      <c r="J43" s="1" t="s">
        <v>579</v>
      </c>
      <c r="K43" s="1" t="s">
        <v>580</v>
      </c>
      <c r="L43" s="1">
        <v>85</v>
      </c>
      <c r="M43" s="1">
        <v>93.75</v>
      </c>
      <c r="N43" s="1">
        <v>96.58</v>
      </c>
      <c r="O43" s="1" t="s">
        <v>580</v>
      </c>
      <c r="P43" s="1" t="s">
        <v>581</v>
      </c>
      <c r="Q43" s="1" t="s">
        <v>582</v>
      </c>
      <c r="R43" s="3">
        <f t="shared" si="3"/>
        <v>11.579999999999998</v>
      </c>
      <c r="S43" s="3">
        <f t="shared" si="4"/>
        <v>2.8299999999999983</v>
      </c>
      <c r="T43" s="3" t="str">
        <f>IF(A43="","",IF(NOT(AND(COUNTIFS('04-تحلیل شاخص‌ها'!$A$8:$A$1007,A43)=1,AND(COUNTIFS('17-جلسات و دوره‌ها'!$A$8:$A$1007,D43)=1,IFERROR(INDEX('17-جلسات و دوره‌ها'!$B$8:$B$1007,MATCH(D43,'17-جلسات و دوره‌ها'!$A$8:$A$1007,0)),"")=B43,IFERROR(INDEX('17-جلسات و دوره‌ها'!$C$8:$C$1007,MATCH(D43,'17-جلسات و دوره‌ها'!$A$8:$A$1007,0)),"")=C43),COUNTIFS('03-ورودی‌های بازنگری'!$A$8:$A$1007,F43)=1,IFERROR(INDEX('03-ورودی‌های بازنگری'!$D$8:$D$1007,MATCH(F43,'03-ورودی‌های بازنگری'!$A$8:$A$1007,0)),"")=D43)),"رابطه نامعتبر",IF(OR(Q43&lt;&gt;"تأیید شده",NOT(ISNUMBER(L43)),NOT(ISNUMBER(N43)),K43="تأیید نشده",P43=""),"نیازمند تأیید داده و هدف",IF(OR(AND(K43="کمتر بهتر",N43&lt;=L43),AND(K43="بیشتر بهتر",N43&gt;=L43),AND(K43="برابر هدف",N43=L43)),"محقق","محقق نشده"))))</f>
        <v>نیازمند تأیید داده و هدف</v>
      </c>
      <c r="U43" s="3">
        <f>IF(A43="","",COUNTIFS('15-روابط'!$C$8:$C$1007,"ورودی",'15-روابط'!$D$8:$D$1007,F43,'15-روابط'!$E$8:$E$1007,"برنامه مصوب معتبر"))</f>
        <v>0</v>
      </c>
      <c r="V43" s="3" t="str">
        <f t="shared" si="5"/>
        <v>نیازمند تأیید داده و هدف</v>
      </c>
      <c r="W43" s="1" t="s">
        <v>583</v>
      </c>
    </row>
    <row r="44" spans="1:23" ht="36" customHeight="1">
      <c r="A44" s="1" t="s">
        <v>669</v>
      </c>
      <c r="B44" s="1" t="s">
        <v>77</v>
      </c>
      <c r="C44" s="1" t="s">
        <v>80</v>
      </c>
      <c r="D44" s="1" t="s">
        <v>83</v>
      </c>
      <c r="E44" s="1" t="s">
        <v>379</v>
      </c>
      <c r="F44" s="1" t="s">
        <v>412</v>
      </c>
      <c r="G44" s="1" t="s">
        <v>607</v>
      </c>
      <c r="H44" s="1" t="s">
        <v>171</v>
      </c>
      <c r="I44" s="1" t="s">
        <v>670</v>
      </c>
      <c r="J44" s="1" t="s">
        <v>579</v>
      </c>
      <c r="K44" s="1" t="s">
        <v>580</v>
      </c>
      <c r="L44" s="1">
        <v>100</v>
      </c>
      <c r="M44" s="1">
        <v>93.75</v>
      </c>
      <c r="N44" s="1">
        <v>96.47</v>
      </c>
      <c r="O44" s="1" t="s">
        <v>580</v>
      </c>
      <c r="P44" s="1" t="s">
        <v>671</v>
      </c>
      <c r="Q44" s="1" t="s">
        <v>582</v>
      </c>
      <c r="R44" s="3">
        <f t="shared" si="3"/>
        <v>-3.5300000000000011</v>
      </c>
      <c r="S44" s="3">
        <f t="shared" si="4"/>
        <v>2.7199999999999989</v>
      </c>
      <c r="T44" s="3" t="str">
        <f>IF(A44="","",IF(NOT(AND(COUNTIFS('04-تحلیل شاخص‌ها'!$A$8:$A$1007,A44)=1,AND(COUNTIFS('17-جلسات و دوره‌ها'!$A$8:$A$1007,D44)=1,IFERROR(INDEX('17-جلسات و دوره‌ها'!$B$8:$B$1007,MATCH(D44,'17-جلسات و دوره‌ها'!$A$8:$A$1007,0)),"")=B44,IFERROR(INDEX('17-جلسات و دوره‌ها'!$C$8:$C$1007,MATCH(D44,'17-جلسات و دوره‌ها'!$A$8:$A$1007,0)),"")=C44),COUNTIFS('03-ورودی‌های بازنگری'!$A$8:$A$1007,F44)=1,IFERROR(INDEX('03-ورودی‌های بازنگری'!$D$8:$D$1007,MATCH(F44,'03-ورودی‌های بازنگری'!$A$8:$A$1007,0)),"")=D44)),"رابطه نامعتبر",IF(OR(Q44&lt;&gt;"تأیید شده",NOT(ISNUMBER(L44)),NOT(ISNUMBER(N44)),K44="تأیید نشده",P44=""),"نیازمند تأیید داده و هدف",IF(OR(AND(K44="کمتر بهتر",N44&lt;=L44),AND(K44="بیشتر بهتر",N44&gt;=L44),AND(K44="برابر هدف",N44=L44)),"محقق","محقق نشده"))))</f>
        <v>نیازمند تأیید داده و هدف</v>
      </c>
      <c r="U44" s="3">
        <f>IF(A44="","",COUNTIFS('15-روابط'!$C$8:$C$1007,"ورودی",'15-روابط'!$D$8:$D$1007,F44,'15-روابط'!$E$8:$E$1007,"برنامه مصوب معتبر"))</f>
        <v>0</v>
      </c>
      <c r="V44" s="3" t="str">
        <f t="shared" si="5"/>
        <v>نیازمند تأیید داده و هدف</v>
      </c>
      <c r="W44" s="1" t="s">
        <v>583</v>
      </c>
    </row>
    <row r="45" spans="1:23" ht="36" customHeight="1">
      <c r="A45" s="1" t="s">
        <v>672</v>
      </c>
      <c r="B45" s="1" t="s">
        <v>77</v>
      </c>
      <c r="C45" s="1" t="s">
        <v>80</v>
      </c>
      <c r="D45" s="1" t="s">
        <v>83</v>
      </c>
      <c r="E45" s="1" t="s">
        <v>379</v>
      </c>
      <c r="F45" s="1" t="s">
        <v>412</v>
      </c>
      <c r="G45" s="1" t="s">
        <v>607</v>
      </c>
      <c r="H45" s="1" t="s">
        <v>171</v>
      </c>
      <c r="I45" s="1" t="s">
        <v>673</v>
      </c>
      <c r="J45" s="1" t="s">
        <v>579</v>
      </c>
      <c r="K45" s="1" t="s">
        <v>580</v>
      </c>
      <c r="L45" s="1">
        <v>180</v>
      </c>
      <c r="M45" s="1">
        <v>98.99</v>
      </c>
      <c r="N45" s="1">
        <v>74.86</v>
      </c>
      <c r="O45" s="1" t="s">
        <v>580</v>
      </c>
      <c r="P45" s="1" t="s">
        <v>674</v>
      </c>
      <c r="Q45" s="1" t="s">
        <v>582</v>
      </c>
      <c r="R45" s="3">
        <f t="shared" si="3"/>
        <v>-105.14</v>
      </c>
      <c r="S45" s="3">
        <f t="shared" si="4"/>
        <v>-24.129999999999995</v>
      </c>
      <c r="T45" s="3" t="str">
        <f>IF(A45="","",IF(NOT(AND(COUNTIFS('04-تحلیل شاخص‌ها'!$A$8:$A$1007,A45)=1,AND(COUNTIFS('17-جلسات و دوره‌ها'!$A$8:$A$1007,D45)=1,IFERROR(INDEX('17-جلسات و دوره‌ها'!$B$8:$B$1007,MATCH(D45,'17-جلسات و دوره‌ها'!$A$8:$A$1007,0)),"")=B45,IFERROR(INDEX('17-جلسات و دوره‌ها'!$C$8:$C$1007,MATCH(D45,'17-جلسات و دوره‌ها'!$A$8:$A$1007,0)),"")=C45),COUNTIFS('03-ورودی‌های بازنگری'!$A$8:$A$1007,F45)=1,IFERROR(INDEX('03-ورودی‌های بازنگری'!$D$8:$D$1007,MATCH(F45,'03-ورودی‌های بازنگری'!$A$8:$A$1007,0)),"")=D45)),"رابطه نامعتبر",IF(OR(Q45&lt;&gt;"تأیید شده",NOT(ISNUMBER(L45)),NOT(ISNUMBER(N45)),K45="تأیید نشده",P45=""),"نیازمند تأیید داده و هدف",IF(OR(AND(K45="کمتر بهتر",N45&lt;=L45),AND(K45="بیشتر بهتر",N45&gt;=L45),AND(K45="برابر هدف",N45=L45)),"محقق","محقق نشده"))))</f>
        <v>نیازمند تأیید داده و هدف</v>
      </c>
      <c r="U45" s="3">
        <f>IF(A45="","",COUNTIFS('15-روابط'!$C$8:$C$1007,"ورودی",'15-روابط'!$D$8:$D$1007,F45,'15-روابط'!$E$8:$E$1007,"برنامه مصوب معتبر"))</f>
        <v>0</v>
      </c>
      <c r="V45" s="3" t="str">
        <f t="shared" si="5"/>
        <v>نیازمند تأیید داده و هدف</v>
      </c>
      <c r="W45" s="1" t="s">
        <v>583</v>
      </c>
    </row>
    <row r="46" spans="1:23" ht="36" customHeight="1">
      <c r="A46" s="1" t="s">
        <v>675</v>
      </c>
      <c r="B46" s="1" t="s">
        <v>77</v>
      </c>
      <c r="C46" s="1" t="s">
        <v>80</v>
      </c>
      <c r="D46" s="1" t="s">
        <v>83</v>
      </c>
      <c r="E46" s="1" t="s">
        <v>379</v>
      </c>
      <c r="F46" s="1" t="s">
        <v>412</v>
      </c>
      <c r="G46" s="1" t="s">
        <v>607</v>
      </c>
      <c r="H46" s="1" t="s">
        <v>171</v>
      </c>
      <c r="I46" s="1" t="s">
        <v>676</v>
      </c>
      <c r="J46" s="1" t="s">
        <v>579</v>
      </c>
      <c r="K46" s="1" t="s">
        <v>580</v>
      </c>
      <c r="L46" s="1">
        <v>250</v>
      </c>
      <c r="M46" s="1">
        <v>348.31</v>
      </c>
      <c r="N46" s="1">
        <v>325</v>
      </c>
      <c r="O46" s="1" t="s">
        <v>580</v>
      </c>
      <c r="P46" s="1" t="s">
        <v>677</v>
      </c>
      <c r="Q46" s="1" t="s">
        <v>582</v>
      </c>
      <c r="R46" s="3">
        <f t="shared" si="3"/>
        <v>75</v>
      </c>
      <c r="S46" s="3">
        <f t="shared" si="4"/>
        <v>-23.310000000000002</v>
      </c>
      <c r="T46" s="3" t="str">
        <f>IF(A46="","",IF(NOT(AND(COUNTIFS('04-تحلیل شاخص‌ها'!$A$8:$A$1007,A46)=1,AND(COUNTIFS('17-جلسات و دوره‌ها'!$A$8:$A$1007,D46)=1,IFERROR(INDEX('17-جلسات و دوره‌ها'!$B$8:$B$1007,MATCH(D46,'17-جلسات و دوره‌ها'!$A$8:$A$1007,0)),"")=B46,IFERROR(INDEX('17-جلسات و دوره‌ها'!$C$8:$C$1007,MATCH(D46,'17-جلسات و دوره‌ها'!$A$8:$A$1007,0)),"")=C46),COUNTIFS('03-ورودی‌های بازنگری'!$A$8:$A$1007,F46)=1,IFERROR(INDEX('03-ورودی‌های بازنگری'!$D$8:$D$1007,MATCH(F46,'03-ورودی‌های بازنگری'!$A$8:$A$1007,0)),"")=D46)),"رابطه نامعتبر",IF(OR(Q46&lt;&gt;"تأیید شده",NOT(ISNUMBER(L46)),NOT(ISNUMBER(N46)),K46="تأیید نشده",P46=""),"نیازمند تأیید داده و هدف",IF(OR(AND(K46="کمتر بهتر",N46&lt;=L46),AND(K46="بیشتر بهتر",N46&gt;=L46),AND(K46="برابر هدف",N46=L46)),"محقق","محقق نشده"))))</f>
        <v>نیازمند تأیید داده و هدف</v>
      </c>
      <c r="U46" s="3">
        <f>IF(A46="","",COUNTIFS('15-روابط'!$C$8:$C$1007,"ورودی",'15-روابط'!$D$8:$D$1007,F46,'15-روابط'!$E$8:$E$1007,"برنامه مصوب معتبر"))</f>
        <v>0</v>
      </c>
      <c r="V46" s="3" t="str">
        <f t="shared" si="5"/>
        <v>نیازمند تأیید داده و هدف</v>
      </c>
      <c r="W46" s="1" t="s">
        <v>583</v>
      </c>
    </row>
    <row r="47" spans="1:23" ht="36" customHeight="1">
      <c r="A47" s="1" t="s">
        <v>678</v>
      </c>
      <c r="B47" s="1" t="s">
        <v>77</v>
      </c>
      <c r="C47" s="1" t="s">
        <v>80</v>
      </c>
      <c r="D47" s="1" t="s">
        <v>83</v>
      </c>
      <c r="E47" s="1" t="s">
        <v>379</v>
      </c>
      <c r="F47" s="1" t="s">
        <v>412</v>
      </c>
      <c r="G47" s="1" t="s">
        <v>607</v>
      </c>
      <c r="H47" s="1" t="s">
        <v>171</v>
      </c>
      <c r="I47" s="1" t="s">
        <v>679</v>
      </c>
      <c r="J47" s="1" t="s">
        <v>579</v>
      </c>
      <c r="K47" s="1" t="s">
        <v>580</v>
      </c>
      <c r="L47" s="1">
        <v>62</v>
      </c>
      <c r="M47" s="1">
        <v>98.99</v>
      </c>
      <c r="N47" s="1">
        <v>40</v>
      </c>
      <c r="O47" s="1" t="s">
        <v>580</v>
      </c>
      <c r="P47" s="1" t="s">
        <v>581</v>
      </c>
      <c r="Q47" s="1" t="s">
        <v>582</v>
      </c>
      <c r="R47" s="3">
        <f t="shared" si="3"/>
        <v>-22</v>
      </c>
      <c r="S47" s="3">
        <f t="shared" si="4"/>
        <v>-58.989999999999995</v>
      </c>
      <c r="T47" s="3" t="str">
        <f>IF(A47="","",IF(NOT(AND(COUNTIFS('04-تحلیل شاخص‌ها'!$A$8:$A$1007,A47)=1,AND(COUNTIFS('17-جلسات و دوره‌ها'!$A$8:$A$1007,D47)=1,IFERROR(INDEX('17-جلسات و دوره‌ها'!$B$8:$B$1007,MATCH(D47,'17-جلسات و دوره‌ها'!$A$8:$A$1007,0)),"")=B47,IFERROR(INDEX('17-جلسات و دوره‌ها'!$C$8:$C$1007,MATCH(D47,'17-جلسات و دوره‌ها'!$A$8:$A$1007,0)),"")=C47),COUNTIFS('03-ورودی‌های بازنگری'!$A$8:$A$1007,F47)=1,IFERROR(INDEX('03-ورودی‌های بازنگری'!$D$8:$D$1007,MATCH(F47,'03-ورودی‌های بازنگری'!$A$8:$A$1007,0)),"")=D47)),"رابطه نامعتبر",IF(OR(Q47&lt;&gt;"تأیید شده",NOT(ISNUMBER(L47)),NOT(ISNUMBER(N47)),K47="تأیید نشده",P47=""),"نیازمند تأیید داده و هدف",IF(OR(AND(K47="کمتر بهتر",N47&lt;=L47),AND(K47="بیشتر بهتر",N47&gt;=L47),AND(K47="برابر هدف",N47=L47)),"محقق","محقق نشده"))))</f>
        <v>نیازمند تأیید داده و هدف</v>
      </c>
      <c r="U47" s="3">
        <f>IF(A47="","",COUNTIFS('15-روابط'!$C$8:$C$1007,"ورودی",'15-روابط'!$D$8:$D$1007,F47,'15-روابط'!$E$8:$E$1007,"برنامه مصوب معتبر"))</f>
        <v>0</v>
      </c>
      <c r="V47" s="3" t="str">
        <f t="shared" si="5"/>
        <v>نیازمند تأیید داده و هدف</v>
      </c>
      <c r="W47" s="1" t="s">
        <v>583</v>
      </c>
    </row>
    <row r="48" spans="1:23" ht="36" customHeight="1">
      <c r="A48" s="1" t="s">
        <v>680</v>
      </c>
      <c r="B48" s="1" t="s">
        <v>77</v>
      </c>
      <c r="C48" s="1" t="s">
        <v>80</v>
      </c>
      <c r="D48" s="1" t="s">
        <v>83</v>
      </c>
      <c r="E48" s="1" t="s">
        <v>379</v>
      </c>
      <c r="F48" s="1" t="s">
        <v>412</v>
      </c>
      <c r="G48" s="1" t="s">
        <v>607</v>
      </c>
      <c r="H48" s="1" t="s">
        <v>171</v>
      </c>
      <c r="I48" s="1" t="s">
        <v>681</v>
      </c>
      <c r="J48" s="1" t="s">
        <v>579</v>
      </c>
      <c r="K48" s="1" t="s">
        <v>580</v>
      </c>
      <c r="L48" s="1">
        <v>135</v>
      </c>
      <c r="M48" s="1">
        <v>282.58999999999997</v>
      </c>
      <c r="N48" s="1">
        <v>174.5</v>
      </c>
      <c r="O48" s="1" t="s">
        <v>580</v>
      </c>
      <c r="P48" s="1" t="s">
        <v>581</v>
      </c>
      <c r="Q48" s="1" t="s">
        <v>582</v>
      </c>
      <c r="R48" s="3">
        <f t="shared" si="3"/>
        <v>39.5</v>
      </c>
      <c r="S48" s="3">
        <f t="shared" si="4"/>
        <v>-108.08999999999997</v>
      </c>
      <c r="T48" s="3" t="str">
        <f>IF(A48="","",IF(NOT(AND(COUNTIFS('04-تحلیل شاخص‌ها'!$A$8:$A$1007,A48)=1,AND(COUNTIFS('17-جلسات و دوره‌ها'!$A$8:$A$1007,D48)=1,IFERROR(INDEX('17-جلسات و دوره‌ها'!$B$8:$B$1007,MATCH(D48,'17-جلسات و دوره‌ها'!$A$8:$A$1007,0)),"")=B48,IFERROR(INDEX('17-جلسات و دوره‌ها'!$C$8:$C$1007,MATCH(D48,'17-جلسات و دوره‌ها'!$A$8:$A$1007,0)),"")=C48),COUNTIFS('03-ورودی‌های بازنگری'!$A$8:$A$1007,F48)=1,IFERROR(INDEX('03-ورودی‌های بازنگری'!$D$8:$D$1007,MATCH(F48,'03-ورودی‌های بازنگری'!$A$8:$A$1007,0)),"")=D48)),"رابطه نامعتبر",IF(OR(Q48&lt;&gt;"تأیید شده",NOT(ISNUMBER(L48)),NOT(ISNUMBER(N48)),K48="تأیید نشده",P48=""),"نیازمند تأیید داده و هدف",IF(OR(AND(K48="کمتر بهتر",N48&lt;=L48),AND(K48="بیشتر بهتر",N48&gt;=L48),AND(K48="برابر هدف",N48=L48)),"محقق","محقق نشده"))))</f>
        <v>نیازمند تأیید داده و هدف</v>
      </c>
      <c r="U48" s="3">
        <f>IF(A48="","",COUNTIFS('15-روابط'!$C$8:$C$1007,"ورودی",'15-روابط'!$D$8:$D$1007,F48,'15-روابط'!$E$8:$E$1007,"برنامه مصوب معتبر"))</f>
        <v>0</v>
      </c>
      <c r="V48" s="3" t="str">
        <f t="shared" si="5"/>
        <v>نیازمند تأیید داده و هدف</v>
      </c>
      <c r="W48" s="1" t="s">
        <v>583</v>
      </c>
    </row>
    <row r="49" spans="1:23" ht="48" customHeight="1">
      <c r="A49" s="1" t="s">
        <v>682</v>
      </c>
      <c r="B49" s="1" t="s">
        <v>77</v>
      </c>
      <c r="C49" s="1" t="s">
        <v>80</v>
      </c>
      <c r="D49" s="1" t="s">
        <v>83</v>
      </c>
      <c r="E49" s="1" t="s">
        <v>379</v>
      </c>
      <c r="F49" s="1" t="s">
        <v>412</v>
      </c>
      <c r="G49" s="1" t="s">
        <v>607</v>
      </c>
      <c r="H49" s="1" t="s">
        <v>171</v>
      </c>
      <c r="I49" s="1" t="s">
        <v>683</v>
      </c>
      <c r="J49" s="1" t="s">
        <v>579</v>
      </c>
      <c r="K49" s="1" t="s">
        <v>580</v>
      </c>
      <c r="L49" s="1">
        <v>100</v>
      </c>
      <c r="M49" s="1">
        <v>71.709999999999994</v>
      </c>
      <c r="N49" s="1">
        <v>88.6</v>
      </c>
      <c r="O49" s="1" t="s">
        <v>580</v>
      </c>
      <c r="P49" s="1" t="s">
        <v>684</v>
      </c>
      <c r="Q49" s="1" t="s">
        <v>582</v>
      </c>
      <c r="R49" s="3">
        <f t="shared" si="3"/>
        <v>-11.400000000000006</v>
      </c>
      <c r="S49" s="3">
        <f t="shared" si="4"/>
        <v>16.89</v>
      </c>
      <c r="T49" s="3" t="str">
        <f>IF(A49="","",IF(NOT(AND(COUNTIFS('04-تحلیل شاخص‌ها'!$A$8:$A$1007,A49)=1,AND(COUNTIFS('17-جلسات و دوره‌ها'!$A$8:$A$1007,D49)=1,IFERROR(INDEX('17-جلسات و دوره‌ها'!$B$8:$B$1007,MATCH(D49,'17-جلسات و دوره‌ها'!$A$8:$A$1007,0)),"")=B49,IFERROR(INDEX('17-جلسات و دوره‌ها'!$C$8:$C$1007,MATCH(D49,'17-جلسات و دوره‌ها'!$A$8:$A$1007,0)),"")=C49),COUNTIFS('03-ورودی‌های بازنگری'!$A$8:$A$1007,F49)=1,IFERROR(INDEX('03-ورودی‌های بازنگری'!$D$8:$D$1007,MATCH(F49,'03-ورودی‌های بازنگری'!$A$8:$A$1007,0)),"")=D49)),"رابطه نامعتبر",IF(OR(Q49&lt;&gt;"تأیید شده",NOT(ISNUMBER(L49)),NOT(ISNUMBER(N49)),K49="تأیید نشده",P49=""),"نیازمند تأیید داده و هدف",IF(OR(AND(K49="کمتر بهتر",N49&lt;=L49),AND(K49="بیشتر بهتر",N49&gt;=L49),AND(K49="برابر هدف",N49=L49)),"محقق","محقق نشده"))))</f>
        <v>نیازمند تأیید داده و هدف</v>
      </c>
      <c r="U49" s="3">
        <f>IF(A49="","",COUNTIFS('15-روابط'!$C$8:$C$1007,"ورودی",'15-روابط'!$D$8:$D$1007,F49,'15-روابط'!$E$8:$E$1007,"برنامه مصوب معتبر"))</f>
        <v>0</v>
      </c>
      <c r="V49" s="3" t="str">
        <f t="shared" si="5"/>
        <v>نیازمند تأیید داده و هدف</v>
      </c>
      <c r="W49" s="1" t="s">
        <v>583</v>
      </c>
    </row>
    <row r="50" spans="1:23" ht="36" customHeight="1">
      <c r="A50" s="1" t="s">
        <v>685</v>
      </c>
      <c r="B50" s="1" t="s">
        <v>99</v>
      </c>
      <c r="C50" s="1" t="s">
        <v>529</v>
      </c>
      <c r="D50" s="1" t="s">
        <v>530</v>
      </c>
      <c r="E50" s="1" t="s">
        <v>531</v>
      </c>
      <c r="F50" s="1" t="s">
        <v>528</v>
      </c>
      <c r="G50" s="1" t="s">
        <v>686</v>
      </c>
      <c r="H50" s="1" t="s">
        <v>236</v>
      </c>
      <c r="I50" s="1" t="s">
        <v>687</v>
      </c>
      <c r="J50" s="1" t="s">
        <v>688</v>
      </c>
      <c r="K50" s="1" t="s">
        <v>689</v>
      </c>
      <c r="L50" s="1">
        <v>600</v>
      </c>
      <c r="M50" s="1">
        <v>955</v>
      </c>
      <c r="N50" s="1">
        <v>950</v>
      </c>
      <c r="O50" s="1" t="s">
        <v>690</v>
      </c>
      <c r="P50" s="1" t="s">
        <v>534</v>
      </c>
      <c r="Q50" s="1" t="s">
        <v>691</v>
      </c>
      <c r="R50" s="3">
        <f t="shared" si="3"/>
        <v>350</v>
      </c>
      <c r="S50" s="3">
        <f t="shared" si="4"/>
        <v>-5</v>
      </c>
      <c r="T50" s="3" t="str">
        <f>IF(A50="","",IF(NOT(AND(COUNTIFS('04-تحلیل شاخص‌ها'!$A$8:$A$1007,A50)=1,AND(COUNTIFS('17-جلسات و دوره‌ها'!$A$8:$A$1007,D50)=1,IFERROR(INDEX('17-جلسات و دوره‌ها'!$B$8:$B$1007,MATCH(D50,'17-جلسات و دوره‌ها'!$A$8:$A$1007,0)),"")=B50,IFERROR(INDEX('17-جلسات و دوره‌ها'!$C$8:$C$1007,MATCH(D50,'17-جلسات و دوره‌ها'!$A$8:$A$1007,0)),"")=C50),COUNTIFS('03-ورودی‌های بازنگری'!$A$8:$A$1007,F50)=1,IFERROR(INDEX('03-ورودی‌های بازنگری'!$D$8:$D$1007,MATCH(F50,'03-ورودی‌های بازنگری'!$A$8:$A$1007,0)),"")=D50)),"رابطه نامعتبر",IF(OR(Q50&lt;&gt;"تأیید شده",NOT(ISNUMBER(L50)),NOT(ISNUMBER(N50)),K50="تأیید نشده",P50=""),"نیازمند تأیید داده و هدف",IF(OR(AND(K50="کمتر بهتر",N50&lt;=L50),AND(K50="بیشتر بهتر",N50&gt;=L50),AND(K50="برابر هدف",N50=L50)),"محقق","محقق نشده"))))</f>
        <v>محقق نشده</v>
      </c>
      <c r="U50" s="3">
        <f>IF(A50="","",COUNTIFS('15-روابط'!$C$8:$C$1007,"ورودی",'15-روابط'!$D$8:$D$1007,F50,'15-روابط'!$E$8:$E$1007,"برنامه مصوب معتبر"))</f>
        <v>0</v>
      </c>
      <c r="V50" s="3" t="str">
        <f t="shared" si="5"/>
        <v>IATF: هدف مشتری؛ برنامه مصوب ندارد</v>
      </c>
      <c r="W50" s="1" t="s">
        <v>692</v>
      </c>
    </row>
    <row r="51" spans="1:23" ht="36" customHeight="1">
      <c r="A51" s="1" t="s">
        <v>693</v>
      </c>
      <c r="B51" s="1" t="s">
        <v>99</v>
      </c>
      <c r="C51" s="1" t="s">
        <v>529</v>
      </c>
      <c r="D51" s="1" t="s">
        <v>530</v>
      </c>
      <c r="E51" s="1" t="s">
        <v>531</v>
      </c>
      <c r="F51" s="1" t="s">
        <v>545</v>
      </c>
      <c r="G51" s="1" t="s">
        <v>686</v>
      </c>
      <c r="H51" s="1" t="s">
        <v>285</v>
      </c>
      <c r="I51" s="1" t="s">
        <v>694</v>
      </c>
      <c r="J51" s="1" t="s">
        <v>695</v>
      </c>
      <c r="K51" s="1" t="s">
        <v>689</v>
      </c>
      <c r="L51" s="1">
        <v>100</v>
      </c>
      <c r="M51" s="1">
        <v>125</v>
      </c>
      <c r="N51" s="1">
        <v>120</v>
      </c>
      <c r="O51" s="1" t="s">
        <v>696</v>
      </c>
      <c r="P51" s="1" t="s">
        <v>534</v>
      </c>
      <c r="Q51" s="1" t="s">
        <v>691</v>
      </c>
      <c r="R51" s="3">
        <f t="shared" si="3"/>
        <v>20</v>
      </c>
      <c r="S51" s="3">
        <f t="shared" si="4"/>
        <v>-5</v>
      </c>
      <c r="T51" s="3" t="str">
        <f>IF(A51="","",IF(NOT(AND(COUNTIFS('04-تحلیل شاخص‌ها'!$A$8:$A$1007,A51)=1,AND(COUNTIFS('17-جلسات و دوره‌ها'!$A$8:$A$1007,D51)=1,IFERROR(INDEX('17-جلسات و دوره‌ها'!$B$8:$B$1007,MATCH(D51,'17-جلسات و دوره‌ها'!$A$8:$A$1007,0)),"")=B51,IFERROR(INDEX('17-جلسات و دوره‌ها'!$C$8:$C$1007,MATCH(D51,'17-جلسات و دوره‌ها'!$A$8:$A$1007,0)),"")=C51),COUNTIFS('03-ورودی‌های بازنگری'!$A$8:$A$1007,F51)=1,IFERROR(INDEX('03-ورودی‌های بازنگری'!$D$8:$D$1007,MATCH(F51,'03-ورودی‌های بازنگری'!$A$8:$A$1007,0)),"")=D51)),"رابطه نامعتبر",IF(OR(Q51&lt;&gt;"تأیید شده",NOT(ISNUMBER(L51)),NOT(ISNUMBER(N51)),K51="تأیید نشده",P51=""),"نیازمند تأیید داده و هدف",IF(OR(AND(K51="کمتر بهتر",N51&lt;=L51),AND(K51="بیشتر بهتر",N51&gt;=L51),AND(K51="برابر هدف",N51=L51)),"محقق","محقق نشده"))))</f>
        <v>محقق نشده</v>
      </c>
      <c r="U51" s="3">
        <f>IF(A51="","",COUNTIFS('15-روابط'!$C$8:$C$1007,"ورودی",'15-روابط'!$D$8:$D$1007,F51,'15-روابط'!$E$8:$E$1007,"برنامه مصوب معتبر"))</f>
        <v>1</v>
      </c>
      <c r="V51" s="3" t="str">
        <f t="shared" si="5"/>
        <v>اقدام محیط‌زیستی ثبت شده</v>
      </c>
      <c r="W51" s="1" t="s">
        <v>692</v>
      </c>
    </row>
    <row r="52" spans="1:23" ht="36" customHeight="1">
      <c r="A52" s="1" t="s">
        <v>697</v>
      </c>
      <c r="B52" s="1" t="s">
        <v>99</v>
      </c>
      <c r="C52" s="1" t="s">
        <v>529</v>
      </c>
      <c r="D52" s="1" t="s">
        <v>530</v>
      </c>
      <c r="E52" s="1" t="s">
        <v>531</v>
      </c>
      <c r="F52" s="1" t="s">
        <v>551</v>
      </c>
      <c r="G52" s="1" t="s">
        <v>686</v>
      </c>
      <c r="H52" s="1" t="s">
        <v>171</v>
      </c>
      <c r="I52" s="1" t="s">
        <v>698</v>
      </c>
      <c r="J52" s="1" t="s">
        <v>699</v>
      </c>
      <c r="K52" s="1" t="s">
        <v>700</v>
      </c>
      <c r="L52" s="1">
        <v>95</v>
      </c>
      <c r="M52" s="1">
        <v>103</v>
      </c>
      <c r="N52" s="1">
        <v>98</v>
      </c>
      <c r="O52" s="1" t="s">
        <v>701</v>
      </c>
      <c r="P52" s="1" t="s">
        <v>534</v>
      </c>
      <c r="Q52" s="1" t="s">
        <v>691</v>
      </c>
      <c r="R52" s="3">
        <f t="shared" si="3"/>
        <v>3</v>
      </c>
      <c r="S52" s="3">
        <f t="shared" si="4"/>
        <v>-5</v>
      </c>
      <c r="T52" s="3" t="str">
        <f>IF(A52="","",IF(NOT(AND(COUNTIFS('04-تحلیل شاخص‌ها'!$A$8:$A$1007,A52)=1,AND(COUNTIFS('17-جلسات و دوره‌ها'!$A$8:$A$1007,D52)=1,IFERROR(INDEX('17-جلسات و دوره‌ها'!$B$8:$B$1007,MATCH(D52,'17-جلسات و دوره‌ها'!$A$8:$A$1007,0)),"")=B52,IFERROR(INDEX('17-جلسات و دوره‌ها'!$C$8:$C$1007,MATCH(D52,'17-جلسات و دوره‌ها'!$A$8:$A$1007,0)),"")=C52),COUNTIFS('03-ورودی‌های بازنگری'!$A$8:$A$1007,F52)=1,IFERROR(INDEX('03-ورودی‌های بازنگری'!$D$8:$D$1007,MATCH(F52,'03-ورودی‌های بازنگری'!$A$8:$A$1007,0)),"")=D52)),"رابطه نامعتبر",IF(OR(Q52&lt;&gt;"تأیید شده",NOT(ISNUMBER(L52)),NOT(ISNUMBER(N52)),K52="تأیید نشده",P52=""),"نیازمند تأیید داده و هدف",IF(OR(AND(K52="کمتر بهتر",N52&lt;=L52),AND(K52="بیشتر بهتر",N52&gt;=L52),AND(K52="برابر هدف",N52=L52)),"محقق","محقق نشده"))))</f>
        <v>محقق</v>
      </c>
      <c r="U52" s="3">
        <f>IF(A52="","",COUNTIFS('15-روابط'!$C$8:$C$1007,"ورودی",'15-روابط'!$D$8:$D$1007,F52,'15-روابط'!$E$8:$E$1007,"برنامه مصوب معتبر"))</f>
        <v>0</v>
      </c>
      <c r="V52" s="3" t="str">
        <f t="shared" si="5"/>
        <v>محقق</v>
      </c>
      <c r="W52" s="1" t="s">
        <v>692</v>
      </c>
    </row>
    <row r="53" spans="1:23" ht="36" customHeight="1">
      <c r="A53" s="1"/>
      <c r="B53" s="1"/>
      <c r="C53" s="1"/>
      <c r="D53" s="1"/>
      <c r="E53" s="1"/>
      <c r="F53" s="1"/>
      <c r="G53" s="1"/>
      <c r="H53" s="1"/>
      <c r="I53" s="1"/>
      <c r="J53" s="1"/>
      <c r="K53" s="1"/>
      <c r="L53" s="1"/>
      <c r="M53" s="1"/>
      <c r="N53" s="1"/>
      <c r="O53" s="1"/>
      <c r="P53" s="1"/>
      <c r="Q53" s="1"/>
      <c r="R53" s="3" t="str">
        <f t="shared" si="3"/>
        <v/>
      </c>
      <c r="S53" s="3" t="str">
        <f t="shared" si="4"/>
        <v/>
      </c>
      <c r="T53" s="3" t="str">
        <f>IF(A53="","",IF(NOT(AND(COUNTIFS('04-تحلیل شاخص‌ها'!$A$8:$A$1007,A53)=1,AND(COUNTIFS('17-جلسات و دوره‌ها'!$A$8:$A$1007,D53)=1,IFERROR(INDEX('17-جلسات و دوره‌ها'!$B$8:$B$1007,MATCH(D53,'17-جلسات و دوره‌ها'!$A$8:$A$1007,0)),"")=B53,IFERROR(INDEX('17-جلسات و دوره‌ها'!$C$8:$C$1007,MATCH(D53,'17-جلسات و دوره‌ها'!$A$8:$A$1007,0)),"")=C53),COUNTIFS('03-ورودی‌های بازنگری'!$A$8:$A$1007,F53)=1,IFERROR(INDEX('03-ورودی‌های بازنگری'!$D$8:$D$1007,MATCH(F53,'03-ورودی‌های بازنگری'!$A$8:$A$1007,0)),"")=D53)),"رابطه نامعتبر",IF(OR(Q53&lt;&gt;"تأیید شده",NOT(ISNUMBER(L53)),NOT(ISNUMBER(N53)),K53="تأیید نشده",P53=""),"نیازمند تأیید داده و هدف",IF(OR(AND(K53="کمتر بهتر",N53&lt;=L53),AND(K53="بیشتر بهتر",N53&gt;=L53),AND(K53="برابر هدف",N53=L53)),"محقق","محقق نشده"))))</f>
        <v/>
      </c>
      <c r="U53" s="3" t="str">
        <f>IF(A53="","",COUNTIFS('15-روابط'!$C$8:$C$1007,"ورودی",'15-روابط'!$D$8:$D$1007,F53,'15-روابط'!$E$8:$E$1007,"برنامه مصوب معتبر"))</f>
        <v/>
      </c>
      <c r="V53" s="3" t="str">
        <f t="shared" si="5"/>
        <v/>
      </c>
      <c r="W53" s="1"/>
    </row>
    <row r="54" spans="1:23" ht="36" customHeight="1">
      <c r="A54" s="1"/>
      <c r="B54" s="1"/>
      <c r="C54" s="1"/>
      <c r="D54" s="1"/>
      <c r="E54" s="1"/>
      <c r="F54" s="1"/>
      <c r="G54" s="1"/>
      <c r="H54" s="1"/>
      <c r="I54" s="1"/>
      <c r="J54" s="1"/>
      <c r="K54" s="1"/>
      <c r="L54" s="1"/>
      <c r="M54" s="1"/>
      <c r="N54" s="1"/>
      <c r="O54" s="1"/>
      <c r="P54" s="1"/>
      <c r="Q54" s="1"/>
      <c r="R54" s="3" t="str">
        <f t="shared" si="3"/>
        <v/>
      </c>
      <c r="S54" s="3" t="str">
        <f t="shared" si="4"/>
        <v/>
      </c>
      <c r="T54" s="3" t="str">
        <f>IF(A54="","",IF(NOT(AND(COUNTIFS('04-تحلیل شاخص‌ها'!$A$8:$A$1007,A54)=1,AND(COUNTIFS('17-جلسات و دوره‌ها'!$A$8:$A$1007,D54)=1,IFERROR(INDEX('17-جلسات و دوره‌ها'!$B$8:$B$1007,MATCH(D54,'17-جلسات و دوره‌ها'!$A$8:$A$1007,0)),"")=B54,IFERROR(INDEX('17-جلسات و دوره‌ها'!$C$8:$C$1007,MATCH(D54,'17-جلسات و دوره‌ها'!$A$8:$A$1007,0)),"")=C54),COUNTIFS('03-ورودی‌های بازنگری'!$A$8:$A$1007,F54)=1,IFERROR(INDEX('03-ورودی‌های بازنگری'!$D$8:$D$1007,MATCH(F54,'03-ورودی‌های بازنگری'!$A$8:$A$1007,0)),"")=D54)),"رابطه نامعتبر",IF(OR(Q54&lt;&gt;"تأیید شده",NOT(ISNUMBER(L54)),NOT(ISNUMBER(N54)),K54="تأیید نشده",P54=""),"نیازمند تأیید داده و هدف",IF(OR(AND(K54="کمتر بهتر",N54&lt;=L54),AND(K54="بیشتر بهتر",N54&gt;=L54),AND(K54="برابر هدف",N54=L54)),"محقق","محقق نشده"))))</f>
        <v/>
      </c>
      <c r="U54" s="3" t="str">
        <f>IF(A54="","",COUNTIFS('15-روابط'!$C$8:$C$1007,"ورودی",'15-روابط'!$D$8:$D$1007,F54,'15-روابط'!$E$8:$E$1007,"برنامه مصوب معتبر"))</f>
        <v/>
      </c>
      <c r="V54" s="3" t="str">
        <f t="shared" si="5"/>
        <v/>
      </c>
      <c r="W54" s="1"/>
    </row>
    <row r="55" spans="1:23" ht="36" customHeight="1">
      <c r="A55" s="1"/>
      <c r="B55" s="1"/>
      <c r="C55" s="1"/>
      <c r="D55" s="1"/>
      <c r="E55" s="1"/>
      <c r="F55" s="1"/>
      <c r="G55" s="1"/>
      <c r="H55" s="1"/>
      <c r="I55" s="1"/>
      <c r="J55" s="1"/>
      <c r="K55" s="1"/>
      <c r="L55" s="1"/>
      <c r="M55" s="1"/>
      <c r="N55" s="1"/>
      <c r="O55" s="1"/>
      <c r="P55" s="1"/>
      <c r="Q55" s="1"/>
      <c r="R55" s="3" t="str">
        <f t="shared" si="3"/>
        <v/>
      </c>
      <c r="S55" s="3" t="str">
        <f t="shared" si="4"/>
        <v/>
      </c>
      <c r="T55" s="3" t="str">
        <f>IF(A55="","",IF(NOT(AND(COUNTIFS('04-تحلیل شاخص‌ها'!$A$8:$A$1007,A55)=1,AND(COUNTIFS('17-جلسات و دوره‌ها'!$A$8:$A$1007,D55)=1,IFERROR(INDEX('17-جلسات و دوره‌ها'!$B$8:$B$1007,MATCH(D55,'17-جلسات و دوره‌ها'!$A$8:$A$1007,0)),"")=B55,IFERROR(INDEX('17-جلسات و دوره‌ها'!$C$8:$C$1007,MATCH(D55,'17-جلسات و دوره‌ها'!$A$8:$A$1007,0)),"")=C55),COUNTIFS('03-ورودی‌های بازنگری'!$A$8:$A$1007,F55)=1,IFERROR(INDEX('03-ورودی‌های بازنگری'!$D$8:$D$1007,MATCH(F55,'03-ورودی‌های بازنگری'!$A$8:$A$1007,0)),"")=D55)),"رابطه نامعتبر",IF(OR(Q55&lt;&gt;"تأیید شده",NOT(ISNUMBER(L55)),NOT(ISNUMBER(N55)),K55="تأیید نشده",P55=""),"نیازمند تأیید داده و هدف",IF(OR(AND(K55="کمتر بهتر",N55&lt;=L55),AND(K55="بیشتر بهتر",N55&gt;=L55),AND(K55="برابر هدف",N55=L55)),"محقق","محقق نشده"))))</f>
        <v/>
      </c>
      <c r="U55" s="3" t="str">
        <f>IF(A55="","",COUNTIFS('15-روابط'!$C$8:$C$1007,"ورودی",'15-روابط'!$D$8:$D$1007,F55,'15-روابط'!$E$8:$E$1007,"برنامه مصوب معتبر"))</f>
        <v/>
      </c>
      <c r="V55" s="3" t="str">
        <f t="shared" si="5"/>
        <v/>
      </c>
      <c r="W55" s="1"/>
    </row>
    <row r="56" spans="1:23" ht="36" customHeight="1">
      <c r="A56" s="1"/>
      <c r="B56" s="1"/>
      <c r="C56" s="1"/>
      <c r="D56" s="1"/>
      <c r="E56" s="1"/>
      <c r="F56" s="1"/>
      <c r="G56" s="1"/>
      <c r="H56" s="1"/>
      <c r="I56" s="1"/>
      <c r="J56" s="1"/>
      <c r="K56" s="1"/>
      <c r="L56" s="1"/>
      <c r="M56" s="1"/>
      <c r="N56" s="1"/>
      <c r="O56" s="1"/>
      <c r="P56" s="1"/>
      <c r="Q56" s="1"/>
      <c r="R56" s="3" t="str">
        <f t="shared" si="3"/>
        <v/>
      </c>
      <c r="S56" s="3" t="str">
        <f t="shared" si="4"/>
        <v/>
      </c>
      <c r="T56" s="3" t="str">
        <f>IF(A56="","",IF(NOT(AND(COUNTIFS('04-تحلیل شاخص‌ها'!$A$8:$A$1007,A56)=1,AND(COUNTIFS('17-جلسات و دوره‌ها'!$A$8:$A$1007,D56)=1,IFERROR(INDEX('17-جلسات و دوره‌ها'!$B$8:$B$1007,MATCH(D56,'17-جلسات و دوره‌ها'!$A$8:$A$1007,0)),"")=B56,IFERROR(INDEX('17-جلسات و دوره‌ها'!$C$8:$C$1007,MATCH(D56,'17-جلسات و دوره‌ها'!$A$8:$A$1007,0)),"")=C56),COUNTIFS('03-ورودی‌های بازنگری'!$A$8:$A$1007,F56)=1,IFERROR(INDEX('03-ورودی‌های بازنگری'!$D$8:$D$1007,MATCH(F56,'03-ورودی‌های بازنگری'!$A$8:$A$1007,0)),"")=D56)),"رابطه نامعتبر",IF(OR(Q56&lt;&gt;"تأیید شده",NOT(ISNUMBER(L56)),NOT(ISNUMBER(N56)),K56="تأیید نشده",P56=""),"نیازمند تأیید داده و هدف",IF(OR(AND(K56="کمتر بهتر",N56&lt;=L56),AND(K56="بیشتر بهتر",N56&gt;=L56),AND(K56="برابر هدف",N56=L56)),"محقق","محقق نشده"))))</f>
        <v/>
      </c>
      <c r="U56" s="3" t="str">
        <f>IF(A56="","",COUNTIFS('15-روابط'!$C$8:$C$1007,"ورودی",'15-روابط'!$D$8:$D$1007,F56,'15-روابط'!$E$8:$E$1007,"برنامه مصوب معتبر"))</f>
        <v/>
      </c>
      <c r="V56" s="3" t="str">
        <f t="shared" si="5"/>
        <v/>
      </c>
      <c r="W56" s="1"/>
    </row>
    <row r="57" spans="1:23" ht="36" customHeight="1">
      <c r="A57" s="1"/>
      <c r="B57" s="1"/>
      <c r="C57" s="1"/>
      <c r="D57" s="1"/>
      <c r="E57" s="1"/>
      <c r="F57" s="1"/>
      <c r="G57" s="1"/>
      <c r="H57" s="1"/>
      <c r="I57" s="1"/>
      <c r="J57" s="1"/>
      <c r="K57" s="1"/>
      <c r="L57" s="1"/>
      <c r="M57" s="1"/>
      <c r="N57" s="1"/>
      <c r="O57" s="1"/>
      <c r="P57" s="1"/>
      <c r="Q57" s="1"/>
      <c r="R57" s="3" t="str">
        <f t="shared" si="3"/>
        <v/>
      </c>
      <c r="S57" s="3" t="str">
        <f t="shared" si="4"/>
        <v/>
      </c>
      <c r="T57" s="3" t="str">
        <f>IF(A57="","",IF(NOT(AND(COUNTIFS('04-تحلیل شاخص‌ها'!$A$8:$A$1007,A57)=1,AND(COUNTIFS('17-جلسات و دوره‌ها'!$A$8:$A$1007,D57)=1,IFERROR(INDEX('17-جلسات و دوره‌ها'!$B$8:$B$1007,MATCH(D57,'17-جلسات و دوره‌ها'!$A$8:$A$1007,0)),"")=B57,IFERROR(INDEX('17-جلسات و دوره‌ها'!$C$8:$C$1007,MATCH(D57,'17-جلسات و دوره‌ها'!$A$8:$A$1007,0)),"")=C57),COUNTIFS('03-ورودی‌های بازنگری'!$A$8:$A$1007,F57)=1,IFERROR(INDEX('03-ورودی‌های بازنگری'!$D$8:$D$1007,MATCH(F57,'03-ورودی‌های بازنگری'!$A$8:$A$1007,0)),"")=D57)),"رابطه نامعتبر",IF(OR(Q57&lt;&gt;"تأیید شده",NOT(ISNUMBER(L57)),NOT(ISNUMBER(N57)),K57="تأیید نشده",P57=""),"نیازمند تأیید داده و هدف",IF(OR(AND(K57="کمتر بهتر",N57&lt;=L57),AND(K57="بیشتر بهتر",N57&gt;=L57),AND(K57="برابر هدف",N57=L57)),"محقق","محقق نشده"))))</f>
        <v/>
      </c>
      <c r="U57" s="3" t="str">
        <f>IF(A57="","",COUNTIFS('15-روابط'!$C$8:$C$1007,"ورودی",'15-روابط'!$D$8:$D$1007,F57,'15-روابط'!$E$8:$E$1007,"برنامه مصوب معتبر"))</f>
        <v/>
      </c>
      <c r="V57" s="3" t="str">
        <f t="shared" si="5"/>
        <v/>
      </c>
      <c r="W57" s="1"/>
    </row>
    <row r="58" spans="1:23" ht="36" customHeight="1">
      <c r="A58" s="1"/>
      <c r="B58" s="1"/>
      <c r="C58" s="1"/>
      <c r="D58" s="1"/>
      <c r="E58" s="1"/>
      <c r="F58" s="1"/>
      <c r="G58" s="1"/>
      <c r="H58" s="1"/>
      <c r="I58" s="1"/>
      <c r="J58" s="1"/>
      <c r="K58" s="1"/>
      <c r="L58" s="1"/>
      <c r="M58" s="1"/>
      <c r="N58" s="1"/>
      <c r="O58" s="1"/>
      <c r="P58" s="1"/>
      <c r="Q58" s="1"/>
      <c r="R58" s="3" t="str">
        <f t="shared" si="3"/>
        <v/>
      </c>
      <c r="S58" s="3" t="str">
        <f t="shared" si="4"/>
        <v/>
      </c>
      <c r="T58" s="3" t="str">
        <f>IF(A58="","",IF(NOT(AND(COUNTIFS('04-تحلیل شاخص‌ها'!$A$8:$A$1007,A58)=1,AND(COUNTIFS('17-جلسات و دوره‌ها'!$A$8:$A$1007,D58)=1,IFERROR(INDEX('17-جلسات و دوره‌ها'!$B$8:$B$1007,MATCH(D58,'17-جلسات و دوره‌ها'!$A$8:$A$1007,0)),"")=B58,IFERROR(INDEX('17-جلسات و دوره‌ها'!$C$8:$C$1007,MATCH(D58,'17-جلسات و دوره‌ها'!$A$8:$A$1007,0)),"")=C58),COUNTIFS('03-ورودی‌های بازنگری'!$A$8:$A$1007,F58)=1,IFERROR(INDEX('03-ورودی‌های بازنگری'!$D$8:$D$1007,MATCH(F58,'03-ورودی‌های بازنگری'!$A$8:$A$1007,0)),"")=D58)),"رابطه نامعتبر",IF(OR(Q58&lt;&gt;"تأیید شده",NOT(ISNUMBER(L58)),NOT(ISNUMBER(N58)),K58="تأیید نشده",P58=""),"نیازمند تأیید داده و هدف",IF(OR(AND(K58="کمتر بهتر",N58&lt;=L58),AND(K58="بیشتر بهتر",N58&gt;=L58),AND(K58="برابر هدف",N58=L58)),"محقق","محقق نشده"))))</f>
        <v/>
      </c>
      <c r="U58" s="3" t="str">
        <f>IF(A58="","",COUNTIFS('15-روابط'!$C$8:$C$1007,"ورودی",'15-روابط'!$D$8:$D$1007,F58,'15-روابط'!$E$8:$E$1007,"برنامه مصوب معتبر"))</f>
        <v/>
      </c>
      <c r="V58" s="3" t="str">
        <f t="shared" si="5"/>
        <v/>
      </c>
      <c r="W58" s="1"/>
    </row>
    <row r="59" spans="1:23" ht="36" customHeight="1">
      <c r="A59" s="1"/>
      <c r="B59" s="1"/>
      <c r="C59" s="1"/>
      <c r="D59" s="1"/>
      <c r="E59" s="1"/>
      <c r="F59" s="1"/>
      <c r="G59" s="1"/>
      <c r="H59" s="1"/>
      <c r="I59" s="1"/>
      <c r="J59" s="1"/>
      <c r="K59" s="1"/>
      <c r="L59" s="1"/>
      <c r="M59" s="1"/>
      <c r="N59" s="1"/>
      <c r="O59" s="1"/>
      <c r="P59" s="1"/>
      <c r="Q59" s="1"/>
      <c r="R59" s="3" t="str">
        <f t="shared" si="3"/>
        <v/>
      </c>
      <c r="S59" s="3" t="str">
        <f t="shared" si="4"/>
        <v/>
      </c>
      <c r="T59" s="3" t="str">
        <f>IF(A59="","",IF(NOT(AND(COUNTIFS('04-تحلیل شاخص‌ها'!$A$8:$A$1007,A59)=1,AND(COUNTIFS('17-جلسات و دوره‌ها'!$A$8:$A$1007,D59)=1,IFERROR(INDEX('17-جلسات و دوره‌ها'!$B$8:$B$1007,MATCH(D59,'17-جلسات و دوره‌ها'!$A$8:$A$1007,0)),"")=B59,IFERROR(INDEX('17-جلسات و دوره‌ها'!$C$8:$C$1007,MATCH(D59,'17-جلسات و دوره‌ها'!$A$8:$A$1007,0)),"")=C59),COUNTIFS('03-ورودی‌های بازنگری'!$A$8:$A$1007,F59)=1,IFERROR(INDEX('03-ورودی‌های بازنگری'!$D$8:$D$1007,MATCH(F59,'03-ورودی‌های بازنگری'!$A$8:$A$1007,0)),"")=D59)),"رابطه نامعتبر",IF(OR(Q59&lt;&gt;"تأیید شده",NOT(ISNUMBER(L59)),NOT(ISNUMBER(N59)),K59="تأیید نشده",P59=""),"نیازمند تأیید داده و هدف",IF(OR(AND(K59="کمتر بهتر",N59&lt;=L59),AND(K59="بیشتر بهتر",N59&gt;=L59),AND(K59="برابر هدف",N59=L59)),"محقق","محقق نشده"))))</f>
        <v/>
      </c>
      <c r="U59" s="3" t="str">
        <f>IF(A59="","",COUNTIFS('15-روابط'!$C$8:$C$1007,"ورودی",'15-روابط'!$D$8:$D$1007,F59,'15-روابط'!$E$8:$E$1007,"برنامه مصوب معتبر"))</f>
        <v/>
      </c>
      <c r="V59" s="3" t="str">
        <f t="shared" si="5"/>
        <v/>
      </c>
      <c r="W59" s="1"/>
    </row>
    <row r="60" spans="1:23" ht="36" customHeight="1">
      <c r="A60" s="1"/>
      <c r="B60" s="1"/>
      <c r="C60" s="1"/>
      <c r="D60" s="1"/>
      <c r="E60" s="1"/>
      <c r="F60" s="1"/>
      <c r="G60" s="1"/>
      <c r="H60" s="1"/>
      <c r="I60" s="1"/>
      <c r="J60" s="1"/>
      <c r="K60" s="1"/>
      <c r="L60" s="1"/>
      <c r="M60" s="1"/>
      <c r="N60" s="1"/>
      <c r="O60" s="1"/>
      <c r="P60" s="1"/>
      <c r="Q60" s="1"/>
      <c r="R60" s="3" t="str">
        <f t="shared" si="3"/>
        <v/>
      </c>
      <c r="S60" s="3" t="str">
        <f t="shared" si="4"/>
        <v/>
      </c>
      <c r="T60" s="3" t="str">
        <f>IF(A60="","",IF(NOT(AND(COUNTIFS('04-تحلیل شاخص‌ها'!$A$8:$A$1007,A60)=1,AND(COUNTIFS('17-جلسات و دوره‌ها'!$A$8:$A$1007,D60)=1,IFERROR(INDEX('17-جلسات و دوره‌ها'!$B$8:$B$1007,MATCH(D60,'17-جلسات و دوره‌ها'!$A$8:$A$1007,0)),"")=B60,IFERROR(INDEX('17-جلسات و دوره‌ها'!$C$8:$C$1007,MATCH(D60,'17-جلسات و دوره‌ها'!$A$8:$A$1007,0)),"")=C60),COUNTIFS('03-ورودی‌های بازنگری'!$A$8:$A$1007,F60)=1,IFERROR(INDEX('03-ورودی‌های بازنگری'!$D$8:$D$1007,MATCH(F60,'03-ورودی‌های بازنگری'!$A$8:$A$1007,0)),"")=D60)),"رابطه نامعتبر",IF(OR(Q60&lt;&gt;"تأیید شده",NOT(ISNUMBER(L60)),NOT(ISNUMBER(N60)),K60="تأیید نشده",P60=""),"نیازمند تأیید داده و هدف",IF(OR(AND(K60="کمتر بهتر",N60&lt;=L60),AND(K60="بیشتر بهتر",N60&gt;=L60),AND(K60="برابر هدف",N60=L60)),"محقق","محقق نشده"))))</f>
        <v/>
      </c>
      <c r="U60" s="3" t="str">
        <f>IF(A60="","",COUNTIFS('15-روابط'!$C$8:$C$1007,"ورودی",'15-روابط'!$D$8:$D$1007,F60,'15-روابط'!$E$8:$E$1007,"برنامه مصوب معتبر"))</f>
        <v/>
      </c>
      <c r="V60" s="3" t="str">
        <f t="shared" si="5"/>
        <v/>
      </c>
      <c r="W60" s="1"/>
    </row>
  </sheetData>
  <mergeCells count="2">
    <mergeCell ref="A1:W1"/>
    <mergeCell ref="A2:W3"/>
  </mergeCells>
  <conditionalFormatting sqref="A8:A60">
    <cfRule type="duplicateValues" dxfId="62" priority="1"/>
  </conditionalFormatting>
  <conditionalFormatting sqref="V8:V60">
    <cfRule type="containsText" dxfId="61" priority="2" operator="containsText" text="ناقص"/>
  </conditionalFormatting>
  <dataValidations count="3">
    <dataValidation type="list" sqref="K8:K60" xr:uid="{00000000-0002-0000-0400-000000000000}">
      <formula1>"کمتر بهتر,بیشتر بهتر,برابر هدف,تأیید نشده"</formula1>
    </dataValidation>
    <dataValidation type="list" sqref="O8:O60" xr:uid="{00000000-0002-0000-0400-000001000000}">
      <formula1>"مشتری,داخلی,محیط‌زیستی,ایمنی,تأیید نشده"</formula1>
    </dataValidation>
    <dataValidation type="list" sqref="Q8:Q60" xr:uid="{00000000-0002-0000-0400-000002000000}">
      <formula1>"تأیید شده,نیازمند تطبیق"</formula1>
    </dataValidation>
  </dataValidation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892A5"/>
    <pageSetUpPr fitToPage="1"/>
  </sheetPr>
  <dimension ref="A1:L43"/>
  <sheetViews>
    <sheetView showGridLines="0" rightToLeft="1" zoomScale="85" workbookViewId="0">
      <pane ySplit="7" topLeftCell="A8" activePane="bottomLeft" state="frozen"/>
      <selection pane="bottomLeft" sqref="A1:L1"/>
    </sheetView>
  </sheetViews>
  <sheetFormatPr defaultRowHeight="14.25"/>
  <cols>
    <col min="1" max="1" width="22" customWidth="1"/>
    <col min="2" max="2" width="16" customWidth="1"/>
    <col min="3" max="3" width="18" customWidth="1"/>
    <col min="4" max="4" width="26" customWidth="1"/>
    <col min="5" max="5" width="28" customWidth="1"/>
    <col min="6" max="6" width="22" customWidth="1"/>
    <col min="7" max="7" width="35" customWidth="1"/>
    <col min="8" max="8" width="18" customWidth="1"/>
    <col min="9" max="9" width="70" customWidth="1"/>
    <col min="10" max="10" width="60" customWidth="1"/>
    <col min="11" max="11" width="18" customWidth="1"/>
    <col min="12" max="12" width="45" customWidth="1"/>
  </cols>
  <sheetData>
    <row r="1" spans="1:12" ht="33.950000000000003" customHeight="1">
      <c r="A1" s="7" t="s">
        <v>702</v>
      </c>
      <c r="B1" s="7"/>
      <c r="C1" s="7"/>
      <c r="D1" s="7"/>
      <c r="E1" s="7"/>
      <c r="F1" s="7"/>
      <c r="G1" s="7"/>
      <c r="H1" s="7"/>
      <c r="I1" s="7"/>
      <c r="J1" s="7"/>
      <c r="K1" s="7"/>
      <c r="L1" s="7"/>
    </row>
    <row r="2" spans="1:12" ht="26.1" customHeight="1">
      <c r="A2" s="8" t="s">
        <v>703</v>
      </c>
      <c r="B2" s="8"/>
      <c r="C2" s="8"/>
      <c r="D2" s="8"/>
      <c r="E2" s="8"/>
      <c r="F2" s="8"/>
      <c r="G2" s="8"/>
      <c r="H2" s="8"/>
      <c r="I2" s="8"/>
      <c r="J2" s="8"/>
      <c r="K2" s="8"/>
      <c r="L2" s="8"/>
    </row>
    <row r="3" spans="1:12" ht="26.1" customHeight="1">
      <c r="A3" s="8"/>
      <c r="B3" s="8"/>
      <c r="C3" s="8"/>
      <c r="D3" s="8"/>
      <c r="E3" s="8"/>
      <c r="F3" s="8"/>
      <c r="G3" s="8"/>
      <c r="H3" s="8"/>
      <c r="I3" s="8"/>
      <c r="J3" s="8"/>
      <c r="K3" s="8"/>
      <c r="L3" s="8"/>
    </row>
    <row r="4" spans="1:12">
      <c r="A4" s="1"/>
      <c r="B4" s="1"/>
      <c r="C4" s="1"/>
      <c r="D4" s="1"/>
      <c r="E4" s="1"/>
      <c r="F4" s="1"/>
      <c r="G4" s="1"/>
      <c r="H4" s="1"/>
      <c r="I4" s="1"/>
      <c r="J4" s="1"/>
      <c r="K4" s="1"/>
      <c r="L4" s="1"/>
    </row>
    <row r="5" spans="1:12">
      <c r="A5" s="1"/>
      <c r="B5" s="1"/>
      <c r="C5" s="1"/>
      <c r="D5" s="1"/>
      <c r="E5" s="1"/>
      <c r="F5" s="1"/>
      <c r="G5" s="1"/>
      <c r="H5" s="1"/>
      <c r="I5" s="1"/>
      <c r="J5" s="1"/>
      <c r="K5" s="1"/>
      <c r="L5" s="1"/>
    </row>
    <row r="6" spans="1:12">
      <c r="A6" s="1"/>
      <c r="B6" s="1"/>
      <c r="C6" s="1"/>
      <c r="D6" s="1"/>
      <c r="E6" s="1"/>
      <c r="F6" s="1"/>
      <c r="G6" s="1"/>
      <c r="H6" s="1"/>
      <c r="I6" s="1"/>
      <c r="J6" s="1"/>
      <c r="K6" s="1"/>
      <c r="L6" s="1"/>
    </row>
    <row r="7" spans="1:12" ht="48" customHeight="1">
      <c r="A7" s="2" t="s">
        <v>704</v>
      </c>
      <c r="B7" s="2" t="s">
        <v>364</v>
      </c>
      <c r="C7" s="2" t="s">
        <v>365</v>
      </c>
      <c r="D7" s="2" t="s">
        <v>366</v>
      </c>
      <c r="E7" s="2" t="s">
        <v>94</v>
      </c>
      <c r="F7" s="2" t="s">
        <v>705</v>
      </c>
      <c r="G7" s="2" t="s">
        <v>367</v>
      </c>
      <c r="H7" s="2" t="s">
        <v>373</v>
      </c>
      <c r="I7" s="2" t="s">
        <v>706</v>
      </c>
      <c r="J7" s="2" t="s">
        <v>707</v>
      </c>
      <c r="K7" s="2" t="s">
        <v>708</v>
      </c>
      <c r="L7" s="2" t="s">
        <v>709</v>
      </c>
    </row>
    <row r="8" spans="1:12" ht="36" customHeight="1">
      <c r="A8" s="1" t="s">
        <v>710</v>
      </c>
      <c r="B8" s="1" t="s">
        <v>77</v>
      </c>
      <c r="C8" s="1" t="s">
        <v>80</v>
      </c>
      <c r="D8" s="1" t="s">
        <v>83</v>
      </c>
      <c r="E8" s="1" t="s">
        <v>379</v>
      </c>
      <c r="F8" s="1" t="s">
        <v>378</v>
      </c>
      <c r="G8" s="1" t="s">
        <v>711</v>
      </c>
      <c r="H8" s="1" t="s">
        <v>538</v>
      </c>
      <c r="I8" s="1" t="s">
        <v>712</v>
      </c>
      <c r="J8" s="1" t="s">
        <v>713</v>
      </c>
      <c r="K8" s="1" t="s">
        <v>714</v>
      </c>
      <c r="L8" s="1" t="s">
        <v>715</v>
      </c>
    </row>
    <row r="9" spans="1:12" ht="36" customHeight="1">
      <c r="A9" s="1" t="s">
        <v>716</v>
      </c>
      <c r="B9" s="1" t="s">
        <v>77</v>
      </c>
      <c r="C9" s="1" t="s">
        <v>80</v>
      </c>
      <c r="D9" s="1" t="s">
        <v>83</v>
      </c>
      <c r="E9" s="1" t="s">
        <v>379</v>
      </c>
      <c r="F9" s="1" t="s">
        <v>378</v>
      </c>
      <c r="G9" s="1" t="s">
        <v>717</v>
      </c>
      <c r="H9" s="1" t="s">
        <v>538</v>
      </c>
      <c r="I9" s="1" t="s">
        <v>718</v>
      </c>
      <c r="J9" s="1" t="s">
        <v>719</v>
      </c>
      <c r="K9" s="1" t="s">
        <v>714</v>
      </c>
      <c r="L9" s="1" t="s">
        <v>720</v>
      </c>
    </row>
    <row r="10" spans="1:12" ht="36" customHeight="1">
      <c r="A10" s="1" t="s">
        <v>721</v>
      </c>
      <c r="B10" s="1" t="s">
        <v>77</v>
      </c>
      <c r="C10" s="1" t="s">
        <v>80</v>
      </c>
      <c r="D10" s="1" t="s">
        <v>83</v>
      </c>
      <c r="E10" s="1" t="s">
        <v>379</v>
      </c>
      <c r="F10" s="1" t="s">
        <v>387</v>
      </c>
      <c r="G10" s="1" t="s">
        <v>722</v>
      </c>
      <c r="H10" s="1" t="s">
        <v>723</v>
      </c>
      <c r="I10" s="1" t="s">
        <v>724</v>
      </c>
      <c r="J10" s="1" t="s">
        <v>725</v>
      </c>
      <c r="K10" s="1" t="s">
        <v>726</v>
      </c>
      <c r="L10" s="1" t="s">
        <v>727</v>
      </c>
    </row>
    <row r="11" spans="1:12" ht="36" customHeight="1">
      <c r="A11" s="1" t="s">
        <v>728</v>
      </c>
      <c r="B11" s="1" t="s">
        <v>77</v>
      </c>
      <c r="C11" s="1" t="s">
        <v>80</v>
      </c>
      <c r="D11" s="1" t="s">
        <v>83</v>
      </c>
      <c r="E11" s="1" t="s">
        <v>379</v>
      </c>
      <c r="F11" s="1" t="s">
        <v>387</v>
      </c>
      <c r="G11" s="1" t="s">
        <v>729</v>
      </c>
      <c r="H11" s="1" t="s">
        <v>723</v>
      </c>
      <c r="I11" s="1" t="s">
        <v>730</v>
      </c>
      <c r="J11" s="1" t="s">
        <v>731</v>
      </c>
      <c r="K11" s="1" t="s">
        <v>726</v>
      </c>
      <c r="L11" s="1" t="s">
        <v>732</v>
      </c>
    </row>
    <row r="12" spans="1:12" ht="48" customHeight="1">
      <c r="A12" s="1" t="s">
        <v>733</v>
      </c>
      <c r="B12" s="1" t="s">
        <v>77</v>
      </c>
      <c r="C12" s="1" t="s">
        <v>80</v>
      </c>
      <c r="D12" s="1" t="s">
        <v>83</v>
      </c>
      <c r="E12" s="1" t="s">
        <v>379</v>
      </c>
      <c r="F12" s="1" t="s">
        <v>387</v>
      </c>
      <c r="G12" s="1" t="s">
        <v>734</v>
      </c>
      <c r="H12" s="1" t="s">
        <v>538</v>
      </c>
      <c r="I12" s="1" t="s">
        <v>735</v>
      </c>
      <c r="J12" s="1" t="s">
        <v>736</v>
      </c>
      <c r="K12" s="1" t="s">
        <v>714</v>
      </c>
      <c r="L12" s="1" t="s">
        <v>737</v>
      </c>
    </row>
    <row r="13" spans="1:12" ht="48" customHeight="1">
      <c r="A13" s="1" t="s">
        <v>738</v>
      </c>
      <c r="B13" s="1" t="s">
        <v>77</v>
      </c>
      <c r="C13" s="1" t="s">
        <v>80</v>
      </c>
      <c r="D13" s="1" t="s">
        <v>83</v>
      </c>
      <c r="E13" s="1" t="s">
        <v>379</v>
      </c>
      <c r="F13" s="1" t="s">
        <v>503</v>
      </c>
      <c r="G13" s="1" t="s">
        <v>739</v>
      </c>
      <c r="H13" s="1" t="s">
        <v>538</v>
      </c>
      <c r="I13" s="1" t="s">
        <v>740</v>
      </c>
      <c r="J13" s="1" t="s">
        <v>741</v>
      </c>
      <c r="K13" s="1" t="s">
        <v>714</v>
      </c>
      <c r="L13" s="1" t="s">
        <v>742</v>
      </c>
    </row>
    <row r="14" spans="1:12" ht="36" customHeight="1">
      <c r="A14" s="1" t="s">
        <v>743</v>
      </c>
      <c r="B14" s="1" t="s">
        <v>77</v>
      </c>
      <c r="C14" s="1" t="s">
        <v>80</v>
      </c>
      <c r="D14" s="1" t="s">
        <v>83</v>
      </c>
      <c r="E14" s="1" t="s">
        <v>379</v>
      </c>
      <c r="F14" s="1" t="s">
        <v>412</v>
      </c>
      <c r="G14" s="1" t="s">
        <v>670</v>
      </c>
      <c r="H14" s="1" t="s">
        <v>538</v>
      </c>
      <c r="I14" s="1" t="s">
        <v>744</v>
      </c>
      <c r="J14" s="1" t="s">
        <v>745</v>
      </c>
      <c r="K14" s="1" t="s">
        <v>714</v>
      </c>
      <c r="L14" s="1" t="s">
        <v>746</v>
      </c>
    </row>
    <row r="15" spans="1:12" ht="36" customHeight="1">
      <c r="A15" s="1" t="s">
        <v>747</v>
      </c>
      <c r="B15" s="1" t="s">
        <v>77</v>
      </c>
      <c r="C15" s="1" t="s">
        <v>80</v>
      </c>
      <c r="D15" s="1" t="s">
        <v>83</v>
      </c>
      <c r="E15" s="1" t="s">
        <v>379</v>
      </c>
      <c r="F15" s="1" t="s">
        <v>412</v>
      </c>
      <c r="G15" s="1" t="s">
        <v>748</v>
      </c>
      <c r="H15" s="1" t="s">
        <v>538</v>
      </c>
      <c r="I15" s="1" t="s">
        <v>749</v>
      </c>
      <c r="J15" s="1" t="s">
        <v>750</v>
      </c>
      <c r="K15" s="1" t="s">
        <v>714</v>
      </c>
      <c r="L15" s="1" t="s">
        <v>751</v>
      </c>
    </row>
    <row r="16" spans="1:12" ht="36" customHeight="1">
      <c r="A16" s="1" t="s">
        <v>752</v>
      </c>
      <c r="B16" s="1" t="s">
        <v>77</v>
      </c>
      <c r="C16" s="1" t="s">
        <v>80</v>
      </c>
      <c r="D16" s="1" t="s">
        <v>83</v>
      </c>
      <c r="E16" s="1" t="s">
        <v>379</v>
      </c>
      <c r="F16" s="1" t="s">
        <v>457</v>
      </c>
      <c r="G16" s="1" t="s">
        <v>753</v>
      </c>
      <c r="H16" s="1" t="s">
        <v>723</v>
      </c>
      <c r="I16" s="1" t="s">
        <v>754</v>
      </c>
      <c r="J16" s="1" t="s">
        <v>755</v>
      </c>
      <c r="K16" s="1" t="s">
        <v>726</v>
      </c>
      <c r="L16" s="1" t="s">
        <v>756</v>
      </c>
    </row>
    <row r="17" spans="1:12" ht="36" customHeight="1">
      <c r="A17" s="1" t="s">
        <v>757</v>
      </c>
      <c r="B17" s="1" t="s">
        <v>77</v>
      </c>
      <c r="C17" s="1" t="s">
        <v>80</v>
      </c>
      <c r="D17" s="1" t="s">
        <v>83</v>
      </c>
      <c r="E17" s="1" t="s">
        <v>379</v>
      </c>
      <c r="F17" s="1" t="s">
        <v>412</v>
      </c>
      <c r="G17" s="1" t="s">
        <v>758</v>
      </c>
      <c r="H17" s="1" t="s">
        <v>538</v>
      </c>
      <c r="I17" s="1" t="s">
        <v>759</v>
      </c>
      <c r="J17" s="1" t="s">
        <v>760</v>
      </c>
      <c r="K17" s="1" t="s">
        <v>714</v>
      </c>
      <c r="L17" s="1" t="s">
        <v>761</v>
      </c>
    </row>
    <row r="18" spans="1:12" ht="36" customHeight="1">
      <c r="A18" s="1" t="s">
        <v>762</v>
      </c>
      <c r="B18" s="1" t="s">
        <v>77</v>
      </c>
      <c r="C18" s="1" t="s">
        <v>80</v>
      </c>
      <c r="D18" s="1" t="s">
        <v>83</v>
      </c>
      <c r="E18" s="1" t="s">
        <v>379</v>
      </c>
      <c r="F18" s="1" t="s">
        <v>442</v>
      </c>
      <c r="G18" s="1" t="s">
        <v>763</v>
      </c>
      <c r="H18" s="1" t="s">
        <v>723</v>
      </c>
      <c r="I18" s="1" t="s">
        <v>764</v>
      </c>
      <c r="J18" s="1" t="s">
        <v>765</v>
      </c>
      <c r="K18" s="1" t="s">
        <v>726</v>
      </c>
      <c r="L18" s="1" t="s">
        <v>766</v>
      </c>
    </row>
    <row r="19" spans="1:12" ht="36" customHeight="1">
      <c r="A19" s="1" t="s">
        <v>767</v>
      </c>
      <c r="B19" s="1" t="s">
        <v>77</v>
      </c>
      <c r="C19" s="1" t="s">
        <v>80</v>
      </c>
      <c r="D19" s="1" t="s">
        <v>83</v>
      </c>
      <c r="E19" s="1" t="s">
        <v>379</v>
      </c>
      <c r="F19" s="1" t="s">
        <v>447</v>
      </c>
      <c r="G19" s="1" t="s">
        <v>768</v>
      </c>
      <c r="H19" s="1" t="s">
        <v>723</v>
      </c>
      <c r="I19" s="1" t="s">
        <v>769</v>
      </c>
      <c r="J19" s="1" t="s">
        <v>770</v>
      </c>
      <c r="K19" s="1" t="s">
        <v>726</v>
      </c>
      <c r="L19" s="1" t="s">
        <v>771</v>
      </c>
    </row>
    <row r="20" spans="1:12" ht="36" customHeight="1">
      <c r="A20" s="1" t="s">
        <v>772</v>
      </c>
      <c r="B20" s="1" t="s">
        <v>77</v>
      </c>
      <c r="C20" s="1" t="s">
        <v>80</v>
      </c>
      <c r="D20" s="1" t="s">
        <v>83</v>
      </c>
      <c r="E20" s="1" t="s">
        <v>379</v>
      </c>
      <c r="F20" s="1" t="s">
        <v>397</v>
      </c>
      <c r="G20" s="1" t="s">
        <v>773</v>
      </c>
      <c r="H20" s="1" t="s">
        <v>538</v>
      </c>
      <c r="I20" s="1" t="s">
        <v>774</v>
      </c>
      <c r="J20" s="1" t="s">
        <v>775</v>
      </c>
      <c r="K20" s="1" t="s">
        <v>714</v>
      </c>
      <c r="L20" s="1" t="s">
        <v>776</v>
      </c>
    </row>
    <row r="21" spans="1:12" ht="36" customHeight="1">
      <c r="A21" s="1" t="s">
        <v>777</v>
      </c>
      <c r="B21" s="1" t="s">
        <v>77</v>
      </c>
      <c r="C21" s="1" t="s">
        <v>80</v>
      </c>
      <c r="D21" s="1" t="s">
        <v>83</v>
      </c>
      <c r="E21" s="1" t="s">
        <v>379</v>
      </c>
      <c r="F21" s="1" t="s">
        <v>452</v>
      </c>
      <c r="G21" s="1" t="s">
        <v>778</v>
      </c>
      <c r="H21" s="1" t="s">
        <v>538</v>
      </c>
      <c r="I21" s="1" t="s">
        <v>779</v>
      </c>
      <c r="J21" s="1" t="s">
        <v>780</v>
      </c>
      <c r="K21" s="1" t="s">
        <v>714</v>
      </c>
      <c r="L21" s="1" t="s">
        <v>781</v>
      </c>
    </row>
    <row r="22" spans="1:12" ht="36" customHeight="1">
      <c r="A22" s="1" t="s">
        <v>782</v>
      </c>
      <c r="B22" s="1" t="s">
        <v>77</v>
      </c>
      <c r="C22" s="1" t="s">
        <v>80</v>
      </c>
      <c r="D22" s="1" t="s">
        <v>83</v>
      </c>
      <c r="E22" s="1" t="s">
        <v>379</v>
      </c>
      <c r="F22" s="1" t="s">
        <v>477</v>
      </c>
      <c r="G22" s="1" t="s">
        <v>783</v>
      </c>
      <c r="H22" s="1" t="s">
        <v>538</v>
      </c>
      <c r="I22" s="1" t="s">
        <v>784</v>
      </c>
      <c r="J22" s="1" t="s">
        <v>785</v>
      </c>
      <c r="K22" s="1" t="s">
        <v>714</v>
      </c>
      <c r="L22" s="1" t="s">
        <v>786</v>
      </c>
    </row>
    <row r="23" spans="1:12" ht="36" customHeight="1">
      <c r="A23" s="1" t="s">
        <v>787</v>
      </c>
      <c r="B23" s="1" t="s">
        <v>77</v>
      </c>
      <c r="C23" s="1" t="s">
        <v>80</v>
      </c>
      <c r="D23" s="1" t="s">
        <v>83</v>
      </c>
      <c r="E23" s="1" t="s">
        <v>379</v>
      </c>
      <c r="F23" s="1" t="s">
        <v>508</v>
      </c>
      <c r="G23" s="1" t="s">
        <v>788</v>
      </c>
      <c r="H23" s="1" t="s">
        <v>538</v>
      </c>
      <c r="I23" s="1" t="s">
        <v>789</v>
      </c>
      <c r="J23" s="1" t="s">
        <v>790</v>
      </c>
      <c r="K23" s="1" t="s">
        <v>714</v>
      </c>
      <c r="L23" s="1" t="s">
        <v>791</v>
      </c>
    </row>
    <row r="24" spans="1:12" ht="36" customHeight="1">
      <c r="A24" s="1" t="s">
        <v>792</v>
      </c>
      <c r="B24" s="1" t="s">
        <v>77</v>
      </c>
      <c r="C24" s="1" t="s">
        <v>80</v>
      </c>
      <c r="D24" s="1" t="s">
        <v>83</v>
      </c>
      <c r="E24" s="1" t="s">
        <v>379</v>
      </c>
      <c r="F24" s="1" t="s">
        <v>427</v>
      </c>
      <c r="G24" s="1" t="s">
        <v>793</v>
      </c>
      <c r="H24" s="1" t="s">
        <v>538</v>
      </c>
      <c r="I24" s="1" t="s">
        <v>794</v>
      </c>
      <c r="J24" s="1" t="s">
        <v>795</v>
      </c>
      <c r="K24" s="1" t="s">
        <v>714</v>
      </c>
      <c r="L24" s="1" t="s">
        <v>796</v>
      </c>
    </row>
    <row r="25" spans="1:12" ht="36" customHeight="1">
      <c r="A25" s="1" t="s">
        <v>797</v>
      </c>
      <c r="B25" s="1" t="s">
        <v>77</v>
      </c>
      <c r="C25" s="1" t="s">
        <v>80</v>
      </c>
      <c r="D25" s="1" t="s">
        <v>83</v>
      </c>
      <c r="E25" s="1" t="s">
        <v>379</v>
      </c>
      <c r="F25" s="1" t="s">
        <v>417</v>
      </c>
      <c r="G25" s="1" t="s">
        <v>798</v>
      </c>
      <c r="H25" s="1" t="s">
        <v>538</v>
      </c>
      <c r="I25" s="1" t="s">
        <v>799</v>
      </c>
      <c r="J25" s="1" t="s">
        <v>800</v>
      </c>
      <c r="K25" s="1" t="s">
        <v>714</v>
      </c>
      <c r="L25" s="1" t="s">
        <v>801</v>
      </c>
    </row>
    <row r="26" spans="1:12" ht="36" customHeight="1">
      <c r="A26" s="1" t="s">
        <v>802</v>
      </c>
      <c r="B26" s="1" t="s">
        <v>77</v>
      </c>
      <c r="C26" s="1" t="s">
        <v>80</v>
      </c>
      <c r="D26" s="1" t="s">
        <v>83</v>
      </c>
      <c r="E26" s="1" t="s">
        <v>379</v>
      </c>
      <c r="F26" s="1" t="s">
        <v>422</v>
      </c>
      <c r="G26" s="1" t="s">
        <v>803</v>
      </c>
      <c r="H26" s="1" t="s">
        <v>538</v>
      </c>
      <c r="I26" s="1" t="s">
        <v>804</v>
      </c>
      <c r="J26" s="1" t="s">
        <v>805</v>
      </c>
      <c r="K26" s="1" t="s">
        <v>714</v>
      </c>
      <c r="L26" s="1" t="s">
        <v>806</v>
      </c>
    </row>
    <row r="27" spans="1:12" ht="36" customHeight="1">
      <c r="A27" s="1" t="s">
        <v>807</v>
      </c>
      <c r="B27" s="1" t="s">
        <v>77</v>
      </c>
      <c r="C27" s="1" t="s">
        <v>80</v>
      </c>
      <c r="D27" s="1" t="s">
        <v>83</v>
      </c>
      <c r="E27" s="1" t="s">
        <v>379</v>
      </c>
      <c r="F27" s="1" t="s">
        <v>462</v>
      </c>
      <c r="G27" s="1" t="s">
        <v>808</v>
      </c>
      <c r="H27" s="1" t="s">
        <v>538</v>
      </c>
      <c r="I27" s="1" t="s">
        <v>809</v>
      </c>
      <c r="J27" s="1" t="s">
        <v>810</v>
      </c>
      <c r="K27" s="1" t="s">
        <v>726</v>
      </c>
      <c r="L27" s="1" t="s">
        <v>811</v>
      </c>
    </row>
    <row r="28" spans="1:12" ht="36" customHeight="1">
      <c r="A28" s="1" t="s">
        <v>812</v>
      </c>
      <c r="B28" s="1" t="s">
        <v>77</v>
      </c>
      <c r="C28" s="1" t="s">
        <v>80</v>
      </c>
      <c r="D28" s="1" t="s">
        <v>83</v>
      </c>
      <c r="E28" s="1" t="s">
        <v>379</v>
      </c>
      <c r="F28" s="1" t="s">
        <v>412</v>
      </c>
      <c r="G28" s="1" t="s">
        <v>813</v>
      </c>
      <c r="H28" s="1" t="s">
        <v>723</v>
      </c>
      <c r="I28" s="1" t="s">
        <v>814</v>
      </c>
      <c r="J28" s="1" t="s">
        <v>815</v>
      </c>
      <c r="K28" s="1" t="s">
        <v>726</v>
      </c>
      <c r="L28" s="1" t="s">
        <v>816</v>
      </c>
    </row>
    <row r="29" spans="1:12" ht="36" customHeight="1">
      <c r="A29" s="1" t="s">
        <v>817</v>
      </c>
      <c r="B29" s="1" t="s">
        <v>77</v>
      </c>
      <c r="C29" s="1" t="s">
        <v>80</v>
      </c>
      <c r="D29" s="1" t="s">
        <v>83</v>
      </c>
      <c r="E29" s="1" t="s">
        <v>379</v>
      </c>
      <c r="F29" s="1" t="s">
        <v>492</v>
      </c>
      <c r="G29" s="1" t="s">
        <v>195</v>
      </c>
      <c r="H29" s="1" t="s">
        <v>538</v>
      </c>
      <c r="I29" s="1" t="s">
        <v>818</v>
      </c>
      <c r="J29" s="1" t="s">
        <v>819</v>
      </c>
      <c r="K29" s="1" t="s">
        <v>714</v>
      </c>
      <c r="L29" s="1" t="s">
        <v>820</v>
      </c>
    </row>
    <row r="30" spans="1:12" ht="36" customHeight="1">
      <c r="A30" s="1" t="s">
        <v>821</v>
      </c>
      <c r="B30" s="1" t="s">
        <v>77</v>
      </c>
      <c r="C30" s="1" t="s">
        <v>80</v>
      </c>
      <c r="D30" s="1" t="s">
        <v>83</v>
      </c>
      <c r="E30" s="1" t="s">
        <v>379</v>
      </c>
      <c r="F30" s="1" t="s">
        <v>513</v>
      </c>
      <c r="G30" s="1" t="s">
        <v>822</v>
      </c>
      <c r="H30" s="1" t="s">
        <v>723</v>
      </c>
      <c r="I30" s="1" t="s">
        <v>823</v>
      </c>
      <c r="J30" s="1" t="s">
        <v>824</v>
      </c>
      <c r="K30" s="1" t="s">
        <v>726</v>
      </c>
      <c r="L30" s="1" t="s">
        <v>825</v>
      </c>
    </row>
    <row r="31" spans="1:12" ht="36" customHeight="1">
      <c r="A31" s="1" t="s">
        <v>826</v>
      </c>
      <c r="B31" s="1" t="s">
        <v>77</v>
      </c>
      <c r="C31" s="1" t="s">
        <v>80</v>
      </c>
      <c r="D31" s="1" t="s">
        <v>83</v>
      </c>
      <c r="E31" s="1" t="s">
        <v>379</v>
      </c>
      <c r="F31" s="1" t="s">
        <v>387</v>
      </c>
      <c r="G31" s="1" t="s">
        <v>827</v>
      </c>
      <c r="H31" s="1" t="s">
        <v>723</v>
      </c>
      <c r="I31" s="1" t="s">
        <v>828</v>
      </c>
      <c r="J31" s="1" t="s">
        <v>829</v>
      </c>
      <c r="K31" s="1" t="s">
        <v>726</v>
      </c>
      <c r="L31" s="1" t="s">
        <v>830</v>
      </c>
    </row>
    <row r="32" spans="1:12" ht="36" customHeight="1">
      <c r="A32" s="1" t="s">
        <v>831</v>
      </c>
      <c r="B32" s="1" t="s">
        <v>77</v>
      </c>
      <c r="C32" s="1" t="s">
        <v>80</v>
      </c>
      <c r="D32" s="1" t="s">
        <v>83</v>
      </c>
      <c r="E32" s="1" t="s">
        <v>379</v>
      </c>
      <c r="F32" s="1" t="s">
        <v>378</v>
      </c>
      <c r="G32" s="1" t="s">
        <v>832</v>
      </c>
      <c r="H32" s="1" t="s">
        <v>723</v>
      </c>
      <c r="I32" s="1" t="s">
        <v>833</v>
      </c>
      <c r="J32" s="1" t="s">
        <v>834</v>
      </c>
      <c r="K32" s="1" t="s">
        <v>726</v>
      </c>
      <c r="L32" s="1" t="s">
        <v>835</v>
      </c>
    </row>
    <row r="33" spans="1:12" ht="36" customHeight="1">
      <c r="A33" s="1" t="s">
        <v>836</v>
      </c>
      <c r="B33" s="1" t="s">
        <v>77</v>
      </c>
      <c r="C33" s="1" t="s">
        <v>80</v>
      </c>
      <c r="D33" s="1" t="s">
        <v>83</v>
      </c>
      <c r="E33" s="1" t="s">
        <v>379</v>
      </c>
      <c r="F33" s="1" t="s">
        <v>523</v>
      </c>
      <c r="G33" s="1" t="s">
        <v>837</v>
      </c>
      <c r="H33" s="1" t="s">
        <v>538</v>
      </c>
      <c r="I33" s="1" t="s">
        <v>838</v>
      </c>
      <c r="J33" s="1" t="s">
        <v>839</v>
      </c>
      <c r="K33" s="1" t="s">
        <v>726</v>
      </c>
      <c r="L33" s="1" t="s">
        <v>840</v>
      </c>
    </row>
    <row r="34" spans="1:12" ht="36" customHeight="1">
      <c r="A34" s="1" t="s">
        <v>841</v>
      </c>
      <c r="B34" s="1" t="s">
        <v>77</v>
      </c>
      <c r="C34" s="1" t="s">
        <v>80</v>
      </c>
      <c r="D34" s="1" t="s">
        <v>83</v>
      </c>
      <c r="E34" s="1" t="s">
        <v>379</v>
      </c>
      <c r="F34" s="1" t="s">
        <v>412</v>
      </c>
      <c r="G34" s="1" t="s">
        <v>842</v>
      </c>
      <c r="H34" s="1" t="s">
        <v>538</v>
      </c>
      <c r="I34" s="1" t="s">
        <v>843</v>
      </c>
      <c r="J34" s="1" t="s">
        <v>844</v>
      </c>
      <c r="K34" s="1" t="s">
        <v>714</v>
      </c>
      <c r="L34" s="1" t="s">
        <v>845</v>
      </c>
    </row>
    <row r="35" spans="1:12" ht="36" customHeight="1">
      <c r="A35" s="1" t="s">
        <v>846</v>
      </c>
      <c r="B35" s="1" t="s">
        <v>77</v>
      </c>
      <c r="C35" s="1" t="s">
        <v>80</v>
      </c>
      <c r="D35" s="1" t="s">
        <v>83</v>
      </c>
      <c r="E35" s="1" t="s">
        <v>379</v>
      </c>
      <c r="F35" s="1" t="s">
        <v>472</v>
      </c>
      <c r="G35" s="1" t="s">
        <v>847</v>
      </c>
      <c r="H35" s="1" t="s">
        <v>723</v>
      </c>
      <c r="I35" s="1" t="s">
        <v>848</v>
      </c>
      <c r="J35" s="1" t="s">
        <v>849</v>
      </c>
      <c r="K35" s="1" t="s">
        <v>726</v>
      </c>
      <c r="L35" s="1" t="s">
        <v>850</v>
      </c>
    </row>
    <row r="36" spans="1:12" ht="36" customHeight="1">
      <c r="A36" s="1"/>
      <c r="B36" s="1"/>
      <c r="C36" s="1"/>
      <c r="D36" s="1"/>
      <c r="E36" s="1"/>
      <c r="F36" s="1"/>
      <c r="G36" s="1"/>
      <c r="H36" s="1"/>
      <c r="I36" s="1"/>
      <c r="J36" s="1"/>
      <c r="K36" s="1"/>
      <c r="L36" s="1"/>
    </row>
    <row r="37" spans="1:12" ht="36" customHeight="1">
      <c r="A37" s="1"/>
      <c r="B37" s="1"/>
      <c r="C37" s="1"/>
      <c r="D37" s="1"/>
      <c r="E37" s="1"/>
      <c r="F37" s="1"/>
      <c r="G37" s="1"/>
      <c r="H37" s="1"/>
      <c r="I37" s="1"/>
      <c r="J37" s="1"/>
      <c r="K37" s="1"/>
      <c r="L37" s="1"/>
    </row>
    <row r="38" spans="1:12" ht="36" customHeight="1">
      <c r="A38" s="1"/>
      <c r="B38" s="1"/>
      <c r="C38" s="1"/>
      <c r="D38" s="1"/>
      <c r="E38" s="1"/>
      <c r="F38" s="1"/>
      <c r="G38" s="1"/>
      <c r="H38" s="1"/>
      <c r="I38" s="1"/>
      <c r="J38" s="1"/>
      <c r="K38" s="1"/>
      <c r="L38" s="1"/>
    </row>
    <row r="39" spans="1:12" ht="36" customHeight="1">
      <c r="A39" s="1"/>
      <c r="B39" s="1"/>
      <c r="C39" s="1"/>
      <c r="D39" s="1"/>
      <c r="E39" s="1"/>
      <c r="F39" s="1"/>
      <c r="G39" s="1"/>
      <c r="H39" s="1"/>
      <c r="I39" s="1"/>
      <c r="J39" s="1"/>
      <c r="K39" s="1"/>
      <c r="L39" s="1"/>
    </row>
    <row r="40" spans="1:12" ht="36" customHeight="1">
      <c r="A40" s="1"/>
      <c r="B40" s="1"/>
      <c r="C40" s="1"/>
      <c r="D40" s="1"/>
      <c r="E40" s="1"/>
      <c r="F40" s="1"/>
      <c r="G40" s="1"/>
      <c r="H40" s="1"/>
      <c r="I40" s="1"/>
      <c r="J40" s="1"/>
      <c r="K40" s="1"/>
      <c r="L40" s="1"/>
    </row>
    <row r="41" spans="1:12" ht="36" customHeight="1">
      <c r="A41" s="1"/>
      <c r="B41" s="1"/>
      <c r="C41" s="1"/>
      <c r="D41" s="1"/>
      <c r="E41" s="1"/>
      <c r="F41" s="1"/>
      <c r="G41" s="1"/>
      <c r="H41" s="1"/>
      <c r="I41" s="1"/>
      <c r="J41" s="1"/>
      <c r="K41" s="1"/>
      <c r="L41" s="1"/>
    </row>
    <row r="42" spans="1:12" ht="36" customHeight="1">
      <c r="A42" s="1"/>
      <c r="B42" s="1"/>
      <c r="C42" s="1"/>
      <c r="D42" s="1"/>
      <c r="E42" s="1"/>
      <c r="F42" s="1"/>
      <c r="G42" s="1"/>
      <c r="H42" s="1"/>
      <c r="I42" s="1"/>
      <c r="J42" s="1"/>
      <c r="K42" s="1"/>
      <c r="L42" s="1"/>
    </row>
    <row r="43" spans="1:12" ht="36" customHeight="1">
      <c r="A43" s="1"/>
      <c r="B43" s="1"/>
      <c r="C43" s="1"/>
      <c r="D43" s="1"/>
      <c r="E43" s="1"/>
      <c r="F43" s="1"/>
      <c r="G43" s="1"/>
      <c r="H43" s="1"/>
      <c r="I43" s="1"/>
      <c r="J43" s="1"/>
      <c r="K43" s="1"/>
      <c r="L43" s="1"/>
    </row>
  </sheetData>
  <mergeCells count="2">
    <mergeCell ref="A1:L1"/>
    <mergeCell ref="A2:L3"/>
  </mergeCell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892A5"/>
    <pageSetUpPr fitToPage="1"/>
  </sheetPr>
  <dimension ref="A1:P39"/>
  <sheetViews>
    <sheetView showGridLines="0" rightToLeft="1" zoomScale="85" workbookViewId="0">
      <pane ySplit="7" topLeftCell="A8" activePane="bottomLeft" state="frozen"/>
      <selection pane="bottomLeft" sqref="A1:P1"/>
    </sheetView>
  </sheetViews>
  <sheetFormatPr defaultRowHeight="14.25"/>
  <cols>
    <col min="1" max="1" width="27" customWidth="1"/>
    <col min="2" max="2" width="16" customWidth="1"/>
    <col min="3" max="3" width="18" customWidth="1"/>
    <col min="4" max="4" width="26" customWidth="1"/>
    <col min="5" max="5" width="28" customWidth="1"/>
    <col min="6" max="6" width="16" customWidth="1"/>
    <col min="7" max="7" width="22" customWidth="1"/>
    <col min="8" max="8" width="28" customWidth="1"/>
    <col min="9" max="9" width="60" customWidth="1"/>
    <col min="10" max="10" width="35" customWidth="1"/>
    <col min="11" max="11" width="60" customWidth="1"/>
    <col min="12" max="14" width="25" customWidth="1"/>
    <col min="15" max="15" width="18" customWidth="1"/>
    <col min="16" max="16" width="40" customWidth="1"/>
  </cols>
  <sheetData>
    <row r="1" spans="1:16" ht="33.950000000000003" customHeight="1">
      <c r="A1" s="7" t="s">
        <v>851</v>
      </c>
      <c r="B1" s="7"/>
      <c r="C1" s="7"/>
      <c r="D1" s="7"/>
      <c r="E1" s="7"/>
      <c r="F1" s="7"/>
      <c r="G1" s="7"/>
      <c r="H1" s="7"/>
      <c r="I1" s="7"/>
      <c r="J1" s="7"/>
      <c r="K1" s="7"/>
      <c r="L1" s="7"/>
      <c r="M1" s="7"/>
      <c r="N1" s="7"/>
      <c r="O1" s="7"/>
      <c r="P1" s="7"/>
    </row>
    <row r="2" spans="1:16" ht="26.1" customHeight="1">
      <c r="A2" s="8" t="s">
        <v>852</v>
      </c>
      <c r="B2" s="8"/>
      <c r="C2" s="8"/>
      <c r="D2" s="8"/>
      <c r="E2" s="8"/>
      <c r="F2" s="8"/>
      <c r="G2" s="8"/>
      <c r="H2" s="8"/>
      <c r="I2" s="8"/>
      <c r="J2" s="8"/>
      <c r="K2" s="8"/>
      <c r="L2" s="8"/>
      <c r="M2" s="8"/>
      <c r="N2" s="8"/>
      <c r="O2" s="8"/>
      <c r="P2" s="8"/>
    </row>
    <row r="3" spans="1:16" ht="26.1" customHeight="1">
      <c r="A3" s="8"/>
      <c r="B3" s="8"/>
      <c r="C3" s="8"/>
      <c r="D3" s="8"/>
      <c r="E3" s="8"/>
      <c r="F3" s="8"/>
      <c r="G3" s="8"/>
      <c r="H3" s="8"/>
      <c r="I3" s="8"/>
      <c r="J3" s="8"/>
      <c r="K3" s="8"/>
      <c r="L3" s="8"/>
      <c r="M3" s="8"/>
      <c r="N3" s="8"/>
      <c r="O3" s="8"/>
      <c r="P3" s="8"/>
    </row>
    <row r="4" spans="1:16">
      <c r="A4" s="1"/>
      <c r="B4" s="1"/>
      <c r="C4" s="1"/>
      <c r="D4" s="1"/>
      <c r="E4" s="1"/>
      <c r="F4" s="1"/>
      <c r="G4" s="1"/>
      <c r="H4" s="1"/>
      <c r="I4" s="1"/>
      <c r="J4" s="1"/>
      <c r="K4" s="1"/>
      <c r="L4" s="1"/>
      <c r="M4" s="1"/>
      <c r="N4" s="1"/>
      <c r="O4" s="1"/>
      <c r="P4" s="1"/>
    </row>
    <row r="5" spans="1:16">
      <c r="A5" s="1"/>
      <c r="B5" s="1"/>
      <c r="C5" s="1"/>
      <c r="D5" s="1"/>
      <c r="E5" s="1"/>
      <c r="F5" s="1"/>
      <c r="G5" s="1"/>
      <c r="H5" s="1"/>
      <c r="I5" s="1"/>
      <c r="J5" s="1"/>
      <c r="K5" s="1"/>
      <c r="L5" s="1"/>
      <c r="M5" s="1"/>
      <c r="N5" s="1"/>
      <c r="O5" s="1"/>
      <c r="P5" s="1"/>
    </row>
    <row r="6" spans="1:16">
      <c r="A6" s="1"/>
      <c r="B6" s="1"/>
      <c r="C6" s="1"/>
      <c r="D6" s="1"/>
      <c r="E6" s="1"/>
      <c r="F6" s="1"/>
      <c r="G6" s="1"/>
      <c r="H6" s="1"/>
      <c r="I6" s="1"/>
      <c r="J6" s="1"/>
      <c r="K6" s="1"/>
      <c r="L6" s="1"/>
      <c r="M6" s="1"/>
      <c r="N6" s="1"/>
      <c r="O6" s="1"/>
      <c r="P6" s="1"/>
    </row>
    <row r="7" spans="1:16" ht="48" customHeight="1">
      <c r="A7" s="2" t="s">
        <v>853</v>
      </c>
      <c r="B7" s="2" t="s">
        <v>364</v>
      </c>
      <c r="C7" s="2" t="s">
        <v>365</v>
      </c>
      <c r="D7" s="2" t="s">
        <v>366</v>
      </c>
      <c r="E7" s="2" t="s">
        <v>94</v>
      </c>
      <c r="F7" s="2" t="s">
        <v>112</v>
      </c>
      <c r="G7" s="2" t="s">
        <v>854</v>
      </c>
      <c r="H7" s="2" t="s">
        <v>855</v>
      </c>
      <c r="I7" s="2" t="s">
        <v>856</v>
      </c>
      <c r="J7" s="2" t="s">
        <v>857</v>
      </c>
      <c r="K7" s="2" t="s">
        <v>858</v>
      </c>
      <c r="L7" s="2" t="s">
        <v>859</v>
      </c>
      <c r="M7" s="2" t="s">
        <v>860</v>
      </c>
      <c r="N7" s="2" t="s">
        <v>376</v>
      </c>
      <c r="O7" s="2" t="s">
        <v>861</v>
      </c>
      <c r="P7" s="2" t="s">
        <v>862</v>
      </c>
    </row>
    <row r="8" spans="1:16" ht="36" customHeight="1">
      <c r="A8" s="1" t="s">
        <v>863</v>
      </c>
      <c r="B8" s="1" t="s">
        <v>77</v>
      </c>
      <c r="C8" s="1" t="s">
        <v>80</v>
      </c>
      <c r="D8" s="1" t="s">
        <v>83</v>
      </c>
      <c r="E8" s="1" t="s">
        <v>379</v>
      </c>
      <c r="F8" s="1" t="s">
        <v>171</v>
      </c>
      <c r="G8" s="1" t="s">
        <v>864</v>
      </c>
      <c r="H8" s="1"/>
      <c r="I8" s="1"/>
      <c r="J8" s="1" t="s">
        <v>865</v>
      </c>
      <c r="K8" s="1"/>
      <c r="L8" s="1" t="s">
        <v>866</v>
      </c>
      <c r="M8" s="1"/>
      <c r="N8" s="1"/>
      <c r="O8" s="4"/>
      <c r="P8" s="3" t="str">
        <f>IF(A8="","",IF(NOT(AND(COUNTIFS('06-نتایج بازنگری'!$A$8:$A$1007,A8)=1,AND(COUNTIFS('17-جلسات و دوره‌ها'!$A$8:$A$1007,D8)=1,IFERROR(INDEX('17-جلسات و دوره‌ها'!$B$8:$B$1007,MATCH(D8,'17-جلسات و دوره‌ها'!$A$8:$A$1007,0)),"")=B8,IFERROR(INDEX('17-جلسات و دوره‌ها'!$C$8:$C$1007,MATCH(D8,'17-جلسات و دوره‌ها'!$A$8:$A$1007,0)),"")=C8))),"شناسه یا جلسه نامعتبر",IF(AND(AND(COUNTIFS('14-مستندات و پیوست‌ها'!$A$8:$A$1007,H8)=1,IFERROR(INDEX('14-مستندات و پیوست‌ها'!$B$8:$B$1007,MATCH(H8,'14-مستندات و پیوست‌ها'!$A$8:$A$1007,0)),"")=B8,OR(IFERROR(INDEX('14-مستندات و پیوست‌ها'!$H$8:$H$1007,MATCH(H8,'14-مستندات و پیوست‌ها'!$A$8:$A$1007,0)),"")="دریافت شده",IFERROR(INDEX('14-مستندات و پیوست‌ها'!$H$8:$H$1007,MATCH(H8,'14-مستندات و پیوست‌ها'!$A$8:$A$1007,0)),"")="فرضی")),I8&lt;&gt;"",K8&lt;&gt;"",N8&lt;&gt;"",ISNUMBER(O8),J8&lt;&gt;"نیازمند اطلاعات تکمیلی",OR(L8="خیر",AND(L8="بله",COUNTIFS('07-تصمیمات و مصوبات'!$A$8:$A$1007,M8)=1,IFERROR(INDEX('07-تصمیمات و مصوبات'!$B$8:$B$1007,MATCH(M8,'07-تصمیمات و مصوبات'!$A$8:$A$1007,0)),"")=D8))),"معتبر","نتیجه یا شواهد ناقص")))</f>
        <v>نتیجه یا شواهد ناقص</v>
      </c>
    </row>
    <row r="9" spans="1:16" ht="36" customHeight="1">
      <c r="A9" s="1" t="s">
        <v>867</v>
      </c>
      <c r="B9" s="1" t="s">
        <v>77</v>
      </c>
      <c r="C9" s="1" t="s">
        <v>80</v>
      </c>
      <c r="D9" s="1" t="s">
        <v>83</v>
      </c>
      <c r="E9" s="1" t="s">
        <v>379</v>
      </c>
      <c r="F9" s="1" t="s">
        <v>171</v>
      </c>
      <c r="G9" s="1" t="s">
        <v>868</v>
      </c>
      <c r="H9" s="1"/>
      <c r="I9" s="1"/>
      <c r="J9" s="1" t="s">
        <v>865</v>
      </c>
      <c r="K9" s="1"/>
      <c r="L9" s="1" t="s">
        <v>866</v>
      </c>
      <c r="M9" s="1"/>
      <c r="N9" s="1"/>
      <c r="O9" s="4"/>
      <c r="P9" s="3" t="str">
        <f>IF(A9="","",IF(NOT(AND(COUNTIFS('06-نتایج بازنگری'!$A$8:$A$1007,A9)=1,AND(COUNTIFS('17-جلسات و دوره‌ها'!$A$8:$A$1007,D9)=1,IFERROR(INDEX('17-جلسات و دوره‌ها'!$B$8:$B$1007,MATCH(D9,'17-جلسات و دوره‌ها'!$A$8:$A$1007,0)),"")=B9,IFERROR(INDEX('17-جلسات و دوره‌ها'!$C$8:$C$1007,MATCH(D9,'17-جلسات و دوره‌ها'!$A$8:$A$1007,0)),"")=C9))),"شناسه یا جلسه نامعتبر",IF(AND(AND(COUNTIFS('14-مستندات و پیوست‌ها'!$A$8:$A$1007,H9)=1,IFERROR(INDEX('14-مستندات و پیوست‌ها'!$B$8:$B$1007,MATCH(H9,'14-مستندات و پیوست‌ها'!$A$8:$A$1007,0)),"")=B9,OR(IFERROR(INDEX('14-مستندات و پیوست‌ها'!$H$8:$H$1007,MATCH(H9,'14-مستندات و پیوست‌ها'!$A$8:$A$1007,0)),"")="دریافت شده",IFERROR(INDEX('14-مستندات و پیوست‌ها'!$H$8:$H$1007,MATCH(H9,'14-مستندات و پیوست‌ها'!$A$8:$A$1007,0)),"")="فرضی")),I9&lt;&gt;"",K9&lt;&gt;"",N9&lt;&gt;"",ISNUMBER(O9),J9&lt;&gt;"نیازمند اطلاعات تکمیلی",OR(L9="خیر",AND(L9="بله",COUNTIFS('07-تصمیمات و مصوبات'!$A$8:$A$1007,M9)=1,IFERROR(INDEX('07-تصمیمات و مصوبات'!$B$8:$B$1007,MATCH(M9,'07-تصمیمات و مصوبات'!$A$8:$A$1007,0)),"")=D9))),"معتبر","نتیجه یا شواهد ناقص")))</f>
        <v>نتیجه یا شواهد ناقص</v>
      </c>
    </row>
    <row r="10" spans="1:16" ht="36" customHeight="1">
      <c r="A10" s="1" t="s">
        <v>869</v>
      </c>
      <c r="B10" s="1" t="s">
        <v>77</v>
      </c>
      <c r="C10" s="1" t="s">
        <v>80</v>
      </c>
      <c r="D10" s="1" t="s">
        <v>83</v>
      </c>
      <c r="E10" s="1" t="s">
        <v>379</v>
      </c>
      <c r="F10" s="1" t="s">
        <v>171</v>
      </c>
      <c r="G10" s="1" t="s">
        <v>870</v>
      </c>
      <c r="H10" s="1"/>
      <c r="I10" s="1"/>
      <c r="J10" s="1" t="s">
        <v>865</v>
      </c>
      <c r="K10" s="1"/>
      <c r="L10" s="1" t="s">
        <v>866</v>
      </c>
      <c r="M10" s="1"/>
      <c r="N10" s="1"/>
      <c r="O10" s="4"/>
      <c r="P10" s="3" t="str">
        <f>IF(A10="","",IF(NOT(AND(COUNTIFS('06-نتایج بازنگری'!$A$8:$A$1007,A10)=1,AND(COUNTIFS('17-جلسات و دوره‌ها'!$A$8:$A$1007,D10)=1,IFERROR(INDEX('17-جلسات و دوره‌ها'!$B$8:$B$1007,MATCH(D10,'17-جلسات و دوره‌ها'!$A$8:$A$1007,0)),"")=B10,IFERROR(INDEX('17-جلسات و دوره‌ها'!$C$8:$C$1007,MATCH(D10,'17-جلسات و دوره‌ها'!$A$8:$A$1007,0)),"")=C10))),"شناسه یا جلسه نامعتبر",IF(AND(AND(COUNTIFS('14-مستندات و پیوست‌ها'!$A$8:$A$1007,H10)=1,IFERROR(INDEX('14-مستندات و پیوست‌ها'!$B$8:$B$1007,MATCH(H10,'14-مستندات و پیوست‌ها'!$A$8:$A$1007,0)),"")=B10,OR(IFERROR(INDEX('14-مستندات و پیوست‌ها'!$H$8:$H$1007,MATCH(H10,'14-مستندات و پیوست‌ها'!$A$8:$A$1007,0)),"")="دریافت شده",IFERROR(INDEX('14-مستندات و پیوست‌ها'!$H$8:$H$1007,MATCH(H10,'14-مستندات و پیوست‌ها'!$A$8:$A$1007,0)),"")="فرضی")),I10&lt;&gt;"",K10&lt;&gt;"",N10&lt;&gt;"",ISNUMBER(O10),J10&lt;&gt;"نیازمند اطلاعات تکمیلی",OR(L10="خیر",AND(L10="بله",COUNTIFS('07-تصمیمات و مصوبات'!$A$8:$A$1007,M10)=1,IFERROR(INDEX('07-تصمیمات و مصوبات'!$B$8:$B$1007,MATCH(M10,'07-تصمیمات و مصوبات'!$A$8:$A$1007,0)),"")=D10))),"معتبر","نتیجه یا شواهد ناقص")))</f>
        <v>نتیجه یا شواهد ناقص</v>
      </c>
    </row>
    <row r="11" spans="1:16" ht="36" customHeight="1">
      <c r="A11" s="1" t="s">
        <v>871</v>
      </c>
      <c r="B11" s="1" t="s">
        <v>77</v>
      </c>
      <c r="C11" s="1" t="s">
        <v>80</v>
      </c>
      <c r="D11" s="1" t="s">
        <v>83</v>
      </c>
      <c r="E11" s="1" t="s">
        <v>379</v>
      </c>
      <c r="F11" s="1" t="s">
        <v>236</v>
      </c>
      <c r="G11" s="1" t="s">
        <v>864</v>
      </c>
      <c r="H11" s="1"/>
      <c r="I11" s="1"/>
      <c r="J11" s="1" t="s">
        <v>865</v>
      </c>
      <c r="K11" s="1"/>
      <c r="L11" s="1" t="s">
        <v>866</v>
      </c>
      <c r="M11" s="1"/>
      <c r="N11" s="1"/>
      <c r="O11" s="4"/>
      <c r="P11" s="3" t="str">
        <f>IF(A11="","",IF(NOT(AND(COUNTIFS('06-نتایج بازنگری'!$A$8:$A$1007,A11)=1,AND(COUNTIFS('17-جلسات و دوره‌ها'!$A$8:$A$1007,D11)=1,IFERROR(INDEX('17-جلسات و دوره‌ها'!$B$8:$B$1007,MATCH(D11,'17-جلسات و دوره‌ها'!$A$8:$A$1007,0)),"")=B11,IFERROR(INDEX('17-جلسات و دوره‌ها'!$C$8:$C$1007,MATCH(D11,'17-جلسات و دوره‌ها'!$A$8:$A$1007,0)),"")=C11))),"شناسه یا جلسه نامعتبر",IF(AND(AND(COUNTIFS('14-مستندات و پیوست‌ها'!$A$8:$A$1007,H11)=1,IFERROR(INDEX('14-مستندات و پیوست‌ها'!$B$8:$B$1007,MATCH(H11,'14-مستندات و پیوست‌ها'!$A$8:$A$1007,0)),"")=B11,OR(IFERROR(INDEX('14-مستندات و پیوست‌ها'!$H$8:$H$1007,MATCH(H11,'14-مستندات و پیوست‌ها'!$A$8:$A$1007,0)),"")="دریافت شده",IFERROR(INDEX('14-مستندات و پیوست‌ها'!$H$8:$H$1007,MATCH(H11,'14-مستندات و پیوست‌ها'!$A$8:$A$1007,0)),"")="فرضی")),I11&lt;&gt;"",K11&lt;&gt;"",N11&lt;&gt;"",ISNUMBER(O11),J11&lt;&gt;"نیازمند اطلاعات تکمیلی",OR(L11="خیر",AND(L11="بله",COUNTIFS('07-تصمیمات و مصوبات'!$A$8:$A$1007,M11)=1,IFERROR(INDEX('07-تصمیمات و مصوبات'!$B$8:$B$1007,MATCH(M11,'07-تصمیمات و مصوبات'!$A$8:$A$1007,0)),"")=D11))),"معتبر","نتیجه یا شواهد ناقص")))</f>
        <v>نتیجه یا شواهد ناقص</v>
      </c>
    </row>
    <row r="12" spans="1:16" ht="36" customHeight="1">
      <c r="A12" s="1" t="s">
        <v>872</v>
      </c>
      <c r="B12" s="1" t="s">
        <v>77</v>
      </c>
      <c r="C12" s="1" t="s">
        <v>80</v>
      </c>
      <c r="D12" s="1" t="s">
        <v>83</v>
      </c>
      <c r="E12" s="1" t="s">
        <v>379</v>
      </c>
      <c r="F12" s="1" t="s">
        <v>236</v>
      </c>
      <c r="G12" s="1" t="s">
        <v>868</v>
      </c>
      <c r="H12" s="1"/>
      <c r="I12" s="1"/>
      <c r="J12" s="1" t="s">
        <v>865</v>
      </c>
      <c r="K12" s="1"/>
      <c r="L12" s="1" t="s">
        <v>866</v>
      </c>
      <c r="M12" s="1"/>
      <c r="N12" s="1"/>
      <c r="O12" s="4"/>
      <c r="P12" s="3" t="str">
        <f>IF(A12="","",IF(NOT(AND(COUNTIFS('06-نتایج بازنگری'!$A$8:$A$1007,A12)=1,AND(COUNTIFS('17-جلسات و دوره‌ها'!$A$8:$A$1007,D12)=1,IFERROR(INDEX('17-جلسات و دوره‌ها'!$B$8:$B$1007,MATCH(D12,'17-جلسات و دوره‌ها'!$A$8:$A$1007,0)),"")=B12,IFERROR(INDEX('17-جلسات و دوره‌ها'!$C$8:$C$1007,MATCH(D12,'17-جلسات و دوره‌ها'!$A$8:$A$1007,0)),"")=C12))),"شناسه یا جلسه نامعتبر",IF(AND(AND(COUNTIFS('14-مستندات و پیوست‌ها'!$A$8:$A$1007,H12)=1,IFERROR(INDEX('14-مستندات و پیوست‌ها'!$B$8:$B$1007,MATCH(H12,'14-مستندات و پیوست‌ها'!$A$8:$A$1007,0)),"")=B12,OR(IFERROR(INDEX('14-مستندات و پیوست‌ها'!$H$8:$H$1007,MATCH(H12,'14-مستندات و پیوست‌ها'!$A$8:$A$1007,0)),"")="دریافت شده",IFERROR(INDEX('14-مستندات و پیوست‌ها'!$H$8:$H$1007,MATCH(H12,'14-مستندات و پیوست‌ها'!$A$8:$A$1007,0)),"")="فرضی")),I12&lt;&gt;"",K12&lt;&gt;"",N12&lt;&gt;"",ISNUMBER(O12),J12&lt;&gt;"نیازمند اطلاعات تکمیلی",OR(L12="خیر",AND(L12="بله",COUNTIFS('07-تصمیمات و مصوبات'!$A$8:$A$1007,M12)=1,IFERROR(INDEX('07-تصمیمات و مصوبات'!$B$8:$B$1007,MATCH(M12,'07-تصمیمات و مصوبات'!$A$8:$A$1007,0)),"")=D12))),"معتبر","نتیجه یا شواهد ناقص")))</f>
        <v>نتیجه یا شواهد ناقص</v>
      </c>
    </row>
    <row r="13" spans="1:16" ht="36" customHeight="1">
      <c r="A13" s="1" t="s">
        <v>873</v>
      </c>
      <c r="B13" s="1" t="s">
        <v>77</v>
      </c>
      <c r="C13" s="1" t="s">
        <v>80</v>
      </c>
      <c r="D13" s="1" t="s">
        <v>83</v>
      </c>
      <c r="E13" s="1" t="s">
        <v>379</v>
      </c>
      <c r="F13" s="1" t="s">
        <v>236</v>
      </c>
      <c r="G13" s="1" t="s">
        <v>870</v>
      </c>
      <c r="H13" s="1"/>
      <c r="I13" s="1"/>
      <c r="J13" s="1" t="s">
        <v>865</v>
      </c>
      <c r="K13" s="1"/>
      <c r="L13" s="1" t="s">
        <v>866</v>
      </c>
      <c r="M13" s="1"/>
      <c r="N13" s="1"/>
      <c r="O13" s="4"/>
      <c r="P13" s="3" t="str">
        <f>IF(A13="","",IF(NOT(AND(COUNTIFS('06-نتایج بازنگری'!$A$8:$A$1007,A13)=1,AND(COUNTIFS('17-جلسات و دوره‌ها'!$A$8:$A$1007,D13)=1,IFERROR(INDEX('17-جلسات و دوره‌ها'!$B$8:$B$1007,MATCH(D13,'17-جلسات و دوره‌ها'!$A$8:$A$1007,0)),"")=B13,IFERROR(INDEX('17-جلسات و دوره‌ها'!$C$8:$C$1007,MATCH(D13,'17-جلسات و دوره‌ها'!$A$8:$A$1007,0)),"")=C13))),"شناسه یا جلسه نامعتبر",IF(AND(AND(COUNTIFS('14-مستندات و پیوست‌ها'!$A$8:$A$1007,H13)=1,IFERROR(INDEX('14-مستندات و پیوست‌ها'!$B$8:$B$1007,MATCH(H13,'14-مستندات و پیوست‌ها'!$A$8:$A$1007,0)),"")=B13,OR(IFERROR(INDEX('14-مستندات و پیوست‌ها'!$H$8:$H$1007,MATCH(H13,'14-مستندات و پیوست‌ها'!$A$8:$A$1007,0)),"")="دریافت شده",IFERROR(INDEX('14-مستندات و پیوست‌ها'!$H$8:$H$1007,MATCH(H13,'14-مستندات و پیوست‌ها'!$A$8:$A$1007,0)),"")="فرضی")),I13&lt;&gt;"",K13&lt;&gt;"",N13&lt;&gt;"",ISNUMBER(O13),J13&lt;&gt;"نیازمند اطلاعات تکمیلی",OR(L13="خیر",AND(L13="بله",COUNTIFS('07-تصمیمات و مصوبات'!$A$8:$A$1007,M13)=1,IFERROR(INDEX('07-تصمیمات و مصوبات'!$B$8:$B$1007,MATCH(M13,'07-تصمیمات و مصوبات'!$A$8:$A$1007,0)),"")=D13))),"معتبر","نتیجه یا شواهد ناقص")))</f>
        <v>نتیجه یا شواهد ناقص</v>
      </c>
    </row>
    <row r="14" spans="1:16" ht="36" customHeight="1">
      <c r="A14" s="1" t="s">
        <v>874</v>
      </c>
      <c r="B14" s="1" t="s">
        <v>77</v>
      </c>
      <c r="C14" s="1" t="s">
        <v>80</v>
      </c>
      <c r="D14" s="1" t="s">
        <v>83</v>
      </c>
      <c r="E14" s="1" t="s">
        <v>379</v>
      </c>
      <c r="F14" s="1" t="s">
        <v>285</v>
      </c>
      <c r="G14" s="1" t="s">
        <v>864</v>
      </c>
      <c r="H14" s="1"/>
      <c r="I14" s="1"/>
      <c r="J14" s="1" t="s">
        <v>865</v>
      </c>
      <c r="K14" s="1"/>
      <c r="L14" s="1" t="s">
        <v>866</v>
      </c>
      <c r="M14" s="1"/>
      <c r="N14" s="1"/>
      <c r="O14" s="4"/>
      <c r="P14" s="3" t="str">
        <f>IF(A14="","",IF(NOT(AND(COUNTIFS('06-نتایج بازنگری'!$A$8:$A$1007,A14)=1,AND(COUNTIFS('17-جلسات و دوره‌ها'!$A$8:$A$1007,D14)=1,IFERROR(INDEX('17-جلسات و دوره‌ها'!$B$8:$B$1007,MATCH(D14,'17-جلسات و دوره‌ها'!$A$8:$A$1007,0)),"")=B14,IFERROR(INDEX('17-جلسات و دوره‌ها'!$C$8:$C$1007,MATCH(D14,'17-جلسات و دوره‌ها'!$A$8:$A$1007,0)),"")=C14))),"شناسه یا جلسه نامعتبر",IF(AND(AND(COUNTIFS('14-مستندات و پیوست‌ها'!$A$8:$A$1007,H14)=1,IFERROR(INDEX('14-مستندات و پیوست‌ها'!$B$8:$B$1007,MATCH(H14,'14-مستندات و پیوست‌ها'!$A$8:$A$1007,0)),"")=B14,OR(IFERROR(INDEX('14-مستندات و پیوست‌ها'!$H$8:$H$1007,MATCH(H14,'14-مستندات و پیوست‌ها'!$A$8:$A$1007,0)),"")="دریافت شده",IFERROR(INDEX('14-مستندات و پیوست‌ها'!$H$8:$H$1007,MATCH(H14,'14-مستندات و پیوست‌ها'!$A$8:$A$1007,0)),"")="فرضی")),I14&lt;&gt;"",K14&lt;&gt;"",N14&lt;&gt;"",ISNUMBER(O14),J14&lt;&gt;"نیازمند اطلاعات تکمیلی",OR(L14="خیر",AND(L14="بله",COUNTIFS('07-تصمیمات و مصوبات'!$A$8:$A$1007,M14)=1,IFERROR(INDEX('07-تصمیمات و مصوبات'!$B$8:$B$1007,MATCH(M14,'07-تصمیمات و مصوبات'!$A$8:$A$1007,0)),"")=D14))),"معتبر","نتیجه یا شواهد ناقص")))</f>
        <v>نتیجه یا شواهد ناقص</v>
      </c>
    </row>
    <row r="15" spans="1:16" ht="36" customHeight="1">
      <c r="A15" s="1" t="s">
        <v>875</v>
      </c>
      <c r="B15" s="1" t="s">
        <v>77</v>
      </c>
      <c r="C15" s="1" t="s">
        <v>80</v>
      </c>
      <c r="D15" s="1" t="s">
        <v>83</v>
      </c>
      <c r="E15" s="1" t="s">
        <v>379</v>
      </c>
      <c r="F15" s="1" t="s">
        <v>285</v>
      </c>
      <c r="G15" s="1" t="s">
        <v>868</v>
      </c>
      <c r="H15" s="1"/>
      <c r="I15" s="1"/>
      <c r="J15" s="1" t="s">
        <v>865</v>
      </c>
      <c r="K15" s="1"/>
      <c r="L15" s="1" t="s">
        <v>866</v>
      </c>
      <c r="M15" s="1"/>
      <c r="N15" s="1"/>
      <c r="O15" s="4"/>
      <c r="P15" s="3" t="str">
        <f>IF(A15="","",IF(NOT(AND(COUNTIFS('06-نتایج بازنگری'!$A$8:$A$1007,A15)=1,AND(COUNTIFS('17-جلسات و دوره‌ها'!$A$8:$A$1007,D15)=1,IFERROR(INDEX('17-جلسات و دوره‌ها'!$B$8:$B$1007,MATCH(D15,'17-جلسات و دوره‌ها'!$A$8:$A$1007,0)),"")=B15,IFERROR(INDEX('17-جلسات و دوره‌ها'!$C$8:$C$1007,MATCH(D15,'17-جلسات و دوره‌ها'!$A$8:$A$1007,0)),"")=C15))),"شناسه یا جلسه نامعتبر",IF(AND(AND(COUNTIFS('14-مستندات و پیوست‌ها'!$A$8:$A$1007,H15)=1,IFERROR(INDEX('14-مستندات و پیوست‌ها'!$B$8:$B$1007,MATCH(H15,'14-مستندات و پیوست‌ها'!$A$8:$A$1007,0)),"")=B15,OR(IFERROR(INDEX('14-مستندات و پیوست‌ها'!$H$8:$H$1007,MATCH(H15,'14-مستندات و پیوست‌ها'!$A$8:$A$1007,0)),"")="دریافت شده",IFERROR(INDEX('14-مستندات و پیوست‌ها'!$H$8:$H$1007,MATCH(H15,'14-مستندات و پیوست‌ها'!$A$8:$A$1007,0)),"")="فرضی")),I15&lt;&gt;"",K15&lt;&gt;"",N15&lt;&gt;"",ISNUMBER(O15),J15&lt;&gt;"نیازمند اطلاعات تکمیلی",OR(L15="خیر",AND(L15="بله",COUNTIFS('07-تصمیمات و مصوبات'!$A$8:$A$1007,M15)=1,IFERROR(INDEX('07-تصمیمات و مصوبات'!$B$8:$B$1007,MATCH(M15,'07-تصمیمات و مصوبات'!$A$8:$A$1007,0)),"")=D15))),"معتبر","نتیجه یا شواهد ناقص")))</f>
        <v>نتیجه یا شواهد ناقص</v>
      </c>
    </row>
    <row r="16" spans="1:16" ht="36" customHeight="1">
      <c r="A16" s="1" t="s">
        <v>876</v>
      </c>
      <c r="B16" s="1" t="s">
        <v>77</v>
      </c>
      <c r="C16" s="1" t="s">
        <v>80</v>
      </c>
      <c r="D16" s="1" t="s">
        <v>83</v>
      </c>
      <c r="E16" s="1" t="s">
        <v>379</v>
      </c>
      <c r="F16" s="1" t="s">
        <v>285</v>
      </c>
      <c r="G16" s="1" t="s">
        <v>870</v>
      </c>
      <c r="H16" s="1"/>
      <c r="I16" s="1"/>
      <c r="J16" s="1" t="s">
        <v>865</v>
      </c>
      <c r="K16" s="1"/>
      <c r="L16" s="1" t="s">
        <v>866</v>
      </c>
      <c r="M16" s="1"/>
      <c r="N16" s="1"/>
      <c r="O16" s="4"/>
      <c r="P16" s="3" t="str">
        <f>IF(A16="","",IF(NOT(AND(COUNTIFS('06-نتایج بازنگری'!$A$8:$A$1007,A16)=1,AND(COUNTIFS('17-جلسات و دوره‌ها'!$A$8:$A$1007,D16)=1,IFERROR(INDEX('17-جلسات و دوره‌ها'!$B$8:$B$1007,MATCH(D16,'17-جلسات و دوره‌ها'!$A$8:$A$1007,0)),"")=B16,IFERROR(INDEX('17-جلسات و دوره‌ها'!$C$8:$C$1007,MATCH(D16,'17-جلسات و دوره‌ها'!$A$8:$A$1007,0)),"")=C16))),"شناسه یا جلسه نامعتبر",IF(AND(AND(COUNTIFS('14-مستندات و پیوست‌ها'!$A$8:$A$1007,H16)=1,IFERROR(INDEX('14-مستندات و پیوست‌ها'!$B$8:$B$1007,MATCH(H16,'14-مستندات و پیوست‌ها'!$A$8:$A$1007,0)),"")=B16,OR(IFERROR(INDEX('14-مستندات و پیوست‌ها'!$H$8:$H$1007,MATCH(H16,'14-مستندات و پیوست‌ها'!$A$8:$A$1007,0)),"")="دریافت شده",IFERROR(INDEX('14-مستندات و پیوست‌ها'!$H$8:$H$1007,MATCH(H16,'14-مستندات و پیوست‌ها'!$A$8:$A$1007,0)),"")="فرضی")),I16&lt;&gt;"",K16&lt;&gt;"",N16&lt;&gt;"",ISNUMBER(O16),J16&lt;&gt;"نیازمند اطلاعات تکمیلی",OR(L16="خیر",AND(L16="بله",COUNTIFS('07-تصمیمات و مصوبات'!$A$8:$A$1007,M16)=1,IFERROR(INDEX('07-تصمیمات و مصوبات'!$B$8:$B$1007,MATCH(M16,'07-تصمیمات و مصوبات'!$A$8:$A$1007,0)),"")=D16))),"معتبر","نتیجه یا شواهد ناقص")))</f>
        <v>نتیجه یا شواهد ناقص</v>
      </c>
    </row>
    <row r="17" spans="1:16" ht="36" customHeight="1">
      <c r="A17" s="1" t="s">
        <v>877</v>
      </c>
      <c r="B17" s="1" t="s">
        <v>77</v>
      </c>
      <c r="C17" s="1" t="s">
        <v>80</v>
      </c>
      <c r="D17" s="1" t="s">
        <v>83</v>
      </c>
      <c r="E17" s="1" t="s">
        <v>379</v>
      </c>
      <c r="F17" s="1" t="s">
        <v>330</v>
      </c>
      <c r="G17" s="1" t="s">
        <v>864</v>
      </c>
      <c r="H17" s="1"/>
      <c r="I17" s="1"/>
      <c r="J17" s="1" t="s">
        <v>865</v>
      </c>
      <c r="K17" s="1"/>
      <c r="L17" s="1" t="s">
        <v>866</v>
      </c>
      <c r="M17" s="1"/>
      <c r="N17" s="1"/>
      <c r="O17" s="4"/>
      <c r="P17" s="3" t="str">
        <f>IF(A17="","",IF(NOT(AND(COUNTIFS('06-نتایج بازنگری'!$A$8:$A$1007,A17)=1,AND(COUNTIFS('17-جلسات و دوره‌ها'!$A$8:$A$1007,D17)=1,IFERROR(INDEX('17-جلسات و دوره‌ها'!$B$8:$B$1007,MATCH(D17,'17-جلسات و دوره‌ها'!$A$8:$A$1007,0)),"")=B17,IFERROR(INDEX('17-جلسات و دوره‌ها'!$C$8:$C$1007,MATCH(D17,'17-جلسات و دوره‌ها'!$A$8:$A$1007,0)),"")=C17))),"شناسه یا جلسه نامعتبر",IF(AND(AND(COUNTIFS('14-مستندات و پیوست‌ها'!$A$8:$A$1007,H17)=1,IFERROR(INDEX('14-مستندات و پیوست‌ها'!$B$8:$B$1007,MATCH(H17,'14-مستندات و پیوست‌ها'!$A$8:$A$1007,0)),"")=B17,OR(IFERROR(INDEX('14-مستندات و پیوست‌ها'!$H$8:$H$1007,MATCH(H17,'14-مستندات و پیوست‌ها'!$A$8:$A$1007,0)),"")="دریافت شده",IFERROR(INDEX('14-مستندات و پیوست‌ها'!$H$8:$H$1007,MATCH(H17,'14-مستندات و پیوست‌ها'!$A$8:$A$1007,0)),"")="فرضی")),I17&lt;&gt;"",K17&lt;&gt;"",N17&lt;&gt;"",ISNUMBER(O17),J17&lt;&gt;"نیازمند اطلاعات تکمیلی",OR(L17="خیر",AND(L17="بله",COUNTIFS('07-تصمیمات و مصوبات'!$A$8:$A$1007,M17)=1,IFERROR(INDEX('07-تصمیمات و مصوبات'!$B$8:$B$1007,MATCH(M17,'07-تصمیمات و مصوبات'!$A$8:$A$1007,0)),"")=D17))),"معتبر","نتیجه یا شواهد ناقص")))</f>
        <v>نتیجه یا شواهد ناقص</v>
      </c>
    </row>
    <row r="18" spans="1:16" ht="36" customHeight="1">
      <c r="A18" s="1" t="s">
        <v>878</v>
      </c>
      <c r="B18" s="1" t="s">
        <v>77</v>
      </c>
      <c r="C18" s="1" t="s">
        <v>80</v>
      </c>
      <c r="D18" s="1" t="s">
        <v>83</v>
      </c>
      <c r="E18" s="1" t="s">
        <v>379</v>
      </c>
      <c r="F18" s="1" t="s">
        <v>330</v>
      </c>
      <c r="G18" s="1" t="s">
        <v>868</v>
      </c>
      <c r="H18" s="1"/>
      <c r="I18" s="1"/>
      <c r="J18" s="1" t="s">
        <v>865</v>
      </c>
      <c r="K18" s="1"/>
      <c r="L18" s="1" t="s">
        <v>866</v>
      </c>
      <c r="M18" s="1"/>
      <c r="N18" s="1"/>
      <c r="O18" s="4"/>
      <c r="P18" s="3" t="str">
        <f>IF(A18="","",IF(NOT(AND(COUNTIFS('06-نتایج بازنگری'!$A$8:$A$1007,A18)=1,AND(COUNTIFS('17-جلسات و دوره‌ها'!$A$8:$A$1007,D18)=1,IFERROR(INDEX('17-جلسات و دوره‌ها'!$B$8:$B$1007,MATCH(D18,'17-جلسات و دوره‌ها'!$A$8:$A$1007,0)),"")=B18,IFERROR(INDEX('17-جلسات و دوره‌ها'!$C$8:$C$1007,MATCH(D18,'17-جلسات و دوره‌ها'!$A$8:$A$1007,0)),"")=C18))),"شناسه یا جلسه نامعتبر",IF(AND(AND(COUNTIFS('14-مستندات و پیوست‌ها'!$A$8:$A$1007,H18)=1,IFERROR(INDEX('14-مستندات و پیوست‌ها'!$B$8:$B$1007,MATCH(H18,'14-مستندات و پیوست‌ها'!$A$8:$A$1007,0)),"")=B18,OR(IFERROR(INDEX('14-مستندات و پیوست‌ها'!$H$8:$H$1007,MATCH(H18,'14-مستندات و پیوست‌ها'!$A$8:$A$1007,0)),"")="دریافت شده",IFERROR(INDEX('14-مستندات و پیوست‌ها'!$H$8:$H$1007,MATCH(H18,'14-مستندات و پیوست‌ها'!$A$8:$A$1007,0)),"")="فرضی")),I18&lt;&gt;"",K18&lt;&gt;"",N18&lt;&gt;"",ISNUMBER(O18),J18&lt;&gt;"نیازمند اطلاعات تکمیلی",OR(L18="خیر",AND(L18="بله",COUNTIFS('07-تصمیمات و مصوبات'!$A$8:$A$1007,M18)=1,IFERROR(INDEX('07-تصمیمات و مصوبات'!$B$8:$B$1007,MATCH(M18,'07-تصمیمات و مصوبات'!$A$8:$A$1007,0)),"")=D18))),"معتبر","نتیجه یا شواهد ناقص")))</f>
        <v>نتیجه یا شواهد ناقص</v>
      </c>
    </row>
    <row r="19" spans="1:16" ht="36" customHeight="1">
      <c r="A19" s="1" t="s">
        <v>879</v>
      </c>
      <c r="B19" s="1" t="s">
        <v>77</v>
      </c>
      <c r="C19" s="1" t="s">
        <v>80</v>
      </c>
      <c r="D19" s="1" t="s">
        <v>83</v>
      </c>
      <c r="E19" s="1" t="s">
        <v>379</v>
      </c>
      <c r="F19" s="1" t="s">
        <v>330</v>
      </c>
      <c r="G19" s="1" t="s">
        <v>870</v>
      </c>
      <c r="H19" s="1"/>
      <c r="I19" s="1"/>
      <c r="J19" s="1" t="s">
        <v>865</v>
      </c>
      <c r="K19" s="1"/>
      <c r="L19" s="1" t="s">
        <v>866</v>
      </c>
      <c r="M19" s="1"/>
      <c r="N19" s="1"/>
      <c r="O19" s="4"/>
      <c r="P19" s="3" t="str">
        <f>IF(A19="","",IF(NOT(AND(COUNTIFS('06-نتایج بازنگری'!$A$8:$A$1007,A19)=1,AND(COUNTIFS('17-جلسات و دوره‌ها'!$A$8:$A$1007,D19)=1,IFERROR(INDEX('17-جلسات و دوره‌ها'!$B$8:$B$1007,MATCH(D19,'17-جلسات و دوره‌ها'!$A$8:$A$1007,0)),"")=B19,IFERROR(INDEX('17-جلسات و دوره‌ها'!$C$8:$C$1007,MATCH(D19,'17-جلسات و دوره‌ها'!$A$8:$A$1007,0)),"")=C19))),"شناسه یا جلسه نامعتبر",IF(AND(AND(COUNTIFS('14-مستندات و پیوست‌ها'!$A$8:$A$1007,H19)=1,IFERROR(INDEX('14-مستندات و پیوست‌ها'!$B$8:$B$1007,MATCH(H19,'14-مستندات و پیوست‌ها'!$A$8:$A$1007,0)),"")=B19,OR(IFERROR(INDEX('14-مستندات و پیوست‌ها'!$H$8:$H$1007,MATCH(H19,'14-مستندات و پیوست‌ها'!$A$8:$A$1007,0)),"")="دریافت شده",IFERROR(INDEX('14-مستندات و پیوست‌ها'!$H$8:$H$1007,MATCH(H19,'14-مستندات و پیوست‌ها'!$A$8:$A$1007,0)),"")="فرضی")),I19&lt;&gt;"",K19&lt;&gt;"",N19&lt;&gt;"",ISNUMBER(O19),J19&lt;&gt;"نیازمند اطلاعات تکمیلی",OR(L19="خیر",AND(L19="بله",COUNTIFS('07-تصمیمات و مصوبات'!$A$8:$A$1007,M19)=1,IFERROR(INDEX('07-تصمیمات و مصوبات'!$B$8:$B$1007,MATCH(M19,'07-تصمیمات و مصوبات'!$A$8:$A$1007,0)),"")=D19))),"معتبر","نتیجه یا شواهد ناقص")))</f>
        <v>نتیجه یا شواهد ناقص</v>
      </c>
    </row>
    <row r="20" spans="1:16" ht="36" customHeight="1">
      <c r="A20" s="1" t="s">
        <v>880</v>
      </c>
      <c r="B20" s="1" t="s">
        <v>99</v>
      </c>
      <c r="C20" s="1" t="s">
        <v>529</v>
      </c>
      <c r="D20" s="1" t="s">
        <v>530</v>
      </c>
      <c r="E20" s="1" t="s">
        <v>531</v>
      </c>
      <c r="F20" s="1" t="s">
        <v>171</v>
      </c>
      <c r="G20" s="1" t="s">
        <v>864</v>
      </c>
      <c r="H20" s="1" t="s">
        <v>534</v>
      </c>
      <c r="I20" s="1" t="s">
        <v>881</v>
      </c>
      <c r="J20" s="1" t="s">
        <v>865</v>
      </c>
      <c r="K20" s="1"/>
      <c r="L20" s="1" t="s">
        <v>866</v>
      </c>
      <c r="M20" s="1"/>
      <c r="N20" s="1"/>
      <c r="O20" s="4"/>
      <c r="P20" s="3" t="str">
        <f>IF(A20="","",IF(NOT(AND(COUNTIFS('06-نتایج بازنگری'!$A$8:$A$1007,A20)=1,AND(COUNTIFS('17-جلسات و دوره‌ها'!$A$8:$A$1007,D20)=1,IFERROR(INDEX('17-جلسات و دوره‌ها'!$B$8:$B$1007,MATCH(D20,'17-جلسات و دوره‌ها'!$A$8:$A$1007,0)),"")=B20,IFERROR(INDEX('17-جلسات و دوره‌ها'!$C$8:$C$1007,MATCH(D20,'17-جلسات و دوره‌ها'!$A$8:$A$1007,0)),"")=C20))),"شناسه یا جلسه نامعتبر",IF(AND(AND(COUNTIFS('14-مستندات و پیوست‌ها'!$A$8:$A$1007,H20)=1,IFERROR(INDEX('14-مستندات و پیوست‌ها'!$B$8:$B$1007,MATCH(H20,'14-مستندات و پیوست‌ها'!$A$8:$A$1007,0)),"")=B20,OR(IFERROR(INDEX('14-مستندات و پیوست‌ها'!$H$8:$H$1007,MATCH(H20,'14-مستندات و پیوست‌ها'!$A$8:$A$1007,0)),"")="دریافت شده",IFERROR(INDEX('14-مستندات و پیوست‌ها'!$H$8:$H$1007,MATCH(H20,'14-مستندات و پیوست‌ها'!$A$8:$A$1007,0)),"")="فرضی")),I20&lt;&gt;"",K20&lt;&gt;"",N20&lt;&gt;"",ISNUMBER(O20),J20&lt;&gt;"نیازمند اطلاعات تکمیلی",OR(L20="خیر",AND(L20="بله",COUNTIFS('07-تصمیمات و مصوبات'!$A$8:$A$1007,M20)=1,IFERROR(INDEX('07-تصمیمات و مصوبات'!$B$8:$B$1007,MATCH(M20,'07-تصمیمات و مصوبات'!$A$8:$A$1007,0)),"")=D20))),"معتبر","نتیجه یا شواهد ناقص")))</f>
        <v>نتیجه یا شواهد ناقص</v>
      </c>
    </row>
    <row r="21" spans="1:16" ht="36" customHeight="1">
      <c r="A21" s="1" t="s">
        <v>882</v>
      </c>
      <c r="B21" s="1" t="s">
        <v>99</v>
      </c>
      <c r="C21" s="1" t="s">
        <v>529</v>
      </c>
      <c r="D21" s="1" t="s">
        <v>530</v>
      </c>
      <c r="E21" s="1" t="s">
        <v>531</v>
      </c>
      <c r="F21" s="1" t="s">
        <v>171</v>
      </c>
      <c r="G21" s="1" t="s">
        <v>868</v>
      </c>
      <c r="H21" s="1" t="s">
        <v>534</v>
      </c>
      <c r="I21" s="1" t="s">
        <v>881</v>
      </c>
      <c r="J21" s="1" t="s">
        <v>865</v>
      </c>
      <c r="K21" s="1"/>
      <c r="L21" s="1" t="s">
        <v>866</v>
      </c>
      <c r="M21" s="1"/>
      <c r="N21" s="1"/>
      <c r="O21" s="4"/>
      <c r="P21" s="3" t="str">
        <f>IF(A21="","",IF(NOT(AND(COUNTIFS('06-نتایج بازنگری'!$A$8:$A$1007,A21)=1,AND(COUNTIFS('17-جلسات و دوره‌ها'!$A$8:$A$1007,D21)=1,IFERROR(INDEX('17-جلسات و دوره‌ها'!$B$8:$B$1007,MATCH(D21,'17-جلسات و دوره‌ها'!$A$8:$A$1007,0)),"")=B21,IFERROR(INDEX('17-جلسات و دوره‌ها'!$C$8:$C$1007,MATCH(D21,'17-جلسات و دوره‌ها'!$A$8:$A$1007,0)),"")=C21))),"شناسه یا جلسه نامعتبر",IF(AND(AND(COUNTIFS('14-مستندات و پیوست‌ها'!$A$8:$A$1007,H21)=1,IFERROR(INDEX('14-مستندات و پیوست‌ها'!$B$8:$B$1007,MATCH(H21,'14-مستندات و پیوست‌ها'!$A$8:$A$1007,0)),"")=B21,OR(IFERROR(INDEX('14-مستندات و پیوست‌ها'!$H$8:$H$1007,MATCH(H21,'14-مستندات و پیوست‌ها'!$A$8:$A$1007,0)),"")="دریافت شده",IFERROR(INDEX('14-مستندات و پیوست‌ها'!$H$8:$H$1007,MATCH(H21,'14-مستندات و پیوست‌ها'!$A$8:$A$1007,0)),"")="فرضی")),I21&lt;&gt;"",K21&lt;&gt;"",N21&lt;&gt;"",ISNUMBER(O21),J21&lt;&gt;"نیازمند اطلاعات تکمیلی",OR(L21="خیر",AND(L21="بله",COUNTIFS('07-تصمیمات و مصوبات'!$A$8:$A$1007,M21)=1,IFERROR(INDEX('07-تصمیمات و مصوبات'!$B$8:$B$1007,MATCH(M21,'07-تصمیمات و مصوبات'!$A$8:$A$1007,0)),"")=D21))),"معتبر","نتیجه یا شواهد ناقص")))</f>
        <v>نتیجه یا شواهد ناقص</v>
      </c>
    </row>
    <row r="22" spans="1:16" ht="36" customHeight="1">
      <c r="A22" s="1" t="s">
        <v>883</v>
      </c>
      <c r="B22" s="1" t="s">
        <v>99</v>
      </c>
      <c r="C22" s="1" t="s">
        <v>529</v>
      </c>
      <c r="D22" s="1" t="s">
        <v>530</v>
      </c>
      <c r="E22" s="1" t="s">
        <v>531</v>
      </c>
      <c r="F22" s="1" t="s">
        <v>171</v>
      </c>
      <c r="G22" s="1" t="s">
        <v>870</v>
      </c>
      <c r="H22" s="1" t="s">
        <v>534</v>
      </c>
      <c r="I22" s="1" t="s">
        <v>881</v>
      </c>
      <c r="J22" s="1" t="s">
        <v>865</v>
      </c>
      <c r="K22" s="1"/>
      <c r="L22" s="1" t="s">
        <v>866</v>
      </c>
      <c r="M22" s="1"/>
      <c r="N22" s="1"/>
      <c r="O22" s="4"/>
      <c r="P22" s="3" t="str">
        <f>IF(A22="","",IF(NOT(AND(COUNTIFS('06-نتایج بازنگری'!$A$8:$A$1007,A22)=1,AND(COUNTIFS('17-جلسات و دوره‌ها'!$A$8:$A$1007,D22)=1,IFERROR(INDEX('17-جلسات و دوره‌ها'!$B$8:$B$1007,MATCH(D22,'17-جلسات و دوره‌ها'!$A$8:$A$1007,0)),"")=B22,IFERROR(INDEX('17-جلسات و دوره‌ها'!$C$8:$C$1007,MATCH(D22,'17-جلسات و دوره‌ها'!$A$8:$A$1007,0)),"")=C22))),"شناسه یا جلسه نامعتبر",IF(AND(AND(COUNTIFS('14-مستندات و پیوست‌ها'!$A$8:$A$1007,H22)=1,IFERROR(INDEX('14-مستندات و پیوست‌ها'!$B$8:$B$1007,MATCH(H22,'14-مستندات و پیوست‌ها'!$A$8:$A$1007,0)),"")=B22,OR(IFERROR(INDEX('14-مستندات و پیوست‌ها'!$H$8:$H$1007,MATCH(H22,'14-مستندات و پیوست‌ها'!$A$8:$A$1007,0)),"")="دریافت شده",IFERROR(INDEX('14-مستندات و پیوست‌ها'!$H$8:$H$1007,MATCH(H22,'14-مستندات و پیوست‌ها'!$A$8:$A$1007,0)),"")="فرضی")),I22&lt;&gt;"",K22&lt;&gt;"",N22&lt;&gt;"",ISNUMBER(O22),J22&lt;&gt;"نیازمند اطلاعات تکمیلی",OR(L22="خیر",AND(L22="بله",COUNTIFS('07-تصمیمات و مصوبات'!$A$8:$A$1007,M22)=1,IFERROR(INDEX('07-تصمیمات و مصوبات'!$B$8:$B$1007,MATCH(M22,'07-تصمیمات و مصوبات'!$A$8:$A$1007,0)),"")=D22))),"معتبر","نتیجه یا شواهد ناقص")))</f>
        <v>نتیجه یا شواهد ناقص</v>
      </c>
    </row>
    <row r="23" spans="1:16" ht="36" customHeight="1">
      <c r="A23" s="1" t="s">
        <v>884</v>
      </c>
      <c r="B23" s="1" t="s">
        <v>99</v>
      </c>
      <c r="C23" s="1" t="s">
        <v>529</v>
      </c>
      <c r="D23" s="1" t="s">
        <v>530</v>
      </c>
      <c r="E23" s="1" t="s">
        <v>531</v>
      </c>
      <c r="F23" s="1" t="s">
        <v>236</v>
      </c>
      <c r="G23" s="1" t="s">
        <v>864</v>
      </c>
      <c r="H23" s="1" t="s">
        <v>534</v>
      </c>
      <c r="I23" s="1" t="s">
        <v>881</v>
      </c>
      <c r="J23" s="1" t="s">
        <v>865</v>
      </c>
      <c r="K23" s="1"/>
      <c r="L23" s="1" t="s">
        <v>866</v>
      </c>
      <c r="M23" s="1"/>
      <c r="N23" s="1"/>
      <c r="O23" s="4"/>
      <c r="P23" s="3" t="str">
        <f>IF(A23="","",IF(NOT(AND(COUNTIFS('06-نتایج بازنگری'!$A$8:$A$1007,A23)=1,AND(COUNTIFS('17-جلسات و دوره‌ها'!$A$8:$A$1007,D23)=1,IFERROR(INDEX('17-جلسات و دوره‌ها'!$B$8:$B$1007,MATCH(D23,'17-جلسات و دوره‌ها'!$A$8:$A$1007,0)),"")=B23,IFERROR(INDEX('17-جلسات و دوره‌ها'!$C$8:$C$1007,MATCH(D23,'17-جلسات و دوره‌ها'!$A$8:$A$1007,0)),"")=C23))),"شناسه یا جلسه نامعتبر",IF(AND(AND(COUNTIFS('14-مستندات و پیوست‌ها'!$A$8:$A$1007,H23)=1,IFERROR(INDEX('14-مستندات و پیوست‌ها'!$B$8:$B$1007,MATCH(H23,'14-مستندات و پیوست‌ها'!$A$8:$A$1007,0)),"")=B23,OR(IFERROR(INDEX('14-مستندات و پیوست‌ها'!$H$8:$H$1007,MATCH(H23,'14-مستندات و پیوست‌ها'!$A$8:$A$1007,0)),"")="دریافت شده",IFERROR(INDEX('14-مستندات و پیوست‌ها'!$H$8:$H$1007,MATCH(H23,'14-مستندات و پیوست‌ها'!$A$8:$A$1007,0)),"")="فرضی")),I23&lt;&gt;"",K23&lt;&gt;"",N23&lt;&gt;"",ISNUMBER(O23),J23&lt;&gt;"نیازمند اطلاعات تکمیلی",OR(L23="خیر",AND(L23="بله",COUNTIFS('07-تصمیمات و مصوبات'!$A$8:$A$1007,M23)=1,IFERROR(INDEX('07-تصمیمات و مصوبات'!$B$8:$B$1007,MATCH(M23,'07-تصمیمات و مصوبات'!$A$8:$A$1007,0)),"")=D23))),"معتبر","نتیجه یا شواهد ناقص")))</f>
        <v>نتیجه یا شواهد ناقص</v>
      </c>
    </row>
    <row r="24" spans="1:16" ht="36" customHeight="1">
      <c r="A24" s="1" t="s">
        <v>885</v>
      </c>
      <c r="B24" s="1" t="s">
        <v>99</v>
      </c>
      <c r="C24" s="1" t="s">
        <v>529</v>
      </c>
      <c r="D24" s="1" t="s">
        <v>530</v>
      </c>
      <c r="E24" s="1" t="s">
        <v>531</v>
      </c>
      <c r="F24" s="1" t="s">
        <v>236</v>
      </c>
      <c r="G24" s="1" t="s">
        <v>868</v>
      </c>
      <c r="H24" s="1" t="s">
        <v>534</v>
      </c>
      <c r="I24" s="1" t="s">
        <v>881</v>
      </c>
      <c r="J24" s="1" t="s">
        <v>865</v>
      </c>
      <c r="K24" s="1"/>
      <c r="L24" s="1" t="s">
        <v>866</v>
      </c>
      <c r="M24" s="1"/>
      <c r="N24" s="1"/>
      <c r="O24" s="4"/>
      <c r="P24" s="3" t="str">
        <f>IF(A24="","",IF(NOT(AND(COUNTIFS('06-نتایج بازنگری'!$A$8:$A$1007,A24)=1,AND(COUNTIFS('17-جلسات و دوره‌ها'!$A$8:$A$1007,D24)=1,IFERROR(INDEX('17-جلسات و دوره‌ها'!$B$8:$B$1007,MATCH(D24,'17-جلسات و دوره‌ها'!$A$8:$A$1007,0)),"")=B24,IFERROR(INDEX('17-جلسات و دوره‌ها'!$C$8:$C$1007,MATCH(D24,'17-جلسات و دوره‌ها'!$A$8:$A$1007,0)),"")=C24))),"شناسه یا جلسه نامعتبر",IF(AND(AND(COUNTIFS('14-مستندات و پیوست‌ها'!$A$8:$A$1007,H24)=1,IFERROR(INDEX('14-مستندات و پیوست‌ها'!$B$8:$B$1007,MATCH(H24,'14-مستندات و پیوست‌ها'!$A$8:$A$1007,0)),"")=B24,OR(IFERROR(INDEX('14-مستندات و پیوست‌ها'!$H$8:$H$1007,MATCH(H24,'14-مستندات و پیوست‌ها'!$A$8:$A$1007,0)),"")="دریافت شده",IFERROR(INDEX('14-مستندات و پیوست‌ها'!$H$8:$H$1007,MATCH(H24,'14-مستندات و پیوست‌ها'!$A$8:$A$1007,0)),"")="فرضی")),I24&lt;&gt;"",K24&lt;&gt;"",N24&lt;&gt;"",ISNUMBER(O24),J24&lt;&gt;"نیازمند اطلاعات تکمیلی",OR(L24="خیر",AND(L24="بله",COUNTIFS('07-تصمیمات و مصوبات'!$A$8:$A$1007,M24)=1,IFERROR(INDEX('07-تصمیمات و مصوبات'!$B$8:$B$1007,MATCH(M24,'07-تصمیمات و مصوبات'!$A$8:$A$1007,0)),"")=D24))),"معتبر","نتیجه یا شواهد ناقص")))</f>
        <v>نتیجه یا شواهد ناقص</v>
      </c>
    </row>
    <row r="25" spans="1:16" ht="36" customHeight="1">
      <c r="A25" s="1" t="s">
        <v>886</v>
      </c>
      <c r="B25" s="1" t="s">
        <v>99</v>
      </c>
      <c r="C25" s="1" t="s">
        <v>529</v>
      </c>
      <c r="D25" s="1" t="s">
        <v>530</v>
      </c>
      <c r="E25" s="1" t="s">
        <v>531</v>
      </c>
      <c r="F25" s="1" t="s">
        <v>236</v>
      </c>
      <c r="G25" s="1" t="s">
        <v>870</v>
      </c>
      <c r="H25" s="1" t="s">
        <v>534</v>
      </c>
      <c r="I25" s="1" t="s">
        <v>881</v>
      </c>
      <c r="J25" s="1" t="s">
        <v>865</v>
      </c>
      <c r="K25" s="1"/>
      <c r="L25" s="1" t="s">
        <v>866</v>
      </c>
      <c r="M25" s="1"/>
      <c r="N25" s="1"/>
      <c r="O25" s="4"/>
      <c r="P25" s="3" t="str">
        <f>IF(A25="","",IF(NOT(AND(COUNTIFS('06-نتایج بازنگری'!$A$8:$A$1007,A25)=1,AND(COUNTIFS('17-جلسات و دوره‌ها'!$A$8:$A$1007,D25)=1,IFERROR(INDEX('17-جلسات و دوره‌ها'!$B$8:$B$1007,MATCH(D25,'17-جلسات و دوره‌ها'!$A$8:$A$1007,0)),"")=B25,IFERROR(INDEX('17-جلسات و دوره‌ها'!$C$8:$C$1007,MATCH(D25,'17-جلسات و دوره‌ها'!$A$8:$A$1007,0)),"")=C25))),"شناسه یا جلسه نامعتبر",IF(AND(AND(COUNTIFS('14-مستندات و پیوست‌ها'!$A$8:$A$1007,H25)=1,IFERROR(INDEX('14-مستندات و پیوست‌ها'!$B$8:$B$1007,MATCH(H25,'14-مستندات و پیوست‌ها'!$A$8:$A$1007,0)),"")=B25,OR(IFERROR(INDEX('14-مستندات و پیوست‌ها'!$H$8:$H$1007,MATCH(H25,'14-مستندات و پیوست‌ها'!$A$8:$A$1007,0)),"")="دریافت شده",IFERROR(INDEX('14-مستندات و پیوست‌ها'!$H$8:$H$1007,MATCH(H25,'14-مستندات و پیوست‌ها'!$A$8:$A$1007,0)),"")="فرضی")),I25&lt;&gt;"",K25&lt;&gt;"",N25&lt;&gt;"",ISNUMBER(O25),J25&lt;&gt;"نیازمند اطلاعات تکمیلی",OR(L25="خیر",AND(L25="بله",COUNTIFS('07-تصمیمات و مصوبات'!$A$8:$A$1007,M25)=1,IFERROR(INDEX('07-تصمیمات و مصوبات'!$B$8:$B$1007,MATCH(M25,'07-تصمیمات و مصوبات'!$A$8:$A$1007,0)),"")=D25))),"معتبر","نتیجه یا شواهد ناقص")))</f>
        <v>نتیجه یا شواهد ناقص</v>
      </c>
    </row>
    <row r="26" spans="1:16" ht="36" customHeight="1">
      <c r="A26" s="1" t="s">
        <v>887</v>
      </c>
      <c r="B26" s="1" t="s">
        <v>99</v>
      </c>
      <c r="C26" s="1" t="s">
        <v>529</v>
      </c>
      <c r="D26" s="1" t="s">
        <v>530</v>
      </c>
      <c r="E26" s="1" t="s">
        <v>531</v>
      </c>
      <c r="F26" s="1" t="s">
        <v>285</v>
      </c>
      <c r="G26" s="1" t="s">
        <v>864</v>
      </c>
      <c r="H26" s="1" t="s">
        <v>534</v>
      </c>
      <c r="I26" s="1" t="s">
        <v>881</v>
      </c>
      <c r="J26" s="1" t="s">
        <v>865</v>
      </c>
      <c r="K26" s="1"/>
      <c r="L26" s="1" t="s">
        <v>866</v>
      </c>
      <c r="M26" s="1"/>
      <c r="N26" s="1"/>
      <c r="O26" s="4"/>
      <c r="P26" s="3" t="str">
        <f>IF(A26="","",IF(NOT(AND(COUNTIFS('06-نتایج بازنگری'!$A$8:$A$1007,A26)=1,AND(COUNTIFS('17-جلسات و دوره‌ها'!$A$8:$A$1007,D26)=1,IFERROR(INDEX('17-جلسات و دوره‌ها'!$B$8:$B$1007,MATCH(D26,'17-جلسات و دوره‌ها'!$A$8:$A$1007,0)),"")=B26,IFERROR(INDEX('17-جلسات و دوره‌ها'!$C$8:$C$1007,MATCH(D26,'17-جلسات و دوره‌ها'!$A$8:$A$1007,0)),"")=C26))),"شناسه یا جلسه نامعتبر",IF(AND(AND(COUNTIFS('14-مستندات و پیوست‌ها'!$A$8:$A$1007,H26)=1,IFERROR(INDEX('14-مستندات و پیوست‌ها'!$B$8:$B$1007,MATCH(H26,'14-مستندات و پیوست‌ها'!$A$8:$A$1007,0)),"")=B26,OR(IFERROR(INDEX('14-مستندات و پیوست‌ها'!$H$8:$H$1007,MATCH(H26,'14-مستندات و پیوست‌ها'!$A$8:$A$1007,0)),"")="دریافت شده",IFERROR(INDEX('14-مستندات و پیوست‌ها'!$H$8:$H$1007,MATCH(H26,'14-مستندات و پیوست‌ها'!$A$8:$A$1007,0)),"")="فرضی")),I26&lt;&gt;"",K26&lt;&gt;"",N26&lt;&gt;"",ISNUMBER(O26),J26&lt;&gt;"نیازمند اطلاعات تکمیلی",OR(L26="خیر",AND(L26="بله",COUNTIFS('07-تصمیمات و مصوبات'!$A$8:$A$1007,M26)=1,IFERROR(INDEX('07-تصمیمات و مصوبات'!$B$8:$B$1007,MATCH(M26,'07-تصمیمات و مصوبات'!$A$8:$A$1007,0)),"")=D26))),"معتبر","نتیجه یا شواهد ناقص")))</f>
        <v>نتیجه یا شواهد ناقص</v>
      </c>
    </row>
    <row r="27" spans="1:16" ht="36" customHeight="1">
      <c r="A27" s="1" t="s">
        <v>888</v>
      </c>
      <c r="B27" s="1" t="s">
        <v>99</v>
      </c>
      <c r="C27" s="1" t="s">
        <v>529</v>
      </c>
      <c r="D27" s="1" t="s">
        <v>530</v>
      </c>
      <c r="E27" s="1" t="s">
        <v>531</v>
      </c>
      <c r="F27" s="1" t="s">
        <v>285</v>
      </c>
      <c r="G27" s="1" t="s">
        <v>868</v>
      </c>
      <c r="H27" s="1" t="s">
        <v>534</v>
      </c>
      <c r="I27" s="1" t="s">
        <v>881</v>
      </c>
      <c r="J27" s="1" t="s">
        <v>865</v>
      </c>
      <c r="K27" s="1"/>
      <c r="L27" s="1" t="s">
        <v>866</v>
      </c>
      <c r="M27" s="1"/>
      <c r="N27" s="1"/>
      <c r="O27" s="4"/>
      <c r="P27" s="3" t="str">
        <f>IF(A27="","",IF(NOT(AND(COUNTIFS('06-نتایج بازنگری'!$A$8:$A$1007,A27)=1,AND(COUNTIFS('17-جلسات و دوره‌ها'!$A$8:$A$1007,D27)=1,IFERROR(INDEX('17-جلسات و دوره‌ها'!$B$8:$B$1007,MATCH(D27,'17-جلسات و دوره‌ها'!$A$8:$A$1007,0)),"")=B27,IFERROR(INDEX('17-جلسات و دوره‌ها'!$C$8:$C$1007,MATCH(D27,'17-جلسات و دوره‌ها'!$A$8:$A$1007,0)),"")=C27))),"شناسه یا جلسه نامعتبر",IF(AND(AND(COUNTIFS('14-مستندات و پیوست‌ها'!$A$8:$A$1007,H27)=1,IFERROR(INDEX('14-مستندات و پیوست‌ها'!$B$8:$B$1007,MATCH(H27,'14-مستندات و پیوست‌ها'!$A$8:$A$1007,0)),"")=B27,OR(IFERROR(INDEX('14-مستندات و پیوست‌ها'!$H$8:$H$1007,MATCH(H27,'14-مستندات و پیوست‌ها'!$A$8:$A$1007,0)),"")="دریافت شده",IFERROR(INDEX('14-مستندات و پیوست‌ها'!$H$8:$H$1007,MATCH(H27,'14-مستندات و پیوست‌ها'!$A$8:$A$1007,0)),"")="فرضی")),I27&lt;&gt;"",K27&lt;&gt;"",N27&lt;&gt;"",ISNUMBER(O27),J27&lt;&gt;"نیازمند اطلاعات تکمیلی",OR(L27="خیر",AND(L27="بله",COUNTIFS('07-تصمیمات و مصوبات'!$A$8:$A$1007,M27)=1,IFERROR(INDEX('07-تصمیمات و مصوبات'!$B$8:$B$1007,MATCH(M27,'07-تصمیمات و مصوبات'!$A$8:$A$1007,0)),"")=D27))),"معتبر","نتیجه یا شواهد ناقص")))</f>
        <v>نتیجه یا شواهد ناقص</v>
      </c>
    </row>
    <row r="28" spans="1:16" ht="36" customHeight="1">
      <c r="A28" s="1" t="s">
        <v>889</v>
      </c>
      <c r="B28" s="1" t="s">
        <v>99</v>
      </c>
      <c r="C28" s="1" t="s">
        <v>529</v>
      </c>
      <c r="D28" s="1" t="s">
        <v>530</v>
      </c>
      <c r="E28" s="1" t="s">
        <v>531</v>
      </c>
      <c r="F28" s="1" t="s">
        <v>285</v>
      </c>
      <c r="G28" s="1" t="s">
        <v>870</v>
      </c>
      <c r="H28" s="1" t="s">
        <v>534</v>
      </c>
      <c r="I28" s="1" t="s">
        <v>881</v>
      </c>
      <c r="J28" s="1" t="s">
        <v>865</v>
      </c>
      <c r="K28" s="1"/>
      <c r="L28" s="1" t="s">
        <v>866</v>
      </c>
      <c r="M28" s="1"/>
      <c r="N28" s="1"/>
      <c r="O28" s="4"/>
      <c r="P28" s="3" t="str">
        <f>IF(A28="","",IF(NOT(AND(COUNTIFS('06-نتایج بازنگری'!$A$8:$A$1007,A28)=1,AND(COUNTIFS('17-جلسات و دوره‌ها'!$A$8:$A$1007,D28)=1,IFERROR(INDEX('17-جلسات و دوره‌ها'!$B$8:$B$1007,MATCH(D28,'17-جلسات و دوره‌ها'!$A$8:$A$1007,0)),"")=B28,IFERROR(INDEX('17-جلسات و دوره‌ها'!$C$8:$C$1007,MATCH(D28,'17-جلسات و دوره‌ها'!$A$8:$A$1007,0)),"")=C28))),"شناسه یا جلسه نامعتبر",IF(AND(AND(COUNTIFS('14-مستندات و پیوست‌ها'!$A$8:$A$1007,H28)=1,IFERROR(INDEX('14-مستندات و پیوست‌ها'!$B$8:$B$1007,MATCH(H28,'14-مستندات و پیوست‌ها'!$A$8:$A$1007,0)),"")=B28,OR(IFERROR(INDEX('14-مستندات و پیوست‌ها'!$H$8:$H$1007,MATCH(H28,'14-مستندات و پیوست‌ها'!$A$8:$A$1007,0)),"")="دریافت شده",IFERROR(INDEX('14-مستندات و پیوست‌ها'!$H$8:$H$1007,MATCH(H28,'14-مستندات و پیوست‌ها'!$A$8:$A$1007,0)),"")="فرضی")),I28&lt;&gt;"",K28&lt;&gt;"",N28&lt;&gt;"",ISNUMBER(O28),J28&lt;&gt;"نیازمند اطلاعات تکمیلی",OR(L28="خیر",AND(L28="بله",COUNTIFS('07-تصمیمات و مصوبات'!$A$8:$A$1007,M28)=1,IFERROR(INDEX('07-تصمیمات و مصوبات'!$B$8:$B$1007,MATCH(M28,'07-تصمیمات و مصوبات'!$A$8:$A$1007,0)),"")=D28))),"معتبر","نتیجه یا شواهد ناقص")))</f>
        <v>نتیجه یا شواهد ناقص</v>
      </c>
    </row>
    <row r="29" spans="1:16" ht="36" customHeight="1">
      <c r="A29" s="1" t="s">
        <v>890</v>
      </c>
      <c r="B29" s="1" t="s">
        <v>99</v>
      </c>
      <c r="C29" s="1" t="s">
        <v>529</v>
      </c>
      <c r="D29" s="1" t="s">
        <v>530</v>
      </c>
      <c r="E29" s="1" t="s">
        <v>531</v>
      </c>
      <c r="F29" s="1" t="s">
        <v>330</v>
      </c>
      <c r="G29" s="1" t="s">
        <v>864</v>
      </c>
      <c r="H29" s="1" t="s">
        <v>534</v>
      </c>
      <c r="I29" s="1" t="s">
        <v>881</v>
      </c>
      <c r="J29" s="1" t="s">
        <v>865</v>
      </c>
      <c r="K29" s="1"/>
      <c r="L29" s="1" t="s">
        <v>866</v>
      </c>
      <c r="M29" s="1"/>
      <c r="N29" s="1"/>
      <c r="O29" s="4"/>
      <c r="P29" s="3" t="str">
        <f>IF(A29="","",IF(NOT(AND(COUNTIFS('06-نتایج بازنگری'!$A$8:$A$1007,A29)=1,AND(COUNTIFS('17-جلسات و دوره‌ها'!$A$8:$A$1007,D29)=1,IFERROR(INDEX('17-جلسات و دوره‌ها'!$B$8:$B$1007,MATCH(D29,'17-جلسات و دوره‌ها'!$A$8:$A$1007,0)),"")=B29,IFERROR(INDEX('17-جلسات و دوره‌ها'!$C$8:$C$1007,MATCH(D29,'17-جلسات و دوره‌ها'!$A$8:$A$1007,0)),"")=C29))),"شناسه یا جلسه نامعتبر",IF(AND(AND(COUNTIFS('14-مستندات و پیوست‌ها'!$A$8:$A$1007,H29)=1,IFERROR(INDEX('14-مستندات و پیوست‌ها'!$B$8:$B$1007,MATCH(H29,'14-مستندات و پیوست‌ها'!$A$8:$A$1007,0)),"")=B29,OR(IFERROR(INDEX('14-مستندات و پیوست‌ها'!$H$8:$H$1007,MATCH(H29,'14-مستندات و پیوست‌ها'!$A$8:$A$1007,0)),"")="دریافت شده",IFERROR(INDEX('14-مستندات و پیوست‌ها'!$H$8:$H$1007,MATCH(H29,'14-مستندات و پیوست‌ها'!$A$8:$A$1007,0)),"")="فرضی")),I29&lt;&gt;"",K29&lt;&gt;"",N29&lt;&gt;"",ISNUMBER(O29),J29&lt;&gt;"نیازمند اطلاعات تکمیلی",OR(L29="خیر",AND(L29="بله",COUNTIFS('07-تصمیمات و مصوبات'!$A$8:$A$1007,M29)=1,IFERROR(INDEX('07-تصمیمات و مصوبات'!$B$8:$B$1007,MATCH(M29,'07-تصمیمات و مصوبات'!$A$8:$A$1007,0)),"")=D29))),"معتبر","نتیجه یا شواهد ناقص")))</f>
        <v>نتیجه یا شواهد ناقص</v>
      </c>
    </row>
    <row r="30" spans="1:16" ht="36" customHeight="1">
      <c r="A30" s="1" t="s">
        <v>891</v>
      </c>
      <c r="B30" s="1" t="s">
        <v>99</v>
      </c>
      <c r="C30" s="1" t="s">
        <v>529</v>
      </c>
      <c r="D30" s="1" t="s">
        <v>530</v>
      </c>
      <c r="E30" s="1" t="s">
        <v>531</v>
      </c>
      <c r="F30" s="1" t="s">
        <v>330</v>
      </c>
      <c r="G30" s="1" t="s">
        <v>868</v>
      </c>
      <c r="H30" s="1" t="s">
        <v>534</v>
      </c>
      <c r="I30" s="1" t="s">
        <v>881</v>
      </c>
      <c r="J30" s="1" t="s">
        <v>865</v>
      </c>
      <c r="K30" s="1"/>
      <c r="L30" s="1" t="s">
        <v>866</v>
      </c>
      <c r="M30" s="1"/>
      <c r="N30" s="1"/>
      <c r="O30" s="4"/>
      <c r="P30" s="3" t="str">
        <f>IF(A30="","",IF(NOT(AND(COUNTIFS('06-نتایج بازنگری'!$A$8:$A$1007,A30)=1,AND(COUNTIFS('17-جلسات و دوره‌ها'!$A$8:$A$1007,D30)=1,IFERROR(INDEX('17-جلسات و دوره‌ها'!$B$8:$B$1007,MATCH(D30,'17-جلسات و دوره‌ها'!$A$8:$A$1007,0)),"")=B30,IFERROR(INDEX('17-جلسات و دوره‌ها'!$C$8:$C$1007,MATCH(D30,'17-جلسات و دوره‌ها'!$A$8:$A$1007,0)),"")=C30))),"شناسه یا جلسه نامعتبر",IF(AND(AND(COUNTIFS('14-مستندات و پیوست‌ها'!$A$8:$A$1007,H30)=1,IFERROR(INDEX('14-مستندات و پیوست‌ها'!$B$8:$B$1007,MATCH(H30,'14-مستندات و پیوست‌ها'!$A$8:$A$1007,0)),"")=B30,OR(IFERROR(INDEX('14-مستندات و پیوست‌ها'!$H$8:$H$1007,MATCH(H30,'14-مستندات و پیوست‌ها'!$A$8:$A$1007,0)),"")="دریافت شده",IFERROR(INDEX('14-مستندات و پیوست‌ها'!$H$8:$H$1007,MATCH(H30,'14-مستندات و پیوست‌ها'!$A$8:$A$1007,0)),"")="فرضی")),I30&lt;&gt;"",K30&lt;&gt;"",N30&lt;&gt;"",ISNUMBER(O30),J30&lt;&gt;"نیازمند اطلاعات تکمیلی",OR(L30="خیر",AND(L30="بله",COUNTIFS('07-تصمیمات و مصوبات'!$A$8:$A$1007,M30)=1,IFERROR(INDEX('07-تصمیمات و مصوبات'!$B$8:$B$1007,MATCH(M30,'07-تصمیمات و مصوبات'!$A$8:$A$1007,0)),"")=D30))),"معتبر","نتیجه یا شواهد ناقص")))</f>
        <v>نتیجه یا شواهد ناقص</v>
      </c>
    </row>
    <row r="31" spans="1:16" ht="36" customHeight="1">
      <c r="A31" s="1" t="s">
        <v>892</v>
      </c>
      <c r="B31" s="1" t="s">
        <v>99</v>
      </c>
      <c r="C31" s="1" t="s">
        <v>529</v>
      </c>
      <c r="D31" s="1" t="s">
        <v>530</v>
      </c>
      <c r="E31" s="1" t="s">
        <v>531</v>
      </c>
      <c r="F31" s="1" t="s">
        <v>330</v>
      </c>
      <c r="G31" s="1" t="s">
        <v>870</v>
      </c>
      <c r="H31" s="1" t="s">
        <v>534</v>
      </c>
      <c r="I31" s="1" t="s">
        <v>881</v>
      </c>
      <c r="J31" s="1" t="s">
        <v>865</v>
      </c>
      <c r="K31" s="1"/>
      <c r="L31" s="1" t="s">
        <v>866</v>
      </c>
      <c r="M31" s="1"/>
      <c r="N31" s="1"/>
      <c r="O31" s="4"/>
      <c r="P31" s="3" t="str">
        <f>IF(A31="","",IF(NOT(AND(COUNTIFS('06-نتایج بازنگری'!$A$8:$A$1007,A31)=1,AND(COUNTIFS('17-جلسات و دوره‌ها'!$A$8:$A$1007,D31)=1,IFERROR(INDEX('17-جلسات و دوره‌ها'!$B$8:$B$1007,MATCH(D31,'17-جلسات و دوره‌ها'!$A$8:$A$1007,0)),"")=B31,IFERROR(INDEX('17-جلسات و دوره‌ها'!$C$8:$C$1007,MATCH(D31,'17-جلسات و دوره‌ها'!$A$8:$A$1007,0)),"")=C31))),"شناسه یا جلسه نامعتبر",IF(AND(AND(COUNTIFS('14-مستندات و پیوست‌ها'!$A$8:$A$1007,H31)=1,IFERROR(INDEX('14-مستندات و پیوست‌ها'!$B$8:$B$1007,MATCH(H31,'14-مستندات و پیوست‌ها'!$A$8:$A$1007,0)),"")=B31,OR(IFERROR(INDEX('14-مستندات و پیوست‌ها'!$H$8:$H$1007,MATCH(H31,'14-مستندات و پیوست‌ها'!$A$8:$A$1007,0)),"")="دریافت شده",IFERROR(INDEX('14-مستندات و پیوست‌ها'!$H$8:$H$1007,MATCH(H31,'14-مستندات و پیوست‌ها'!$A$8:$A$1007,0)),"")="فرضی")),I31&lt;&gt;"",K31&lt;&gt;"",N31&lt;&gt;"",ISNUMBER(O31),J31&lt;&gt;"نیازمند اطلاعات تکمیلی",OR(L31="خیر",AND(L31="بله",COUNTIFS('07-تصمیمات و مصوبات'!$A$8:$A$1007,M31)=1,IFERROR(INDEX('07-تصمیمات و مصوبات'!$B$8:$B$1007,MATCH(M31,'07-تصمیمات و مصوبات'!$A$8:$A$1007,0)),"")=D31))),"معتبر","نتیجه یا شواهد ناقص")))</f>
        <v>نتیجه یا شواهد ناقص</v>
      </c>
    </row>
    <row r="32" spans="1:16" ht="36" customHeight="1">
      <c r="A32" s="1"/>
      <c r="B32" s="1"/>
      <c r="C32" s="1"/>
      <c r="D32" s="1"/>
      <c r="E32" s="1"/>
      <c r="F32" s="1"/>
      <c r="G32" s="1"/>
      <c r="H32" s="1"/>
      <c r="I32" s="1"/>
      <c r="J32" s="1"/>
      <c r="K32" s="1"/>
      <c r="L32" s="1"/>
      <c r="M32" s="1"/>
      <c r="N32" s="1"/>
      <c r="O32" s="4"/>
      <c r="P32" s="3" t="str">
        <f>IF(A32="","",IF(NOT(AND(COUNTIFS('06-نتایج بازنگری'!$A$8:$A$1007,A32)=1,AND(COUNTIFS('17-جلسات و دوره‌ها'!$A$8:$A$1007,D32)=1,IFERROR(INDEX('17-جلسات و دوره‌ها'!$B$8:$B$1007,MATCH(D32,'17-جلسات و دوره‌ها'!$A$8:$A$1007,0)),"")=B32,IFERROR(INDEX('17-جلسات و دوره‌ها'!$C$8:$C$1007,MATCH(D32,'17-جلسات و دوره‌ها'!$A$8:$A$1007,0)),"")=C32))),"شناسه یا جلسه نامعتبر",IF(AND(AND(COUNTIFS('14-مستندات و پیوست‌ها'!$A$8:$A$1007,H32)=1,IFERROR(INDEX('14-مستندات و پیوست‌ها'!$B$8:$B$1007,MATCH(H32,'14-مستندات و پیوست‌ها'!$A$8:$A$1007,0)),"")=B32,OR(IFERROR(INDEX('14-مستندات و پیوست‌ها'!$H$8:$H$1007,MATCH(H32,'14-مستندات و پیوست‌ها'!$A$8:$A$1007,0)),"")="دریافت شده",IFERROR(INDEX('14-مستندات و پیوست‌ها'!$H$8:$H$1007,MATCH(H32,'14-مستندات و پیوست‌ها'!$A$8:$A$1007,0)),"")="فرضی")),I32&lt;&gt;"",K32&lt;&gt;"",N32&lt;&gt;"",ISNUMBER(O32),J32&lt;&gt;"نیازمند اطلاعات تکمیلی",OR(L32="خیر",AND(L32="بله",COUNTIFS('07-تصمیمات و مصوبات'!$A$8:$A$1007,M32)=1,IFERROR(INDEX('07-تصمیمات و مصوبات'!$B$8:$B$1007,MATCH(M32,'07-تصمیمات و مصوبات'!$A$8:$A$1007,0)),"")=D32))),"معتبر","نتیجه یا شواهد ناقص")))</f>
        <v/>
      </c>
    </row>
    <row r="33" spans="1:16" ht="36" customHeight="1">
      <c r="A33" s="1"/>
      <c r="B33" s="1"/>
      <c r="C33" s="1"/>
      <c r="D33" s="1"/>
      <c r="E33" s="1"/>
      <c r="F33" s="1"/>
      <c r="G33" s="1"/>
      <c r="H33" s="1"/>
      <c r="I33" s="1"/>
      <c r="J33" s="1"/>
      <c r="K33" s="1"/>
      <c r="L33" s="1"/>
      <c r="M33" s="1"/>
      <c r="N33" s="1"/>
      <c r="O33" s="4"/>
      <c r="P33" s="3" t="str">
        <f>IF(A33="","",IF(NOT(AND(COUNTIFS('06-نتایج بازنگری'!$A$8:$A$1007,A33)=1,AND(COUNTIFS('17-جلسات و دوره‌ها'!$A$8:$A$1007,D33)=1,IFERROR(INDEX('17-جلسات و دوره‌ها'!$B$8:$B$1007,MATCH(D33,'17-جلسات و دوره‌ها'!$A$8:$A$1007,0)),"")=B33,IFERROR(INDEX('17-جلسات و دوره‌ها'!$C$8:$C$1007,MATCH(D33,'17-جلسات و دوره‌ها'!$A$8:$A$1007,0)),"")=C33))),"شناسه یا جلسه نامعتبر",IF(AND(AND(COUNTIFS('14-مستندات و پیوست‌ها'!$A$8:$A$1007,H33)=1,IFERROR(INDEX('14-مستندات و پیوست‌ها'!$B$8:$B$1007,MATCH(H33,'14-مستندات و پیوست‌ها'!$A$8:$A$1007,0)),"")=B33,OR(IFERROR(INDEX('14-مستندات و پیوست‌ها'!$H$8:$H$1007,MATCH(H33,'14-مستندات و پیوست‌ها'!$A$8:$A$1007,0)),"")="دریافت شده",IFERROR(INDEX('14-مستندات و پیوست‌ها'!$H$8:$H$1007,MATCH(H33,'14-مستندات و پیوست‌ها'!$A$8:$A$1007,0)),"")="فرضی")),I33&lt;&gt;"",K33&lt;&gt;"",N33&lt;&gt;"",ISNUMBER(O33),J33&lt;&gt;"نیازمند اطلاعات تکمیلی",OR(L33="خیر",AND(L33="بله",COUNTIFS('07-تصمیمات و مصوبات'!$A$8:$A$1007,M33)=1,IFERROR(INDEX('07-تصمیمات و مصوبات'!$B$8:$B$1007,MATCH(M33,'07-تصمیمات و مصوبات'!$A$8:$A$1007,0)),"")=D33))),"معتبر","نتیجه یا شواهد ناقص")))</f>
        <v/>
      </c>
    </row>
    <row r="34" spans="1:16" ht="36" customHeight="1">
      <c r="A34" s="1"/>
      <c r="B34" s="1"/>
      <c r="C34" s="1"/>
      <c r="D34" s="1"/>
      <c r="E34" s="1"/>
      <c r="F34" s="1"/>
      <c r="G34" s="1"/>
      <c r="H34" s="1"/>
      <c r="I34" s="1"/>
      <c r="J34" s="1"/>
      <c r="K34" s="1"/>
      <c r="L34" s="1"/>
      <c r="M34" s="1"/>
      <c r="N34" s="1"/>
      <c r="O34" s="4"/>
      <c r="P34" s="3" t="str">
        <f>IF(A34="","",IF(NOT(AND(COUNTIFS('06-نتایج بازنگری'!$A$8:$A$1007,A34)=1,AND(COUNTIFS('17-جلسات و دوره‌ها'!$A$8:$A$1007,D34)=1,IFERROR(INDEX('17-جلسات و دوره‌ها'!$B$8:$B$1007,MATCH(D34,'17-جلسات و دوره‌ها'!$A$8:$A$1007,0)),"")=B34,IFERROR(INDEX('17-جلسات و دوره‌ها'!$C$8:$C$1007,MATCH(D34,'17-جلسات و دوره‌ها'!$A$8:$A$1007,0)),"")=C34))),"شناسه یا جلسه نامعتبر",IF(AND(AND(COUNTIFS('14-مستندات و پیوست‌ها'!$A$8:$A$1007,H34)=1,IFERROR(INDEX('14-مستندات و پیوست‌ها'!$B$8:$B$1007,MATCH(H34,'14-مستندات و پیوست‌ها'!$A$8:$A$1007,0)),"")=B34,OR(IFERROR(INDEX('14-مستندات و پیوست‌ها'!$H$8:$H$1007,MATCH(H34,'14-مستندات و پیوست‌ها'!$A$8:$A$1007,0)),"")="دریافت شده",IFERROR(INDEX('14-مستندات و پیوست‌ها'!$H$8:$H$1007,MATCH(H34,'14-مستندات و پیوست‌ها'!$A$8:$A$1007,0)),"")="فرضی")),I34&lt;&gt;"",K34&lt;&gt;"",N34&lt;&gt;"",ISNUMBER(O34),J34&lt;&gt;"نیازمند اطلاعات تکمیلی",OR(L34="خیر",AND(L34="بله",COUNTIFS('07-تصمیمات و مصوبات'!$A$8:$A$1007,M34)=1,IFERROR(INDEX('07-تصمیمات و مصوبات'!$B$8:$B$1007,MATCH(M34,'07-تصمیمات و مصوبات'!$A$8:$A$1007,0)),"")=D34))),"معتبر","نتیجه یا شواهد ناقص")))</f>
        <v/>
      </c>
    </row>
    <row r="35" spans="1:16" ht="36" customHeight="1">
      <c r="A35" s="1"/>
      <c r="B35" s="1"/>
      <c r="C35" s="1"/>
      <c r="D35" s="1"/>
      <c r="E35" s="1"/>
      <c r="F35" s="1"/>
      <c r="G35" s="1"/>
      <c r="H35" s="1"/>
      <c r="I35" s="1"/>
      <c r="J35" s="1"/>
      <c r="K35" s="1"/>
      <c r="L35" s="1"/>
      <c r="M35" s="1"/>
      <c r="N35" s="1"/>
      <c r="O35" s="4"/>
      <c r="P35" s="3" t="str">
        <f>IF(A35="","",IF(NOT(AND(COUNTIFS('06-نتایج بازنگری'!$A$8:$A$1007,A35)=1,AND(COUNTIFS('17-جلسات و دوره‌ها'!$A$8:$A$1007,D35)=1,IFERROR(INDEX('17-جلسات و دوره‌ها'!$B$8:$B$1007,MATCH(D35,'17-جلسات و دوره‌ها'!$A$8:$A$1007,0)),"")=B35,IFERROR(INDEX('17-جلسات و دوره‌ها'!$C$8:$C$1007,MATCH(D35,'17-جلسات و دوره‌ها'!$A$8:$A$1007,0)),"")=C35))),"شناسه یا جلسه نامعتبر",IF(AND(AND(COUNTIFS('14-مستندات و پیوست‌ها'!$A$8:$A$1007,H35)=1,IFERROR(INDEX('14-مستندات و پیوست‌ها'!$B$8:$B$1007,MATCH(H35,'14-مستندات و پیوست‌ها'!$A$8:$A$1007,0)),"")=B35,OR(IFERROR(INDEX('14-مستندات و پیوست‌ها'!$H$8:$H$1007,MATCH(H35,'14-مستندات و پیوست‌ها'!$A$8:$A$1007,0)),"")="دریافت شده",IFERROR(INDEX('14-مستندات و پیوست‌ها'!$H$8:$H$1007,MATCH(H35,'14-مستندات و پیوست‌ها'!$A$8:$A$1007,0)),"")="فرضی")),I35&lt;&gt;"",K35&lt;&gt;"",N35&lt;&gt;"",ISNUMBER(O35),J35&lt;&gt;"نیازمند اطلاعات تکمیلی",OR(L35="خیر",AND(L35="بله",COUNTIFS('07-تصمیمات و مصوبات'!$A$8:$A$1007,M35)=1,IFERROR(INDEX('07-تصمیمات و مصوبات'!$B$8:$B$1007,MATCH(M35,'07-تصمیمات و مصوبات'!$A$8:$A$1007,0)),"")=D35))),"معتبر","نتیجه یا شواهد ناقص")))</f>
        <v/>
      </c>
    </row>
    <row r="36" spans="1:16" ht="36" customHeight="1">
      <c r="A36" s="1"/>
      <c r="B36" s="1"/>
      <c r="C36" s="1"/>
      <c r="D36" s="1"/>
      <c r="E36" s="1"/>
      <c r="F36" s="1"/>
      <c r="G36" s="1"/>
      <c r="H36" s="1"/>
      <c r="I36" s="1"/>
      <c r="J36" s="1"/>
      <c r="K36" s="1"/>
      <c r="L36" s="1"/>
      <c r="M36" s="1"/>
      <c r="N36" s="1"/>
      <c r="O36" s="4"/>
      <c r="P36" s="3" t="str">
        <f>IF(A36="","",IF(NOT(AND(COUNTIFS('06-نتایج بازنگری'!$A$8:$A$1007,A36)=1,AND(COUNTIFS('17-جلسات و دوره‌ها'!$A$8:$A$1007,D36)=1,IFERROR(INDEX('17-جلسات و دوره‌ها'!$B$8:$B$1007,MATCH(D36,'17-جلسات و دوره‌ها'!$A$8:$A$1007,0)),"")=B36,IFERROR(INDEX('17-جلسات و دوره‌ها'!$C$8:$C$1007,MATCH(D36,'17-جلسات و دوره‌ها'!$A$8:$A$1007,0)),"")=C36))),"شناسه یا جلسه نامعتبر",IF(AND(AND(COUNTIFS('14-مستندات و پیوست‌ها'!$A$8:$A$1007,H36)=1,IFERROR(INDEX('14-مستندات و پیوست‌ها'!$B$8:$B$1007,MATCH(H36,'14-مستندات و پیوست‌ها'!$A$8:$A$1007,0)),"")=B36,OR(IFERROR(INDEX('14-مستندات و پیوست‌ها'!$H$8:$H$1007,MATCH(H36,'14-مستندات و پیوست‌ها'!$A$8:$A$1007,0)),"")="دریافت شده",IFERROR(INDEX('14-مستندات و پیوست‌ها'!$H$8:$H$1007,MATCH(H36,'14-مستندات و پیوست‌ها'!$A$8:$A$1007,0)),"")="فرضی")),I36&lt;&gt;"",K36&lt;&gt;"",N36&lt;&gt;"",ISNUMBER(O36),J36&lt;&gt;"نیازمند اطلاعات تکمیلی",OR(L36="خیر",AND(L36="بله",COUNTIFS('07-تصمیمات و مصوبات'!$A$8:$A$1007,M36)=1,IFERROR(INDEX('07-تصمیمات و مصوبات'!$B$8:$B$1007,MATCH(M36,'07-تصمیمات و مصوبات'!$A$8:$A$1007,0)),"")=D36))),"معتبر","نتیجه یا شواهد ناقص")))</f>
        <v/>
      </c>
    </row>
    <row r="37" spans="1:16" ht="36" customHeight="1">
      <c r="A37" s="1"/>
      <c r="B37" s="1"/>
      <c r="C37" s="1"/>
      <c r="D37" s="1"/>
      <c r="E37" s="1"/>
      <c r="F37" s="1"/>
      <c r="G37" s="1"/>
      <c r="H37" s="1"/>
      <c r="I37" s="1"/>
      <c r="J37" s="1"/>
      <c r="K37" s="1"/>
      <c r="L37" s="1"/>
      <c r="M37" s="1"/>
      <c r="N37" s="1"/>
      <c r="O37" s="4"/>
      <c r="P37" s="3" t="str">
        <f>IF(A37="","",IF(NOT(AND(COUNTIFS('06-نتایج بازنگری'!$A$8:$A$1007,A37)=1,AND(COUNTIFS('17-جلسات و دوره‌ها'!$A$8:$A$1007,D37)=1,IFERROR(INDEX('17-جلسات و دوره‌ها'!$B$8:$B$1007,MATCH(D37,'17-جلسات و دوره‌ها'!$A$8:$A$1007,0)),"")=B37,IFERROR(INDEX('17-جلسات و دوره‌ها'!$C$8:$C$1007,MATCH(D37,'17-جلسات و دوره‌ها'!$A$8:$A$1007,0)),"")=C37))),"شناسه یا جلسه نامعتبر",IF(AND(AND(COUNTIFS('14-مستندات و پیوست‌ها'!$A$8:$A$1007,H37)=1,IFERROR(INDEX('14-مستندات و پیوست‌ها'!$B$8:$B$1007,MATCH(H37,'14-مستندات و پیوست‌ها'!$A$8:$A$1007,0)),"")=B37,OR(IFERROR(INDEX('14-مستندات و پیوست‌ها'!$H$8:$H$1007,MATCH(H37,'14-مستندات و پیوست‌ها'!$A$8:$A$1007,0)),"")="دریافت شده",IFERROR(INDEX('14-مستندات و پیوست‌ها'!$H$8:$H$1007,MATCH(H37,'14-مستندات و پیوست‌ها'!$A$8:$A$1007,0)),"")="فرضی")),I37&lt;&gt;"",K37&lt;&gt;"",N37&lt;&gt;"",ISNUMBER(O37),J37&lt;&gt;"نیازمند اطلاعات تکمیلی",OR(L37="خیر",AND(L37="بله",COUNTIFS('07-تصمیمات و مصوبات'!$A$8:$A$1007,M37)=1,IFERROR(INDEX('07-تصمیمات و مصوبات'!$B$8:$B$1007,MATCH(M37,'07-تصمیمات و مصوبات'!$A$8:$A$1007,0)),"")=D37))),"معتبر","نتیجه یا شواهد ناقص")))</f>
        <v/>
      </c>
    </row>
    <row r="38" spans="1:16" ht="36" customHeight="1">
      <c r="A38" s="1"/>
      <c r="B38" s="1"/>
      <c r="C38" s="1"/>
      <c r="D38" s="1"/>
      <c r="E38" s="1"/>
      <c r="F38" s="1"/>
      <c r="G38" s="1"/>
      <c r="H38" s="1"/>
      <c r="I38" s="1"/>
      <c r="J38" s="1"/>
      <c r="K38" s="1"/>
      <c r="L38" s="1"/>
      <c r="M38" s="1"/>
      <c r="N38" s="1"/>
      <c r="O38" s="4"/>
      <c r="P38" s="3" t="str">
        <f>IF(A38="","",IF(NOT(AND(COUNTIFS('06-نتایج بازنگری'!$A$8:$A$1007,A38)=1,AND(COUNTIFS('17-جلسات و دوره‌ها'!$A$8:$A$1007,D38)=1,IFERROR(INDEX('17-جلسات و دوره‌ها'!$B$8:$B$1007,MATCH(D38,'17-جلسات و دوره‌ها'!$A$8:$A$1007,0)),"")=B38,IFERROR(INDEX('17-جلسات و دوره‌ها'!$C$8:$C$1007,MATCH(D38,'17-جلسات و دوره‌ها'!$A$8:$A$1007,0)),"")=C38))),"شناسه یا جلسه نامعتبر",IF(AND(AND(COUNTIFS('14-مستندات و پیوست‌ها'!$A$8:$A$1007,H38)=1,IFERROR(INDEX('14-مستندات و پیوست‌ها'!$B$8:$B$1007,MATCH(H38,'14-مستندات و پیوست‌ها'!$A$8:$A$1007,0)),"")=B38,OR(IFERROR(INDEX('14-مستندات و پیوست‌ها'!$H$8:$H$1007,MATCH(H38,'14-مستندات و پیوست‌ها'!$A$8:$A$1007,0)),"")="دریافت شده",IFERROR(INDEX('14-مستندات و پیوست‌ها'!$H$8:$H$1007,MATCH(H38,'14-مستندات و پیوست‌ها'!$A$8:$A$1007,0)),"")="فرضی")),I38&lt;&gt;"",K38&lt;&gt;"",N38&lt;&gt;"",ISNUMBER(O38),J38&lt;&gt;"نیازمند اطلاعات تکمیلی",OR(L38="خیر",AND(L38="بله",COUNTIFS('07-تصمیمات و مصوبات'!$A$8:$A$1007,M38)=1,IFERROR(INDEX('07-تصمیمات و مصوبات'!$B$8:$B$1007,MATCH(M38,'07-تصمیمات و مصوبات'!$A$8:$A$1007,0)),"")=D38))),"معتبر","نتیجه یا شواهد ناقص")))</f>
        <v/>
      </c>
    </row>
    <row r="39" spans="1:16" ht="36" customHeight="1">
      <c r="A39" s="1"/>
      <c r="B39" s="1"/>
      <c r="C39" s="1"/>
      <c r="D39" s="1"/>
      <c r="E39" s="1"/>
      <c r="F39" s="1"/>
      <c r="G39" s="1"/>
      <c r="H39" s="1"/>
      <c r="I39" s="1"/>
      <c r="J39" s="1"/>
      <c r="K39" s="1"/>
      <c r="L39" s="1"/>
      <c r="M39" s="1"/>
      <c r="N39" s="1"/>
      <c r="O39" s="4"/>
      <c r="P39" s="3" t="str">
        <f>IF(A39="","",IF(NOT(AND(COUNTIFS('06-نتایج بازنگری'!$A$8:$A$1007,A39)=1,AND(COUNTIFS('17-جلسات و دوره‌ها'!$A$8:$A$1007,D39)=1,IFERROR(INDEX('17-جلسات و دوره‌ها'!$B$8:$B$1007,MATCH(D39,'17-جلسات و دوره‌ها'!$A$8:$A$1007,0)),"")=B39,IFERROR(INDEX('17-جلسات و دوره‌ها'!$C$8:$C$1007,MATCH(D39,'17-جلسات و دوره‌ها'!$A$8:$A$1007,0)),"")=C39))),"شناسه یا جلسه نامعتبر",IF(AND(AND(COUNTIFS('14-مستندات و پیوست‌ها'!$A$8:$A$1007,H39)=1,IFERROR(INDEX('14-مستندات و پیوست‌ها'!$B$8:$B$1007,MATCH(H39,'14-مستندات و پیوست‌ها'!$A$8:$A$1007,0)),"")=B39,OR(IFERROR(INDEX('14-مستندات و پیوست‌ها'!$H$8:$H$1007,MATCH(H39,'14-مستندات و پیوست‌ها'!$A$8:$A$1007,0)),"")="دریافت شده",IFERROR(INDEX('14-مستندات و پیوست‌ها'!$H$8:$H$1007,MATCH(H39,'14-مستندات و پیوست‌ها'!$A$8:$A$1007,0)),"")="فرضی")),I39&lt;&gt;"",K39&lt;&gt;"",N39&lt;&gt;"",ISNUMBER(O39),J39&lt;&gt;"نیازمند اطلاعات تکمیلی",OR(L39="خیر",AND(L39="بله",COUNTIFS('07-تصمیمات و مصوبات'!$A$8:$A$1007,M39)=1,IFERROR(INDEX('07-تصمیمات و مصوبات'!$B$8:$B$1007,MATCH(M39,'07-تصمیمات و مصوبات'!$A$8:$A$1007,0)),"")=D39))),"معتبر","نتیجه یا شواهد ناقص")))</f>
        <v/>
      </c>
    </row>
  </sheetData>
  <mergeCells count="2">
    <mergeCell ref="A1:P1"/>
    <mergeCell ref="A2:P3"/>
  </mergeCells>
  <conditionalFormatting sqref="A8:A39">
    <cfRule type="duplicateValues" dxfId="60" priority="1"/>
  </conditionalFormatting>
  <conditionalFormatting sqref="P8:P39">
    <cfRule type="containsText" dxfId="59" priority="2" operator="containsText" text="ناقص"/>
  </conditionalFormatting>
  <dataValidations count="2">
    <dataValidation type="list" sqref="J8:J39" xr:uid="{00000000-0002-0000-0600-000000000000}">
      <formula1>"مطلوب,نیازمند بهبود,نامطلوب,نیازمند اطلاعات تکمیلی"</formula1>
    </dataValidation>
    <dataValidation type="list" sqref="L8:L39" xr:uid="{00000000-0002-0000-0600-000001000000}">
      <formula1>"بله,خیر,تعیین نشده"</formula1>
    </dataValidation>
  </dataValidation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892A5"/>
    <pageSetUpPr fitToPage="1"/>
  </sheetPr>
  <dimension ref="A1:AB43"/>
  <sheetViews>
    <sheetView showGridLines="0" rightToLeft="1" zoomScale="85" workbookViewId="0">
      <pane ySplit="7" topLeftCell="A8" activePane="bottomLeft" state="frozen"/>
      <selection pane="bottomLeft" sqref="A1:AA1"/>
    </sheetView>
  </sheetViews>
  <sheetFormatPr defaultRowHeight="14.25"/>
  <cols>
    <col min="1" max="1" width="19" customWidth="1"/>
    <col min="2" max="2" width="24" customWidth="1"/>
    <col min="3" max="3" width="14" customWidth="1"/>
    <col min="4" max="4" width="16" customWidth="1"/>
    <col min="5" max="5" width="14" customWidth="1"/>
    <col min="6" max="6" width="19" customWidth="1"/>
    <col min="7" max="7" width="45" customWidth="1"/>
    <col min="8" max="8" width="55" customWidth="1"/>
    <col min="9" max="9" width="28" customWidth="1"/>
    <col min="10" max="10" width="45" customWidth="1"/>
    <col min="11" max="11" width="65" customWidth="1"/>
    <col min="12" max="12" width="25" customWidth="1"/>
    <col min="13" max="13" width="48" customWidth="1"/>
    <col min="14" max="14" width="18" customWidth="1"/>
    <col min="15" max="16" width="28" customWidth="1"/>
    <col min="17" max="17" width="35" customWidth="1"/>
    <col min="18" max="18" width="18" customWidth="1"/>
    <col min="19" max="19" width="55" customWidth="1"/>
    <col min="20" max="20" width="50" customWidth="1"/>
    <col min="21" max="21" width="30" customWidth="1"/>
    <col min="22" max="22" width="25" customWidth="1"/>
    <col min="23" max="23" width="18" customWidth="1"/>
    <col min="24" max="24" width="27" customWidth="1"/>
    <col min="25" max="25" width="32" customWidth="1"/>
    <col min="26" max="26" width="35" customWidth="1"/>
    <col min="27" max="27" width="42" customWidth="1"/>
    <col min="28" max="28" width="18" customWidth="1"/>
  </cols>
  <sheetData>
    <row r="1" spans="1:28" ht="33.950000000000003" customHeight="1">
      <c r="A1" s="7" t="s">
        <v>893</v>
      </c>
      <c r="B1" s="7"/>
      <c r="C1" s="7"/>
      <c r="D1" s="7"/>
      <c r="E1" s="7"/>
      <c r="F1" s="7"/>
      <c r="G1" s="7"/>
      <c r="H1" s="7"/>
      <c r="I1" s="7"/>
      <c r="J1" s="7"/>
      <c r="K1" s="7"/>
      <c r="L1" s="7"/>
      <c r="M1" s="7"/>
      <c r="N1" s="7"/>
      <c r="O1" s="7"/>
      <c r="P1" s="7"/>
      <c r="Q1" s="7"/>
      <c r="R1" s="7"/>
      <c r="S1" s="7"/>
      <c r="T1" s="7"/>
      <c r="U1" s="7"/>
      <c r="V1" s="7"/>
      <c r="W1" s="7"/>
      <c r="X1" s="7"/>
      <c r="Y1" s="7"/>
      <c r="Z1" s="7"/>
      <c r="AA1" s="7"/>
    </row>
    <row r="2" spans="1:28" ht="26.1" customHeight="1">
      <c r="A2" s="8" t="s">
        <v>894</v>
      </c>
      <c r="B2" s="8"/>
      <c r="C2" s="8"/>
      <c r="D2" s="8"/>
      <c r="E2" s="8"/>
      <c r="F2" s="8"/>
      <c r="G2" s="8"/>
      <c r="H2" s="8"/>
      <c r="I2" s="8"/>
      <c r="J2" s="8"/>
      <c r="K2" s="8"/>
      <c r="L2" s="8"/>
      <c r="M2" s="8"/>
      <c r="N2" s="8"/>
      <c r="O2" s="8"/>
      <c r="P2" s="8"/>
      <c r="Q2" s="8"/>
      <c r="R2" s="8"/>
      <c r="S2" s="8"/>
      <c r="T2" s="8"/>
      <c r="U2" s="8"/>
      <c r="V2" s="8"/>
      <c r="W2" s="8"/>
      <c r="X2" s="8"/>
      <c r="Y2" s="8"/>
      <c r="Z2" s="8"/>
      <c r="AA2" s="8"/>
    </row>
    <row r="3" spans="1:28" ht="26.1" customHeight="1">
      <c r="A3" s="8"/>
      <c r="B3" s="8"/>
      <c r="C3" s="8"/>
      <c r="D3" s="8"/>
      <c r="E3" s="8"/>
      <c r="F3" s="8"/>
      <c r="G3" s="8"/>
      <c r="H3" s="8"/>
      <c r="I3" s="8"/>
      <c r="J3" s="8"/>
      <c r="K3" s="8"/>
      <c r="L3" s="8"/>
      <c r="M3" s="8"/>
      <c r="N3" s="8"/>
      <c r="O3" s="8"/>
      <c r="P3" s="8"/>
      <c r="Q3" s="8"/>
      <c r="R3" s="8"/>
      <c r="S3" s="8"/>
      <c r="T3" s="8"/>
      <c r="U3" s="8"/>
      <c r="V3" s="8"/>
      <c r="W3" s="8"/>
      <c r="X3" s="8"/>
      <c r="Y3" s="8"/>
      <c r="Z3" s="8"/>
      <c r="AA3" s="8"/>
    </row>
    <row r="4" spans="1:28">
      <c r="A4" s="1"/>
      <c r="B4" s="1"/>
      <c r="C4" s="1"/>
      <c r="D4" s="1"/>
      <c r="E4" s="1"/>
      <c r="F4" s="1"/>
      <c r="G4" s="1"/>
      <c r="H4" s="1"/>
      <c r="I4" s="1"/>
      <c r="J4" s="1"/>
      <c r="K4" s="1"/>
      <c r="L4" s="1"/>
      <c r="M4" s="1"/>
      <c r="N4" s="1"/>
      <c r="O4" s="1"/>
      <c r="P4" s="1"/>
      <c r="Q4" s="1"/>
      <c r="R4" s="1"/>
      <c r="S4" s="1"/>
      <c r="T4" s="1"/>
      <c r="U4" s="1"/>
      <c r="V4" s="1"/>
      <c r="W4" s="1"/>
      <c r="X4" s="1"/>
      <c r="Y4" s="1"/>
      <c r="Z4" s="1"/>
      <c r="AA4" s="1"/>
    </row>
    <row r="5" spans="1:28">
      <c r="A5" s="1"/>
      <c r="B5" s="1"/>
      <c r="C5" s="1"/>
      <c r="D5" s="1"/>
      <c r="E5" s="1"/>
      <c r="F5" s="1"/>
      <c r="G5" s="1"/>
      <c r="H5" s="1"/>
      <c r="I5" s="1"/>
      <c r="J5" s="1"/>
      <c r="K5" s="1"/>
      <c r="L5" s="1"/>
      <c r="M5" s="1"/>
      <c r="N5" s="1"/>
      <c r="O5" s="1"/>
      <c r="P5" s="1"/>
      <c r="Q5" s="1"/>
      <c r="R5" s="1"/>
      <c r="S5" s="1"/>
      <c r="T5" s="1"/>
      <c r="U5" s="1"/>
      <c r="V5" s="1"/>
      <c r="W5" s="1"/>
      <c r="X5" s="1"/>
      <c r="Y5" s="1"/>
      <c r="Z5" s="1"/>
      <c r="AA5" s="1"/>
    </row>
    <row r="6" spans="1:28">
      <c r="A6" s="1"/>
      <c r="B6" s="1"/>
      <c r="C6" s="1"/>
      <c r="D6" s="1"/>
      <c r="E6" s="1"/>
      <c r="F6" s="1"/>
      <c r="G6" s="1"/>
      <c r="H6" s="1"/>
      <c r="I6" s="1"/>
      <c r="J6" s="1"/>
      <c r="K6" s="1"/>
      <c r="L6" s="1"/>
      <c r="M6" s="1"/>
      <c r="N6" s="1"/>
      <c r="O6" s="1"/>
      <c r="P6" s="1"/>
      <c r="Q6" s="1"/>
      <c r="R6" s="1"/>
      <c r="S6" s="1"/>
      <c r="T6" s="1"/>
      <c r="U6" s="1"/>
      <c r="V6" s="1"/>
      <c r="W6" s="1"/>
      <c r="X6" s="1"/>
      <c r="Y6" s="1"/>
      <c r="Z6" s="1"/>
      <c r="AA6" s="1"/>
    </row>
    <row r="7" spans="1:28" ht="48" customHeight="1">
      <c r="A7" s="2" t="s">
        <v>895</v>
      </c>
      <c r="B7" s="2" t="s">
        <v>82</v>
      </c>
      <c r="C7" s="2" t="s">
        <v>364</v>
      </c>
      <c r="D7" s="2" t="s">
        <v>365</v>
      </c>
      <c r="E7" s="2" t="s">
        <v>112</v>
      </c>
      <c r="F7" s="2" t="s">
        <v>896</v>
      </c>
      <c r="G7" s="2" t="s">
        <v>897</v>
      </c>
      <c r="H7" s="2" t="s">
        <v>898</v>
      </c>
      <c r="I7" s="2" t="s">
        <v>899</v>
      </c>
      <c r="J7" s="2" t="s">
        <v>374</v>
      </c>
      <c r="K7" s="2" t="s">
        <v>900</v>
      </c>
      <c r="L7" s="2" t="s">
        <v>901</v>
      </c>
      <c r="M7" s="2" t="s">
        <v>902</v>
      </c>
      <c r="N7" s="2" t="s">
        <v>903</v>
      </c>
      <c r="O7" s="2" t="s">
        <v>904</v>
      </c>
      <c r="P7" s="2" t="s">
        <v>905</v>
      </c>
      <c r="Q7" s="2" t="s">
        <v>906</v>
      </c>
      <c r="R7" s="2" t="s">
        <v>907</v>
      </c>
      <c r="S7" s="2" t="s">
        <v>908</v>
      </c>
      <c r="T7" s="2" t="s">
        <v>909</v>
      </c>
      <c r="U7" s="2" t="s">
        <v>910</v>
      </c>
      <c r="V7" s="2" t="s">
        <v>911</v>
      </c>
      <c r="W7" s="2" t="s">
        <v>912</v>
      </c>
      <c r="X7" s="2" t="s">
        <v>94</v>
      </c>
      <c r="Y7" s="2" t="s">
        <v>913</v>
      </c>
      <c r="Z7" s="2" t="s">
        <v>914</v>
      </c>
      <c r="AA7" s="2" t="s">
        <v>915</v>
      </c>
      <c r="AB7" t="s">
        <v>916</v>
      </c>
    </row>
    <row r="8" spans="1:28" ht="36" customHeight="1">
      <c r="A8" s="1" t="s">
        <v>917</v>
      </c>
      <c r="B8" s="1" t="s">
        <v>83</v>
      </c>
      <c r="C8" s="1" t="s">
        <v>77</v>
      </c>
      <c r="D8" s="1" t="s">
        <v>80</v>
      </c>
      <c r="E8" s="1" t="s">
        <v>116</v>
      </c>
      <c r="F8" s="1" t="s">
        <v>378</v>
      </c>
      <c r="G8" s="1" t="s">
        <v>918</v>
      </c>
      <c r="H8" s="1" t="s">
        <v>919</v>
      </c>
      <c r="I8" s="1" t="s">
        <v>226</v>
      </c>
      <c r="J8" s="1"/>
      <c r="K8" s="1" t="s">
        <v>920</v>
      </c>
      <c r="L8" s="1"/>
      <c r="M8" s="1"/>
      <c r="N8" s="1" t="s">
        <v>921</v>
      </c>
      <c r="O8" s="1" t="s">
        <v>922</v>
      </c>
      <c r="P8" s="1" t="s">
        <v>923</v>
      </c>
      <c r="Q8" s="1" t="s">
        <v>924</v>
      </c>
      <c r="R8" s="4"/>
      <c r="S8" s="1" t="s">
        <v>919</v>
      </c>
      <c r="T8" s="1" t="s">
        <v>925</v>
      </c>
      <c r="U8" s="1" t="s">
        <v>926</v>
      </c>
      <c r="V8" s="1"/>
      <c r="W8" s="4"/>
      <c r="X8" s="1" t="s">
        <v>379</v>
      </c>
      <c r="Y8" s="1" t="s">
        <v>927</v>
      </c>
      <c r="Z8" s="3" t="str">
        <f>IF(A8="","",IF(NOT(AND(COUNTIFS('07-تصمیمات و مصوبات'!$A$8:$A$1007,A8)=1,AND(COUNTIFS('17-جلسات و دوره‌ها'!$A$8:$A$1007,B8)=1,IFERROR(INDEX('17-جلسات و دوره‌ها'!$B$8:$B$1007,MATCH(B8,'17-جلسات و دوره‌ها'!$A$8:$A$1007,0)),"")=C8,IFERROR(INDEX('17-جلسات و دوره‌ها'!$C$8:$C$1007,MATCH(B8,'17-جلسات و دوره‌ها'!$A$8:$A$1007,0)),"")=D8),COUNTIFS('03-ورودی‌های بازنگری'!$A$8:$A$1007,F8)=1,IFERROR(INDEX('03-ورودی‌های بازنگری'!$D$8:$D$1007,MATCH(F8,'03-ورودی‌های بازنگری'!$A$8:$A$1007,0)),"")=B8)),"رابطه ورودی یا جلسه نامعتبر",IF(L8="","پیشنهاد؛ تصویب نشده",IF(OR(IFERROR(INDEX('03-ورودی‌های بازنگری'!$R$8:$R$1007,MATCH(F8,'03-ورودی‌های بازنگری'!$A$8:$A$1007,0)),"")&lt;&gt;"معتبر",H8="",J8="",K8="",M8="",V8="",NOT(ISNUMBER(W8)),N8="",N8="تعیین نشده"),"تعیین تکلیف ناقص",IF(AND(L8="تصویب",N8="بله",OR(O8="",NOT(ISNUMBER(R8)),S8="",T8="")),"مسئول، موعد یا معیار ناقص","معتبر")))))</f>
        <v>پیشنهاد؛ تصویب نشده</v>
      </c>
      <c r="AA8" s="3" t="str">
        <f>IF(A8="","",IF(Z8&lt;&gt;"معتبر",Z8,IF(L8&lt;&gt;"تصویب",L8,IF(N8="خیر","تعیین تکلیف مستند؛ بدون اقدام",IF(COUNTIFS('08-برنامه اقدامات'!$B$8:$B$1007,A8)=0,"اقدام لازم؛ ثبت نشده",IF(COUNTIFS('08-برنامه اقدامات'!$B$8:$B$1007,A8,'08-برنامه اقدامات'!$T$8:$T$1007,"بسته؛ اثربخش")=COUNTIFS('08-برنامه اقدامات'!$B$8:$B$1007,A8),"بسته؛ اثربخش","باز؛ اجرا یا اثربخشی باقی است"))))))</f>
        <v>پیشنهاد؛ تصویب نشده</v>
      </c>
      <c r="AB8" s="5">
        <f>IF(A8="","",IF(B8&lt;&gt;'01-تنظیمات'!$B$5,"",IF('01-تنظیمات'!$B$7="پیش از جلسه",COUNTIFS($B$8:B8,'01-تنظیمات'!$B$5),IF(Z8="معتبر",COUNTIFS($B$8:B8,'01-تنظیمات'!$B$5,$Z$8:Z8,"معتبر"),""))))</f>
        <v>1</v>
      </c>
    </row>
    <row r="9" spans="1:28" ht="36" customHeight="1">
      <c r="A9" s="1" t="s">
        <v>928</v>
      </c>
      <c r="B9" s="1" t="s">
        <v>83</v>
      </c>
      <c r="C9" s="1" t="s">
        <v>77</v>
      </c>
      <c r="D9" s="1" t="s">
        <v>80</v>
      </c>
      <c r="E9" s="1" t="s">
        <v>116</v>
      </c>
      <c r="F9" s="1" t="s">
        <v>412</v>
      </c>
      <c r="G9" s="1" t="s">
        <v>929</v>
      </c>
      <c r="H9" s="1" t="s">
        <v>930</v>
      </c>
      <c r="I9" s="1" t="s">
        <v>226</v>
      </c>
      <c r="J9" s="1"/>
      <c r="K9" s="1" t="s">
        <v>931</v>
      </c>
      <c r="L9" s="1"/>
      <c r="M9" s="1"/>
      <c r="N9" s="1" t="s">
        <v>921</v>
      </c>
      <c r="O9" s="1" t="s">
        <v>932</v>
      </c>
      <c r="P9" s="1" t="s">
        <v>923</v>
      </c>
      <c r="Q9" s="1" t="s">
        <v>924</v>
      </c>
      <c r="R9" s="4"/>
      <c r="S9" s="1" t="s">
        <v>930</v>
      </c>
      <c r="T9" s="1" t="s">
        <v>925</v>
      </c>
      <c r="U9" s="1" t="s">
        <v>933</v>
      </c>
      <c r="V9" s="1"/>
      <c r="W9" s="4"/>
      <c r="X9" s="1" t="s">
        <v>379</v>
      </c>
      <c r="Y9" s="1" t="s">
        <v>927</v>
      </c>
      <c r="Z9" s="3" t="str">
        <f>IF(A9="","",IF(NOT(AND(COUNTIFS('07-تصمیمات و مصوبات'!$A$8:$A$1007,A9)=1,AND(COUNTIFS('17-جلسات و دوره‌ها'!$A$8:$A$1007,B9)=1,IFERROR(INDEX('17-جلسات و دوره‌ها'!$B$8:$B$1007,MATCH(B9,'17-جلسات و دوره‌ها'!$A$8:$A$1007,0)),"")=C9,IFERROR(INDEX('17-جلسات و دوره‌ها'!$C$8:$C$1007,MATCH(B9,'17-جلسات و دوره‌ها'!$A$8:$A$1007,0)),"")=D9),COUNTIFS('03-ورودی‌های بازنگری'!$A$8:$A$1007,F9)=1,IFERROR(INDEX('03-ورودی‌های بازنگری'!$D$8:$D$1007,MATCH(F9,'03-ورودی‌های بازنگری'!$A$8:$A$1007,0)),"")=B9)),"رابطه ورودی یا جلسه نامعتبر",IF(L9="","پیشنهاد؛ تصویب نشده",IF(OR(IFERROR(INDEX('03-ورودی‌های بازنگری'!$R$8:$R$1007,MATCH(F9,'03-ورودی‌های بازنگری'!$A$8:$A$1007,0)),"")&lt;&gt;"معتبر",H9="",J9="",K9="",M9="",V9="",NOT(ISNUMBER(W9)),N9="",N9="تعیین نشده"),"تعیین تکلیف ناقص",IF(AND(L9="تصویب",N9="بله",OR(O9="",NOT(ISNUMBER(R9)),S9="",T9="")),"مسئول، موعد یا معیار ناقص","معتبر")))))</f>
        <v>پیشنهاد؛ تصویب نشده</v>
      </c>
      <c r="AA9" s="3" t="str">
        <f>IF(A9="","",IF(Z9&lt;&gt;"معتبر",Z9,IF(L9&lt;&gt;"تصویب",L9,IF(N9="خیر","تعیین تکلیف مستند؛ بدون اقدام",IF(COUNTIFS('08-برنامه اقدامات'!$B$8:$B$1007,A9)=0,"اقدام لازم؛ ثبت نشده",IF(COUNTIFS('08-برنامه اقدامات'!$B$8:$B$1007,A9,'08-برنامه اقدامات'!$T$8:$T$1007,"بسته؛ اثربخش")=COUNTIFS('08-برنامه اقدامات'!$B$8:$B$1007,A9),"بسته؛ اثربخش","باز؛ اجرا یا اثربخشی باقی است"))))))</f>
        <v>پیشنهاد؛ تصویب نشده</v>
      </c>
      <c r="AB9" s="5">
        <f>IF(A9="","",IF(B9&lt;&gt;'01-تنظیمات'!$B$5,"",IF('01-تنظیمات'!$B$7="پیش از جلسه",COUNTIFS($B$8:B9,'01-تنظیمات'!$B$5),IF(Z9="معتبر",COUNTIFS($B$8:B9,'01-تنظیمات'!$B$5,$Z$8:Z9,"معتبر"),""))))</f>
        <v>2</v>
      </c>
    </row>
    <row r="10" spans="1:28" ht="36" customHeight="1">
      <c r="A10" s="1" t="s">
        <v>934</v>
      </c>
      <c r="B10" s="1" t="s">
        <v>83</v>
      </c>
      <c r="C10" s="1" t="s">
        <v>77</v>
      </c>
      <c r="D10" s="1" t="s">
        <v>80</v>
      </c>
      <c r="E10" s="1" t="s">
        <v>116</v>
      </c>
      <c r="F10" s="1" t="s">
        <v>503</v>
      </c>
      <c r="G10" s="1" t="s">
        <v>935</v>
      </c>
      <c r="H10" s="1" t="s">
        <v>936</v>
      </c>
      <c r="I10" s="1" t="s">
        <v>226</v>
      </c>
      <c r="J10" s="1"/>
      <c r="K10" s="1" t="s">
        <v>937</v>
      </c>
      <c r="L10" s="1"/>
      <c r="M10" s="1"/>
      <c r="N10" s="1" t="s">
        <v>921</v>
      </c>
      <c r="O10" s="1" t="s">
        <v>938</v>
      </c>
      <c r="P10" s="1" t="s">
        <v>923</v>
      </c>
      <c r="Q10" s="1" t="s">
        <v>924</v>
      </c>
      <c r="R10" s="4"/>
      <c r="S10" s="1" t="s">
        <v>936</v>
      </c>
      <c r="T10" s="1" t="s">
        <v>925</v>
      </c>
      <c r="U10" s="1" t="s">
        <v>939</v>
      </c>
      <c r="V10" s="1"/>
      <c r="W10" s="4"/>
      <c r="X10" s="1" t="s">
        <v>379</v>
      </c>
      <c r="Y10" s="1" t="s">
        <v>927</v>
      </c>
      <c r="Z10" s="3" t="str">
        <f>IF(A10="","",IF(NOT(AND(COUNTIFS('07-تصمیمات و مصوبات'!$A$8:$A$1007,A10)=1,AND(COUNTIFS('17-جلسات و دوره‌ها'!$A$8:$A$1007,B10)=1,IFERROR(INDEX('17-جلسات و دوره‌ها'!$B$8:$B$1007,MATCH(B10,'17-جلسات و دوره‌ها'!$A$8:$A$1007,0)),"")=C10,IFERROR(INDEX('17-جلسات و دوره‌ها'!$C$8:$C$1007,MATCH(B10,'17-جلسات و دوره‌ها'!$A$8:$A$1007,0)),"")=D10),COUNTIFS('03-ورودی‌های بازنگری'!$A$8:$A$1007,F10)=1,IFERROR(INDEX('03-ورودی‌های بازنگری'!$D$8:$D$1007,MATCH(F10,'03-ورودی‌های بازنگری'!$A$8:$A$1007,0)),"")=B10)),"رابطه ورودی یا جلسه نامعتبر",IF(L10="","پیشنهاد؛ تصویب نشده",IF(OR(IFERROR(INDEX('03-ورودی‌های بازنگری'!$R$8:$R$1007,MATCH(F10,'03-ورودی‌های بازنگری'!$A$8:$A$1007,0)),"")&lt;&gt;"معتبر",H10="",J10="",K10="",M10="",V10="",NOT(ISNUMBER(W10)),N10="",N10="تعیین نشده"),"تعیین تکلیف ناقص",IF(AND(L10="تصویب",N10="بله",OR(O10="",NOT(ISNUMBER(R10)),S10="",T10="")),"مسئول، موعد یا معیار ناقص","معتبر")))))</f>
        <v>پیشنهاد؛ تصویب نشده</v>
      </c>
      <c r="AA10" s="3" t="str">
        <f>IF(A10="","",IF(Z10&lt;&gt;"معتبر",Z10,IF(L10&lt;&gt;"تصویب",L10,IF(N10="خیر","تعیین تکلیف مستند؛ بدون اقدام",IF(COUNTIFS('08-برنامه اقدامات'!$B$8:$B$1007,A10)=0,"اقدام لازم؛ ثبت نشده",IF(COUNTIFS('08-برنامه اقدامات'!$B$8:$B$1007,A10,'08-برنامه اقدامات'!$T$8:$T$1007,"بسته؛ اثربخش")=COUNTIFS('08-برنامه اقدامات'!$B$8:$B$1007,A10),"بسته؛ اثربخش","باز؛ اجرا یا اثربخشی باقی است"))))))</f>
        <v>پیشنهاد؛ تصویب نشده</v>
      </c>
      <c r="AB10" s="5">
        <f>IF(A10="","",IF(B10&lt;&gt;'01-تنظیمات'!$B$5,"",IF('01-تنظیمات'!$B$7="پیش از جلسه",COUNTIFS($B$8:B10,'01-تنظیمات'!$B$5),IF(Z10="معتبر",COUNTIFS($B$8:B10,'01-تنظیمات'!$B$5,$Z$8:Z10,"معتبر"),""))))</f>
        <v>3</v>
      </c>
    </row>
    <row r="11" spans="1:28" ht="36" customHeight="1">
      <c r="A11" s="1" t="s">
        <v>940</v>
      </c>
      <c r="B11" s="1" t="s">
        <v>83</v>
      </c>
      <c r="C11" s="1" t="s">
        <v>77</v>
      </c>
      <c r="D11" s="1" t="s">
        <v>80</v>
      </c>
      <c r="E11" s="1" t="s">
        <v>116</v>
      </c>
      <c r="F11" s="1" t="s">
        <v>387</v>
      </c>
      <c r="G11" s="1" t="s">
        <v>941</v>
      </c>
      <c r="H11" s="1" t="s">
        <v>942</v>
      </c>
      <c r="I11" s="1" t="s">
        <v>226</v>
      </c>
      <c r="J11" s="1"/>
      <c r="K11" s="1" t="s">
        <v>943</v>
      </c>
      <c r="L11" s="1"/>
      <c r="M11" s="1"/>
      <c r="N11" s="1" t="s">
        <v>921</v>
      </c>
      <c r="O11" s="1" t="s">
        <v>49</v>
      </c>
      <c r="P11" s="1" t="s">
        <v>923</v>
      </c>
      <c r="Q11" s="1" t="s">
        <v>924</v>
      </c>
      <c r="R11" s="4"/>
      <c r="S11" s="1" t="s">
        <v>942</v>
      </c>
      <c r="T11" s="1" t="s">
        <v>925</v>
      </c>
      <c r="U11" s="1" t="s">
        <v>944</v>
      </c>
      <c r="V11" s="1"/>
      <c r="W11" s="4"/>
      <c r="X11" s="1" t="s">
        <v>379</v>
      </c>
      <c r="Y11" s="1" t="s">
        <v>927</v>
      </c>
      <c r="Z11" s="3" t="str">
        <f>IF(A11="","",IF(NOT(AND(COUNTIFS('07-تصمیمات و مصوبات'!$A$8:$A$1007,A11)=1,AND(COUNTIFS('17-جلسات و دوره‌ها'!$A$8:$A$1007,B11)=1,IFERROR(INDEX('17-جلسات و دوره‌ها'!$B$8:$B$1007,MATCH(B11,'17-جلسات و دوره‌ها'!$A$8:$A$1007,0)),"")=C11,IFERROR(INDEX('17-جلسات و دوره‌ها'!$C$8:$C$1007,MATCH(B11,'17-جلسات و دوره‌ها'!$A$8:$A$1007,0)),"")=D11),COUNTIFS('03-ورودی‌های بازنگری'!$A$8:$A$1007,F11)=1,IFERROR(INDEX('03-ورودی‌های بازنگری'!$D$8:$D$1007,MATCH(F11,'03-ورودی‌های بازنگری'!$A$8:$A$1007,0)),"")=B11)),"رابطه ورودی یا جلسه نامعتبر",IF(L11="","پیشنهاد؛ تصویب نشده",IF(OR(IFERROR(INDEX('03-ورودی‌های بازنگری'!$R$8:$R$1007,MATCH(F11,'03-ورودی‌های بازنگری'!$A$8:$A$1007,0)),"")&lt;&gt;"معتبر",H11="",J11="",K11="",M11="",V11="",NOT(ISNUMBER(W11)),N11="",N11="تعیین نشده"),"تعیین تکلیف ناقص",IF(AND(L11="تصویب",N11="بله",OR(O11="",NOT(ISNUMBER(R11)),S11="",T11="")),"مسئول، موعد یا معیار ناقص","معتبر")))))</f>
        <v>پیشنهاد؛ تصویب نشده</v>
      </c>
      <c r="AA11" s="3" t="str">
        <f>IF(A11="","",IF(Z11&lt;&gt;"معتبر",Z11,IF(L11&lt;&gt;"تصویب",L11,IF(N11="خیر","تعیین تکلیف مستند؛ بدون اقدام",IF(COUNTIFS('08-برنامه اقدامات'!$B$8:$B$1007,A11)=0,"اقدام لازم؛ ثبت نشده",IF(COUNTIFS('08-برنامه اقدامات'!$B$8:$B$1007,A11,'08-برنامه اقدامات'!$T$8:$T$1007,"بسته؛ اثربخش")=COUNTIFS('08-برنامه اقدامات'!$B$8:$B$1007,A11),"بسته؛ اثربخش","باز؛ اجرا یا اثربخشی باقی است"))))))</f>
        <v>پیشنهاد؛ تصویب نشده</v>
      </c>
      <c r="AB11" s="5">
        <f>IF(A11="","",IF(B11&lt;&gt;'01-تنظیمات'!$B$5,"",IF('01-تنظیمات'!$B$7="پیش از جلسه",COUNTIFS($B$8:B11,'01-تنظیمات'!$B$5),IF(Z11="معتبر",COUNTIFS($B$8:B11,'01-تنظیمات'!$B$5,$Z$8:Z11,"معتبر"),""))))</f>
        <v>4</v>
      </c>
    </row>
    <row r="12" spans="1:28" ht="48" customHeight="1">
      <c r="A12" s="1" t="s">
        <v>945</v>
      </c>
      <c r="B12" s="1" t="s">
        <v>83</v>
      </c>
      <c r="C12" s="1" t="s">
        <v>77</v>
      </c>
      <c r="D12" s="1" t="s">
        <v>80</v>
      </c>
      <c r="E12" s="1" t="s">
        <v>116</v>
      </c>
      <c r="F12" s="1" t="s">
        <v>427</v>
      </c>
      <c r="G12" s="1" t="s">
        <v>946</v>
      </c>
      <c r="H12" s="1" t="s">
        <v>947</v>
      </c>
      <c r="I12" s="1" t="s">
        <v>226</v>
      </c>
      <c r="J12" s="1"/>
      <c r="K12" s="1" t="s">
        <v>948</v>
      </c>
      <c r="L12" s="1"/>
      <c r="M12" s="1"/>
      <c r="N12" s="1" t="s">
        <v>921</v>
      </c>
      <c r="O12" s="1" t="s">
        <v>949</v>
      </c>
      <c r="P12" s="1" t="s">
        <v>923</v>
      </c>
      <c r="Q12" s="1" t="s">
        <v>924</v>
      </c>
      <c r="R12" s="4"/>
      <c r="S12" s="1" t="s">
        <v>947</v>
      </c>
      <c r="T12" s="1" t="s">
        <v>925</v>
      </c>
      <c r="U12" s="1" t="s">
        <v>950</v>
      </c>
      <c r="V12" s="1"/>
      <c r="W12" s="4"/>
      <c r="X12" s="1" t="s">
        <v>379</v>
      </c>
      <c r="Y12" s="1" t="s">
        <v>927</v>
      </c>
      <c r="Z12" s="3" t="str">
        <f>IF(A12="","",IF(NOT(AND(COUNTIFS('07-تصمیمات و مصوبات'!$A$8:$A$1007,A12)=1,AND(COUNTIFS('17-جلسات و دوره‌ها'!$A$8:$A$1007,B12)=1,IFERROR(INDEX('17-جلسات و دوره‌ها'!$B$8:$B$1007,MATCH(B12,'17-جلسات و دوره‌ها'!$A$8:$A$1007,0)),"")=C12,IFERROR(INDEX('17-جلسات و دوره‌ها'!$C$8:$C$1007,MATCH(B12,'17-جلسات و دوره‌ها'!$A$8:$A$1007,0)),"")=D12),COUNTIFS('03-ورودی‌های بازنگری'!$A$8:$A$1007,F12)=1,IFERROR(INDEX('03-ورودی‌های بازنگری'!$D$8:$D$1007,MATCH(F12,'03-ورودی‌های بازنگری'!$A$8:$A$1007,0)),"")=B12)),"رابطه ورودی یا جلسه نامعتبر",IF(L12="","پیشنهاد؛ تصویب نشده",IF(OR(IFERROR(INDEX('03-ورودی‌های بازنگری'!$R$8:$R$1007,MATCH(F12,'03-ورودی‌های بازنگری'!$A$8:$A$1007,0)),"")&lt;&gt;"معتبر",H12="",J12="",K12="",M12="",V12="",NOT(ISNUMBER(W12)),N12="",N12="تعیین نشده"),"تعیین تکلیف ناقص",IF(AND(L12="تصویب",N12="بله",OR(O12="",NOT(ISNUMBER(R12)),S12="",T12="")),"مسئول، موعد یا معیار ناقص","معتبر")))))</f>
        <v>پیشنهاد؛ تصویب نشده</v>
      </c>
      <c r="AA12" s="3" t="str">
        <f>IF(A12="","",IF(Z12&lt;&gt;"معتبر",Z12,IF(L12&lt;&gt;"تصویب",L12,IF(N12="خیر","تعیین تکلیف مستند؛ بدون اقدام",IF(COUNTIFS('08-برنامه اقدامات'!$B$8:$B$1007,A12)=0,"اقدام لازم؛ ثبت نشده",IF(COUNTIFS('08-برنامه اقدامات'!$B$8:$B$1007,A12,'08-برنامه اقدامات'!$T$8:$T$1007,"بسته؛ اثربخش")=COUNTIFS('08-برنامه اقدامات'!$B$8:$B$1007,A12),"بسته؛ اثربخش","باز؛ اجرا یا اثربخشی باقی است"))))))</f>
        <v>پیشنهاد؛ تصویب نشده</v>
      </c>
      <c r="AB12" s="5">
        <f>IF(A12="","",IF(B12&lt;&gt;'01-تنظیمات'!$B$5,"",IF('01-تنظیمات'!$B$7="پیش از جلسه",COUNTIFS($B$8:B12,'01-تنظیمات'!$B$5),IF(Z12="معتبر",COUNTIFS($B$8:B12,'01-تنظیمات'!$B$5,$Z$8:Z12,"معتبر"),""))))</f>
        <v>5</v>
      </c>
    </row>
    <row r="13" spans="1:28" ht="36" customHeight="1">
      <c r="A13" s="1" t="s">
        <v>951</v>
      </c>
      <c r="B13" s="1" t="s">
        <v>83</v>
      </c>
      <c r="C13" s="1" t="s">
        <v>77</v>
      </c>
      <c r="D13" s="1" t="s">
        <v>80</v>
      </c>
      <c r="E13" s="1" t="s">
        <v>116</v>
      </c>
      <c r="F13" s="1" t="s">
        <v>477</v>
      </c>
      <c r="G13" s="1" t="s">
        <v>952</v>
      </c>
      <c r="H13" s="1" t="s">
        <v>953</v>
      </c>
      <c r="I13" s="1" t="s">
        <v>226</v>
      </c>
      <c r="J13" s="1"/>
      <c r="K13" s="1" t="s">
        <v>954</v>
      </c>
      <c r="L13" s="1"/>
      <c r="M13" s="1"/>
      <c r="N13" s="1" t="s">
        <v>921</v>
      </c>
      <c r="O13" s="1" t="s">
        <v>955</v>
      </c>
      <c r="P13" s="1" t="s">
        <v>923</v>
      </c>
      <c r="Q13" s="1" t="s">
        <v>924</v>
      </c>
      <c r="R13" s="4"/>
      <c r="S13" s="1" t="s">
        <v>953</v>
      </c>
      <c r="T13" s="1" t="s">
        <v>925</v>
      </c>
      <c r="U13" s="1" t="s">
        <v>956</v>
      </c>
      <c r="V13" s="1"/>
      <c r="W13" s="4"/>
      <c r="X13" s="1" t="s">
        <v>379</v>
      </c>
      <c r="Y13" s="1" t="s">
        <v>927</v>
      </c>
      <c r="Z13" s="3" t="str">
        <f>IF(A13="","",IF(NOT(AND(COUNTIFS('07-تصمیمات و مصوبات'!$A$8:$A$1007,A13)=1,AND(COUNTIFS('17-جلسات و دوره‌ها'!$A$8:$A$1007,B13)=1,IFERROR(INDEX('17-جلسات و دوره‌ها'!$B$8:$B$1007,MATCH(B13,'17-جلسات و دوره‌ها'!$A$8:$A$1007,0)),"")=C13,IFERROR(INDEX('17-جلسات و دوره‌ها'!$C$8:$C$1007,MATCH(B13,'17-جلسات و دوره‌ها'!$A$8:$A$1007,0)),"")=D13),COUNTIFS('03-ورودی‌های بازنگری'!$A$8:$A$1007,F13)=1,IFERROR(INDEX('03-ورودی‌های بازنگری'!$D$8:$D$1007,MATCH(F13,'03-ورودی‌های بازنگری'!$A$8:$A$1007,0)),"")=B13)),"رابطه ورودی یا جلسه نامعتبر",IF(L13="","پیشنهاد؛ تصویب نشده",IF(OR(IFERROR(INDEX('03-ورودی‌های بازنگری'!$R$8:$R$1007,MATCH(F13,'03-ورودی‌های بازنگری'!$A$8:$A$1007,0)),"")&lt;&gt;"معتبر",H13="",J13="",K13="",M13="",V13="",NOT(ISNUMBER(W13)),N13="",N13="تعیین نشده"),"تعیین تکلیف ناقص",IF(AND(L13="تصویب",N13="بله",OR(O13="",NOT(ISNUMBER(R13)),S13="",T13="")),"مسئول، موعد یا معیار ناقص","معتبر")))))</f>
        <v>پیشنهاد؛ تصویب نشده</v>
      </c>
      <c r="AA13" s="3" t="str">
        <f>IF(A13="","",IF(Z13&lt;&gt;"معتبر",Z13,IF(L13&lt;&gt;"تصویب",L13,IF(N13="خیر","تعیین تکلیف مستند؛ بدون اقدام",IF(COUNTIFS('08-برنامه اقدامات'!$B$8:$B$1007,A13)=0,"اقدام لازم؛ ثبت نشده",IF(COUNTIFS('08-برنامه اقدامات'!$B$8:$B$1007,A13,'08-برنامه اقدامات'!$T$8:$T$1007,"بسته؛ اثربخش")=COUNTIFS('08-برنامه اقدامات'!$B$8:$B$1007,A13),"بسته؛ اثربخش","باز؛ اجرا یا اثربخشی باقی است"))))))</f>
        <v>پیشنهاد؛ تصویب نشده</v>
      </c>
      <c r="AB13" s="5">
        <f>IF(A13="","",IF(B13&lt;&gt;'01-تنظیمات'!$B$5,"",IF('01-تنظیمات'!$B$7="پیش از جلسه",COUNTIFS($B$8:B13,'01-تنظیمات'!$B$5),IF(Z13="معتبر",COUNTIFS($B$8:B13,'01-تنظیمات'!$B$5,$Z$8:Z13,"معتبر"),""))))</f>
        <v>6</v>
      </c>
    </row>
    <row r="14" spans="1:28" ht="48" customHeight="1">
      <c r="A14" s="1" t="s">
        <v>957</v>
      </c>
      <c r="B14" s="1" t="s">
        <v>83</v>
      </c>
      <c r="C14" s="1" t="s">
        <v>77</v>
      </c>
      <c r="D14" s="1" t="s">
        <v>80</v>
      </c>
      <c r="E14" s="1" t="s">
        <v>116</v>
      </c>
      <c r="F14" s="1" t="s">
        <v>397</v>
      </c>
      <c r="G14" s="1" t="s">
        <v>958</v>
      </c>
      <c r="H14" s="1" t="s">
        <v>959</v>
      </c>
      <c r="I14" s="1" t="s">
        <v>232</v>
      </c>
      <c r="J14" s="1"/>
      <c r="K14" s="1" t="s">
        <v>960</v>
      </c>
      <c r="L14" s="1"/>
      <c r="M14" s="1"/>
      <c r="N14" s="1" t="s">
        <v>921</v>
      </c>
      <c r="O14" s="1" t="s">
        <v>961</v>
      </c>
      <c r="P14" s="1" t="s">
        <v>923</v>
      </c>
      <c r="Q14" s="1" t="s">
        <v>924</v>
      </c>
      <c r="R14" s="4"/>
      <c r="S14" s="1" t="s">
        <v>959</v>
      </c>
      <c r="T14" s="1" t="s">
        <v>925</v>
      </c>
      <c r="U14" s="1" t="s">
        <v>962</v>
      </c>
      <c r="V14" s="1"/>
      <c r="W14" s="4"/>
      <c r="X14" s="1" t="s">
        <v>379</v>
      </c>
      <c r="Y14" s="1" t="s">
        <v>927</v>
      </c>
      <c r="Z14" s="3" t="str">
        <f>IF(A14="","",IF(NOT(AND(COUNTIFS('07-تصمیمات و مصوبات'!$A$8:$A$1007,A14)=1,AND(COUNTIFS('17-جلسات و دوره‌ها'!$A$8:$A$1007,B14)=1,IFERROR(INDEX('17-جلسات و دوره‌ها'!$B$8:$B$1007,MATCH(B14,'17-جلسات و دوره‌ها'!$A$8:$A$1007,0)),"")=C14,IFERROR(INDEX('17-جلسات و دوره‌ها'!$C$8:$C$1007,MATCH(B14,'17-جلسات و دوره‌ها'!$A$8:$A$1007,0)),"")=D14),COUNTIFS('03-ورودی‌های بازنگری'!$A$8:$A$1007,F14)=1,IFERROR(INDEX('03-ورودی‌های بازنگری'!$D$8:$D$1007,MATCH(F14,'03-ورودی‌های بازنگری'!$A$8:$A$1007,0)),"")=B14)),"رابطه ورودی یا جلسه نامعتبر",IF(L14="","پیشنهاد؛ تصویب نشده",IF(OR(IFERROR(INDEX('03-ورودی‌های بازنگری'!$R$8:$R$1007,MATCH(F14,'03-ورودی‌های بازنگری'!$A$8:$A$1007,0)),"")&lt;&gt;"معتبر",H14="",J14="",K14="",M14="",V14="",NOT(ISNUMBER(W14)),N14="",N14="تعیین نشده"),"تعیین تکلیف ناقص",IF(AND(L14="تصویب",N14="بله",OR(O14="",NOT(ISNUMBER(R14)),S14="",T14="")),"مسئول، موعد یا معیار ناقص","معتبر")))))</f>
        <v>پیشنهاد؛ تصویب نشده</v>
      </c>
      <c r="AA14" s="3" t="str">
        <f>IF(A14="","",IF(Z14&lt;&gt;"معتبر",Z14,IF(L14&lt;&gt;"تصویب",L14,IF(N14="خیر","تعیین تکلیف مستند؛ بدون اقدام",IF(COUNTIFS('08-برنامه اقدامات'!$B$8:$B$1007,A14)=0,"اقدام لازم؛ ثبت نشده",IF(COUNTIFS('08-برنامه اقدامات'!$B$8:$B$1007,A14,'08-برنامه اقدامات'!$T$8:$T$1007,"بسته؛ اثربخش")=COUNTIFS('08-برنامه اقدامات'!$B$8:$B$1007,A14),"بسته؛ اثربخش","باز؛ اجرا یا اثربخشی باقی است"))))))</f>
        <v>پیشنهاد؛ تصویب نشده</v>
      </c>
      <c r="AB14" s="5">
        <f>IF(A14="","",IF(B14&lt;&gt;'01-تنظیمات'!$B$5,"",IF('01-تنظیمات'!$B$7="پیش از جلسه",COUNTIFS($B$8:B14,'01-تنظیمات'!$B$5),IF(Z14="معتبر",COUNTIFS($B$8:B14,'01-تنظیمات'!$B$5,$Z$8:Z14,"معتبر"),""))))</f>
        <v>7</v>
      </c>
    </row>
    <row r="15" spans="1:28" ht="36" customHeight="1">
      <c r="A15" s="1" t="s">
        <v>963</v>
      </c>
      <c r="B15" s="1" t="s">
        <v>83</v>
      </c>
      <c r="C15" s="1" t="s">
        <v>77</v>
      </c>
      <c r="D15" s="1" t="s">
        <v>80</v>
      </c>
      <c r="E15" s="1" t="s">
        <v>116</v>
      </c>
      <c r="F15" s="1" t="s">
        <v>452</v>
      </c>
      <c r="G15" s="1" t="s">
        <v>964</v>
      </c>
      <c r="H15" s="1" t="s">
        <v>965</v>
      </c>
      <c r="I15" s="1" t="s">
        <v>226</v>
      </c>
      <c r="J15" s="1"/>
      <c r="K15" s="1" t="s">
        <v>966</v>
      </c>
      <c r="L15" s="1"/>
      <c r="M15" s="1"/>
      <c r="N15" s="1" t="s">
        <v>921</v>
      </c>
      <c r="O15" s="1" t="s">
        <v>967</v>
      </c>
      <c r="P15" s="1" t="s">
        <v>923</v>
      </c>
      <c r="Q15" s="1" t="s">
        <v>924</v>
      </c>
      <c r="R15" s="4"/>
      <c r="S15" s="1" t="s">
        <v>965</v>
      </c>
      <c r="T15" s="1" t="s">
        <v>925</v>
      </c>
      <c r="U15" s="1" t="s">
        <v>968</v>
      </c>
      <c r="V15" s="1"/>
      <c r="W15" s="4"/>
      <c r="X15" s="1" t="s">
        <v>379</v>
      </c>
      <c r="Y15" s="1" t="s">
        <v>927</v>
      </c>
      <c r="Z15" s="3" t="str">
        <f>IF(A15="","",IF(NOT(AND(COUNTIFS('07-تصمیمات و مصوبات'!$A$8:$A$1007,A15)=1,AND(COUNTIFS('17-جلسات و دوره‌ها'!$A$8:$A$1007,B15)=1,IFERROR(INDEX('17-جلسات و دوره‌ها'!$B$8:$B$1007,MATCH(B15,'17-جلسات و دوره‌ها'!$A$8:$A$1007,0)),"")=C15,IFERROR(INDEX('17-جلسات و دوره‌ها'!$C$8:$C$1007,MATCH(B15,'17-جلسات و دوره‌ها'!$A$8:$A$1007,0)),"")=D15),COUNTIFS('03-ورودی‌های بازنگری'!$A$8:$A$1007,F15)=1,IFERROR(INDEX('03-ورودی‌های بازنگری'!$D$8:$D$1007,MATCH(F15,'03-ورودی‌های بازنگری'!$A$8:$A$1007,0)),"")=B15)),"رابطه ورودی یا جلسه نامعتبر",IF(L15="","پیشنهاد؛ تصویب نشده",IF(OR(IFERROR(INDEX('03-ورودی‌های بازنگری'!$R$8:$R$1007,MATCH(F15,'03-ورودی‌های بازنگری'!$A$8:$A$1007,0)),"")&lt;&gt;"معتبر",H15="",J15="",K15="",M15="",V15="",NOT(ISNUMBER(W15)),N15="",N15="تعیین نشده"),"تعیین تکلیف ناقص",IF(AND(L15="تصویب",N15="بله",OR(O15="",NOT(ISNUMBER(R15)),S15="",T15="")),"مسئول، موعد یا معیار ناقص","معتبر")))))</f>
        <v>پیشنهاد؛ تصویب نشده</v>
      </c>
      <c r="AA15" s="3" t="str">
        <f>IF(A15="","",IF(Z15&lt;&gt;"معتبر",Z15,IF(L15&lt;&gt;"تصویب",L15,IF(N15="خیر","تعیین تکلیف مستند؛ بدون اقدام",IF(COUNTIFS('08-برنامه اقدامات'!$B$8:$B$1007,A15)=0,"اقدام لازم؛ ثبت نشده",IF(COUNTIFS('08-برنامه اقدامات'!$B$8:$B$1007,A15,'08-برنامه اقدامات'!$T$8:$T$1007,"بسته؛ اثربخش")=COUNTIFS('08-برنامه اقدامات'!$B$8:$B$1007,A15),"بسته؛ اثربخش","باز؛ اجرا یا اثربخشی باقی است"))))))</f>
        <v>پیشنهاد؛ تصویب نشده</v>
      </c>
      <c r="AB15" s="5">
        <f>IF(A15="","",IF(B15&lt;&gt;'01-تنظیمات'!$B$5,"",IF('01-تنظیمات'!$B$7="پیش از جلسه",COUNTIFS($B$8:B15,'01-تنظیمات'!$B$5),IF(Z15="معتبر",COUNTIFS($B$8:B15,'01-تنظیمات'!$B$5,$Z$8:Z15,"معتبر"),""))))</f>
        <v>8</v>
      </c>
    </row>
    <row r="16" spans="1:28" ht="36" customHeight="1">
      <c r="A16" s="1" t="s">
        <v>969</v>
      </c>
      <c r="B16" s="1" t="s">
        <v>83</v>
      </c>
      <c r="C16" s="1" t="s">
        <v>77</v>
      </c>
      <c r="D16" s="1" t="s">
        <v>80</v>
      </c>
      <c r="E16" s="1" t="s">
        <v>116</v>
      </c>
      <c r="F16" s="1" t="s">
        <v>417</v>
      </c>
      <c r="G16" s="1" t="s">
        <v>970</v>
      </c>
      <c r="H16" s="1" t="s">
        <v>971</v>
      </c>
      <c r="I16" s="1" t="s">
        <v>226</v>
      </c>
      <c r="J16" s="1"/>
      <c r="K16" s="1" t="s">
        <v>972</v>
      </c>
      <c r="L16" s="1"/>
      <c r="M16" s="1"/>
      <c r="N16" s="1" t="s">
        <v>921</v>
      </c>
      <c r="O16" s="1" t="s">
        <v>973</v>
      </c>
      <c r="P16" s="1" t="s">
        <v>923</v>
      </c>
      <c r="Q16" s="1" t="s">
        <v>924</v>
      </c>
      <c r="R16" s="4"/>
      <c r="S16" s="1" t="s">
        <v>971</v>
      </c>
      <c r="T16" s="1" t="s">
        <v>925</v>
      </c>
      <c r="U16" s="1" t="s">
        <v>974</v>
      </c>
      <c r="V16" s="1"/>
      <c r="W16" s="4"/>
      <c r="X16" s="1" t="s">
        <v>379</v>
      </c>
      <c r="Y16" s="1" t="s">
        <v>927</v>
      </c>
      <c r="Z16" s="3" t="str">
        <f>IF(A16="","",IF(NOT(AND(COUNTIFS('07-تصمیمات و مصوبات'!$A$8:$A$1007,A16)=1,AND(COUNTIFS('17-جلسات و دوره‌ها'!$A$8:$A$1007,B16)=1,IFERROR(INDEX('17-جلسات و دوره‌ها'!$B$8:$B$1007,MATCH(B16,'17-جلسات و دوره‌ها'!$A$8:$A$1007,0)),"")=C16,IFERROR(INDEX('17-جلسات و دوره‌ها'!$C$8:$C$1007,MATCH(B16,'17-جلسات و دوره‌ها'!$A$8:$A$1007,0)),"")=D16),COUNTIFS('03-ورودی‌های بازنگری'!$A$8:$A$1007,F16)=1,IFERROR(INDEX('03-ورودی‌های بازنگری'!$D$8:$D$1007,MATCH(F16,'03-ورودی‌های بازنگری'!$A$8:$A$1007,0)),"")=B16)),"رابطه ورودی یا جلسه نامعتبر",IF(L16="","پیشنهاد؛ تصویب نشده",IF(OR(IFERROR(INDEX('03-ورودی‌های بازنگری'!$R$8:$R$1007,MATCH(F16,'03-ورودی‌های بازنگری'!$A$8:$A$1007,0)),"")&lt;&gt;"معتبر",H16="",J16="",K16="",M16="",V16="",NOT(ISNUMBER(W16)),N16="",N16="تعیین نشده"),"تعیین تکلیف ناقص",IF(AND(L16="تصویب",N16="بله",OR(O16="",NOT(ISNUMBER(R16)),S16="",T16="")),"مسئول، موعد یا معیار ناقص","معتبر")))))</f>
        <v>پیشنهاد؛ تصویب نشده</v>
      </c>
      <c r="AA16" s="3" t="str">
        <f>IF(A16="","",IF(Z16&lt;&gt;"معتبر",Z16,IF(L16&lt;&gt;"تصویب",L16,IF(N16="خیر","تعیین تکلیف مستند؛ بدون اقدام",IF(COUNTIFS('08-برنامه اقدامات'!$B$8:$B$1007,A16)=0,"اقدام لازم؛ ثبت نشده",IF(COUNTIFS('08-برنامه اقدامات'!$B$8:$B$1007,A16,'08-برنامه اقدامات'!$T$8:$T$1007,"بسته؛ اثربخش")=COUNTIFS('08-برنامه اقدامات'!$B$8:$B$1007,A16),"بسته؛ اثربخش","باز؛ اجرا یا اثربخشی باقی است"))))))</f>
        <v>پیشنهاد؛ تصویب نشده</v>
      </c>
      <c r="AB16" s="5">
        <f>IF(A16="","",IF(B16&lt;&gt;'01-تنظیمات'!$B$5,"",IF('01-تنظیمات'!$B$7="پیش از جلسه",COUNTIFS($B$8:B16,'01-تنظیمات'!$B$5),IF(Z16="معتبر",COUNTIFS($B$8:B16,'01-تنظیمات'!$B$5,$Z$8:Z16,"معتبر"),""))))</f>
        <v>9</v>
      </c>
    </row>
    <row r="17" spans="1:28" ht="36" customHeight="1">
      <c r="A17" s="1" t="s">
        <v>975</v>
      </c>
      <c r="B17" s="1" t="s">
        <v>83</v>
      </c>
      <c r="C17" s="1" t="s">
        <v>77</v>
      </c>
      <c r="D17" s="1" t="s">
        <v>80</v>
      </c>
      <c r="E17" s="1" t="s">
        <v>116</v>
      </c>
      <c r="F17" s="1" t="s">
        <v>422</v>
      </c>
      <c r="G17" s="1" t="s">
        <v>976</v>
      </c>
      <c r="H17" s="1" t="s">
        <v>977</v>
      </c>
      <c r="I17" s="1" t="s">
        <v>226</v>
      </c>
      <c r="J17" s="1"/>
      <c r="K17" s="1" t="s">
        <v>978</v>
      </c>
      <c r="L17" s="1"/>
      <c r="M17" s="1"/>
      <c r="N17" s="1" t="s">
        <v>921</v>
      </c>
      <c r="O17" s="1" t="s">
        <v>979</v>
      </c>
      <c r="P17" s="1" t="s">
        <v>923</v>
      </c>
      <c r="Q17" s="1" t="s">
        <v>924</v>
      </c>
      <c r="R17" s="4"/>
      <c r="S17" s="1" t="s">
        <v>977</v>
      </c>
      <c r="T17" s="1" t="s">
        <v>925</v>
      </c>
      <c r="U17" s="1" t="s">
        <v>980</v>
      </c>
      <c r="V17" s="1"/>
      <c r="W17" s="4"/>
      <c r="X17" s="1" t="s">
        <v>379</v>
      </c>
      <c r="Y17" s="1" t="s">
        <v>927</v>
      </c>
      <c r="Z17" s="3" t="str">
        <f>IF(A17="","",IF(NOT(AND(COUNTIFS('07-تصمیمات و مصوبات'!$A$8:$A$1007,A17)=1,AND(COUNTIFS('17-جلسات و دوره‌ها'!$A$8:$A$1007,B17)=1,IFERROR(INDEX('17-جلسات و دوره‌ها'!$B$8:$B$1007,MATCH(B17,'17-جلسات و دوره‌ها'!$A$8:$A$1007,0)),"")=C17,IFERROR(INDEX('17-جلسات و دوره‌ها'!$C$8:$C$1007,MATCH(B17,'17-جلسات و دوره‌ها'!$A$8:$A$1007,0)),"")=D17),COUNTIFS('03-ورودی‌های بازنگری'!$A$8:$A$1007,F17)=1,IFERROR(INDEX('03-ورودی‌های بازنگری'!$D$8:$D$1007,MATCH(F17,'03-ورودی‌های بازنگری'!$A$8:$A$1007,0)),"")=B17)),"رابطه ورودی یا جلسه نامعتبر",IF(L17="","پیشنهاد؛ تصویب نشده",IF(OR(IFERROR(INDEX('03-ورودی‌های بازنگری'!$R$8:$R$1007,MATCH(F17,'03-ورودی‌های بازنگری'!$A$8:$A$1007,0)),"")&lt;&gt;"معتبر",H17="",J17="",K17="",M17="",V17="",NOT(ISNUMBER(W17)),N17="",N17="تعیین نشده"),"تعیین تکلیف ناقص",IF(AND(L17="تصویب",N17="بله",OR(O17="",NOT(ISNUMBER(R17)),S17="",T17="")),"مسئول، موعد یا معیار ناقص","معتبر")))))</f>
        <v>پیشنهاد؛ تصویب نشده</v>
      </c>
      <c r="AA17" s="3" t="str">
        <f>IF(A17="","",IF(Z17&lt;&gt;"معتبر",Z17,IF(L17&lt;&gt;"تصویب",L17,IF(N17="خیر","تعیین تکلیف مستند؛ بدون اقدام",IF(COUNTIFS('08-برنامه اقدامات'!$B$8:$B$1007,A17)=0,"اقدام لازم؛ ثبت نشده",IF(COUNTIFS('08-برنامه اقدامات'!$B$8:$B$1007,A17,'08-برنامه اقدامات'!$T$8:$T$1007,"بسته؛ اثربخش")=COUNTIFS('08-برنامه اقدامات'!$B$8:$B$1007,A17),"بسته؛ اثربخش","باز؛ اجرا یا اثربخشی باقی است"))))))</f>
        <v>پیشنهاد؛ تصویب نشده</v>
      </c>
      <c r="AB17" s="5">
        <f>IF(A17="","",IF(B17&lt;&gt;'01-تنظیمات'!$B$5,"",IF('01-تنظیمات'!$B$7="پیش از جلسه",COUNTIFS($B$8:B17,'01-تنظیمات'!$B$5),IF(Z17="معتبر",COUNTIFS($B$8:B17,'01-تنظیمات'!$B$5,$Z$8:Z17,"معتبر"),""))))</f>
        <v>10</v>
      </c>
    </row>
    <row r="18" spans="1:28" ht="36" customHeight="1">
      <c r="A18" s="1" t="s">
        <v>981</v>
      </c>
      <c r="B18" s="1" t="s">
        <v>83</v>
      </c>
      <c r="C18" s="1" t="s">
        <v>77</v>
      </c>
      <c r="D18" s="1" t="s">
        <v>80</v>
      </c>
      <c r="E18" s="1" t="s">
        <v>116</v>
      </c>
      <c r="F18" s="1" t="s">
        <v>508</v>
      </c>
      <c r="G18" s="1" t="s">
        <v>982</v>
      </c>
      <c r="H18" s="1" t="s">
        <v>983</v>
      </c>
      <c r="I18" s="1" t="s">
        <v>226</v>
      </c>
      <c r="J18" s="1"/>
      <c r="K18" s="1" t="s">
        <v>984</v>
      </c>
      <c r="L18" s="1"/>
      <c r="M18" s="1"/>
      <c r="N18" s="1" t="s">
        <v>921</v>
      </c>
      <c r="O18" s="1" t="s">
        <v>985</v>
      </c>
      <c r="P18" s="1" t="s">
        <v>923</v>
      </c>
      <c r="Q18" s="1" t="s">
        <v>924</v>
      </c>
      <c r="R18" s="4"/>
      <c r="S18" s="1" t="s">
        <v>983</v>
      </c>
      <c r="T18" s="1" t="s">
        <v>925</v>
      </c>
      <c r="U18" s="1" t="s">
        <v>986</v>
      </c>
      <c r="V18" s="1"/>
      <c r="W18" s="4"/>
      <c r="X18" s="1" t="s">
        <v>379</v>
      </c>
      <c r="Y18" s="1" t="s">
        <v>927</v>
      </c>
      <c r="Z18" s="3" t="str">
        <f>IF(A18="","",IF(NOT(AND(COUNTIFS('07-تصمیمات و مصوبات'!$A$8:$A$1007,A18)=1,AND(COUNTIFS('17-جلسات و دوره‌ها'!$A$8:$A$1007,B18)=1,IFERROR(INDEX('17-جلسات و دوره‌ها'!$B$8:$B$1007,MATCH(B18,'17-جلسات و دوره‌ها'!$A$8:$A$1007,0)),"")=C18,IFERROR(INDEX('17-جلسات و دوره‌ها'!$C$8:$C$1007,MATCH(B18,'17-جلسات و دوره‌ها'!$A$8:$A$1007,0)),"")=D18),COUNTIFS('03-ورودی‌های بازنگری'!$A$8:$A$1007,F18)=1,IFERROR(INDEX('03-ورودی‌های بازنگری'!$D$8:$D$1007,MATCH(F18,'03-ورودی‌های بازنگری'!$A$8:$A$1007,0)),"")=B18)),"رابطه ورودی یا جلسه نامعتبر",IF(L18="","پیشنهاد؛ تصویب نشده",IF(OR(IFERROR(INDEX('03-ورودی‌های بازنگری'!$R$8:$R$1007,MATCH(F18,'03-ورودی‌های بازنگری'!$A$8:$A$1007,0)),"")&lt;&gt;"معتبر",H18="",J18="",K18="",M18="",V18="",NOT(ISNUMBER(W18)),N18="",N18="تعیین نشده"),"تعیین تکلیف ناقص",IF(AND(L18="تصویب",N18="بله",OR(O18="",NOT(ISNUMBER(R18)),S18="",T18="")),"مسئول، موعد یا معیار ناقص","معتبر")))))</f>
        <v>پیشنهاد؛ تصویب نشده</v>
      </c>
      <c r="AA18" s="3" t="str">
        <f>IF(A18="","",IF(Z18&lt;&gt;"معتبر",Z18,IF(L18&lt;&gt;"تصویب",L18,IF(N18="خیر","تعیین تکلیف مستند؛ بدون اقدام",IF(COUNTIFS('08-برنامه اقدامات'!$B$8:$B$1007,A18)=0,"اقدام لازم؛ ثبت نشده",IF(COUNTIFS('08-برنامه اقدامات'!$B$8:$B$1007,A18,'08-برنامه اقدامات'!$T$8:$T$1007,"بسته؛ اثربخش")=COUNTIFS('08-برنامه اقدامات'!$B$8:$B$1007,A18),"بسته؛ اثربخش","باز؛ اجرا یا اثربخشی باقی است"))))))</f>
        <v>پیشنهاد؛ تصویب نشده</v>
      </c>
      <c r="AB18" s="5">
        <f>IF(A18="","",IF(B18&lt;&gt;'01-تنظیمات'!$B$5,"",IF('01-تنظیمات'!$B$7="پیش از جلسه",COUNTIFS($B$8:B18,'01-تنظیمات'!$B$5),IF(Z18="معتبر",COUNTIFS($B$8:B18,'01-تنظیمات'!$B$5,$Z$8:Z18,"معتبر"),""))))</f>
        <v>11</v>
      </c>
    </row>
    <row r="19" spans="1:28" ht="36" customHeight="1">
      <c r="A19" s="1" t="s">
        <v>987</v>
      </c>
      <c r="B19" s="1" t="s">
        <v>83</v>
      </c>
      <c r="C19" s="1" t="s">
        <v>77</v>
      </c>
      <c r="D19" s="1" t="s">
        <v>80</v>
      </c>
      <c r="E19" s="1" t="s">
        <v>116</v>
      </c>
      <c r="F19" s="1" t="s">
        <v>497</v>
      </c>
      <c r="G19" s="1" t="s">
        <v>988</v>
      </c>
      <c r="H19" s="1" t="s">
        <v>989</v>
      </c>
      <c r="I19" s="1" t="s">
        <v>226</v>
      </c>
      <c r="J19" s="1"/>
      <c r="K19" s="1" t="s">
        <v>990</v>
      </c>
      <c r="L19" s="1"/>
      <c r="M19" s="1"/>
      <c r="N19" s="1" t="s">
        <v>921</v>
      </c>
      <c r="O19" s="1" t="s">
        <v>991</v>
      </c>
      <c r="P19" s="1" t="s">
        <v>923</v>
      </c>
      <c r="Q19" s="1" t="s">
        <v>924</v>
      </c>
      <c r="R19" s="4"/>
      <c r="S19" s="1" t="s">
        <v>989</v>
      </c>
      <c r="T19" s="1" t="s">
        <v>925</v>
      </c>
      <c r="U19" s="1" t="s">
        <v>992</v>
      </c>
      <c r="V19" s="1"/>
      <c r="W19" s="4"/>
      <c r="X19" s="1" t="s">
        <v>379</v>
      </c>
      <c r="Y19" s="1" t="s">
        <v>927</v>
      </c>
      <c r="Z19" s="3" t="str">
        <f>IF(A19="","",IF(NOT(AND(COUNTIFS('07-تصمیمات و مصوبات'!$A$8:$A$1007,A19)=1,AND(COUNTIFS('17-جلسات و دوره‌ها'!$A$8:$A$1007,B19)=1,IFERROR(INDEX('17-جلسات و دوره‌ها'!$B$8:$B$1007,MATCH(B19,'17-جلسات و دوره‌ها'!$A$8:$A$1007,0)),"")=C19,IFERROR(INDEX('17-جلسات و دوره‌ها'!$C$8:$C$1007,MATCH(B19,'17-جلسات و دوره‌ها'!$A$8:$A$1007,0)),"")=D19),COUNTIFS('03-ورودی‌های بازنگری'!$A$8:$A$1007,F19)=1,IFERROR(INDEX('03-ورودی‌های بازنگری'!$D$8:$D$1007,MATCH(F19,'03-ورودی‌های بازنگری'!$A$8:$A$1007,0)),"")=B19)),"رابطه ورودی یا جلسه نامعتبر",IF(L19="","پیشنهاد؛ تصویب نشده",IF(OR(IFERROR(INDEX('03-ورودی‌های بازنگری'!$R$8:$R$1007,MATCH(F19,'03-ورودی‌های بازنگری'!$A$8:$A$1007,0)),"")&lt;&gt;"معتبر",H19="",J19="",K19="",M19="",V19="",NOT(ISNUMBER(W19)),N19="",N19="تعیین نشده"),"تعیین تکلیف ناقص",IF(AND(L19="تصویب",N19="بله",OR(O19="",NOT(ISNUMBER(R19)),S19="",T19="")),"مسئول، موعد یا معیار ناقص","معتبر")))))</f>
        <v>پیشنهاد؛ تصویب نشده</v>
      </c>
      <c r="AA19" s="3" t="str">
        <f>IF(A19="","",IF(Z19&lt;&gt;"معتبر",Z19,IF(L19&lt;&gt;"تصویب",L19,IF(N19="خیر","تعیین تکلیف مستند؛ بدون اقدام",IF(COUNTIFS('08-برنامه اقدامات'!$B$8:$B$1007,A19)=0,"اقدام لازم؛ ثبت نشده",IF(COUNTIFS('08-برنامه اقدامات'!$B$8:$B$1007,A19,'08-برنامه اقدامات'!$T$8:$T$1007,"بسته؛ اثربخش")=COUNTIFS('08-برنامه اقدامات'!$B$8:$B$1007,A19),"بسته؛ اثربخش","باز؛ اجرا یا اثربخشی باقی است"))))))</f>
        <v>پیشنهاد؛ تصویب نشده</v>
      </c>
      <c r="AB19" s="5">
        <f>IF(A19="","",IF(B19&lt;&gt;'01-تنظیمات'!$B$5,"",IF('01-تنظیمات'!$B$7="پیش از جلسه",COUNTIFS($B$8:B19,'01-تنظیمات'!$B$5),IF(Z19="معتبر",COUNTIFS($B$8:B19,'01-تنظیمات'!$B$5,$Z$8:Z19,"معتبر"),""))))</f>
        <v>12</v>
      </c>
    </row>
    <row r="20" spans="1:28" ht="36" customHeight="1">
      <c r="A20" s="1" t="s">
        <v>993</v>
      </c>
      <c r="B20" s="1" t="s">
        <v>83</v>
      </c>
      <c r="C20" s="1" t="s">
        <v>77</v>
      </c>
      <c r="D20" s="1" t="s">
        <v>80</v>
      </c>
      <c r="E20" s="1" t="s">
        <v>116</v>
      </c>
      <c r="F20" s="1" t="s">
        <v>457</v>
      </c>
      <c r="G20" s="1" t="s">
        <v>994</v>
      </c>
      <c r="H20" s="1" t="s">
        <v>995</v>
      </c>
      <c r="I20" s="1" t="s">
        <v>232</v>
      </c>
      <c r="J20" s="1"/>
      <c r="K20" s="1" t="s">
        <v>996</v>
      </c>
      <c r="L20" s="1"/>
      <c r="M20" s="1"/>
      <c r="N20" s="1" t="s">
        <v>921</v>
      </c>
      <c r="O20" s="1" t="s">
        <v>997</v>
      </c>
      <c r="P20" s="1" t="s">
        <v>923</v>
      </c>
      <c r="Q20" s="1" t="s">
        <v>924</v>
      </c>
      <c r="R20" s="4"/>
      <c r="S20" s="1" t="s">
        <v>995</v>
      </c>
      <c r="T20" s="1" t="s">
        <v>925</v>
      </c>
      <c r="U20" s="1" t="s">
        <v>998</v>
      </c>
      <c r="V20" s="1"/>
      <c r="W20" s="4"/>
      <c r="X20" s="1" t="s">
        <v>379</v>
      </c>
      <c r="Y20" s="1" t="s">
        <v>927</v>
      </c>
      <c r="Z20" s="3" t="str">
        <f>IF(A20="","",IF(NOT(AND(COUNTIFS('07-تصمیمات و مصوبات'!$A$8:$A$1007,A20)=1,AND(COUNTIFS('17-جلسات و دوره‌ها'!$A$8:$A$1007,B20)=1,IFERROR(INDEX('17-جلسات و دوره‌ها'!$B$8:$B$1007,MATCH(B20,'17-جلسات و دوره‌ها'!$A$8:$A$1007,0)),"")=C20,IFERROR(INDEX('17-جلسات و دوره‌ها'!$C$8:$C$1007,MATCH(B20,'17-جلسات و دوره‌ها'!$A$8:$A$1007,0)),"")=D20),COUNTIFS('03-ورودی‌های بازنگری'!$A$8:$A$1007,F20)=1,IFERROR(INDEX('03-ورودی‌های بازنگری'!$D$8:$D$1007,MATCH(F20,'03-ورودی‌های بازنگری'!$A$8:$A$1007,0)),"")=B20)),"رابطه ورودی یا جلسه نامعتبر",IF(L20="","پیشنهاد؛ تصویب نشده",IF(OR(IFERROR(INDEX('03-ورودی‌های بازنگری'!$R$8:$R$1007,MATCH(F20,'03-ورودی‌های بازنگری'!$A$8:$A$1007,0)),"")&lt;&gt;"معتبر",H20="",J20="",K20="",M20="",V20="",NOT(ISNUMBER(W20)),N20="",N20="تعیین نشده"),"تعیین تکلیف ناقص",IF(AND(L20="تصویب",N20="بله",OR(O20="",NOT(ISNUMBER(R20)),S20="",T20="")),"مسئول، موعد یا معیار ناقص","معتبر")))))</f>
        <v>پیشنهاد؛ تصویب نشده</v>
      </c>
      <c r="AA20" s="3" t="str">
        <f>IF(A20="","",IF(Z20&lt;&gt;"معتبر",Z20,IF(L20&lt;&gt;"تصویب",L20,IF(N20="خیر","تعیین تکلیف مستند؛ بدون اقدام",IF(COUNTIFS('08-برنامه اقدامات'!$B$8:$B$1007,A20)=0,"اقدام لازم؛ ثبت نشده",IF(COUNTIFS('08-برنامه اقدامات'!$B$8:$B$1007,A20,'08-برنامه اقدامات'!$T$8:$T$1007,"بسته؛ اثربخش")=COUNTIFS('08-برنامه اقدامات'!$B$8:$B$1007,A20),"بسته؛ اثربخش","باز؛ اجرا یا اثربخشی باقی است"))))))</f>
        <v>پیشنهاد؛ تصویب نشده</v>
      </c>
      <c r="AB20" s="5">
        <f>IF(A20="","",IF(B20&lt;&gt;'01-تنظیمات'!$B$5,"",IF('01-تنظیمات'!$B$7="پیش از جلسه",COUNTIFS($B$8:B20,'01-تنظیمات'!$B$5),IF(Z20="معتبر",COUNTIFS($B$8:B20,'01-تنظیمات'!$B$5,$Z$8:Z20,"معتبر"),""))))</f>
        <v>13</v>
      </c>
    </row>
    <row r="21" spans="1:28" ht="48" customHeight="1">
      <c r="A21" s="1" t="s">
        <v>999</v>
      </c>
      <c r="B21" s="1" t="s">
        <v>83</v>
      </c>
      <c r="C21" s="1" t="s">
        <v>77</v>
      </c>
      <c r="D21" s="1" t="s">
        <v>80</v>
      </c>
      <c r="E21" s="1" t="s">
        <v>116</v>
      </c>
      <c r="F21" s="1" t="s">
        <v>492</v>
      </c>
      <c r="G21" s="1" t="s">
        <v>1000</v>
      </c>
      <c r="H21" s="1" t="s">
        <v>1001</v>
      </c>
      <c r="I21" s="1" t="s">
        <v>226</v>
      </c>
      <c r="J21" s="1"/>
      <c r="K21" s="1" t="s">
        <v>1002</v>
      </c>
      <c r="L21" s="1"/>
      <c r="M21" s="1"/>
      <c r="N21" s="1" t="s">
        <v>921</v>
      </c>
      <c r="O21" s="1" t="s">
        <v>1003</v>
      </c>
      <c r="P21" s="1" t="s">
        <v>923</v>
      </c>
      <c r="Q21" s="1" t="s">
        <v>924</v>
      </c>
      <c r="R21" s="4"/>
      <c r="S21" s="1" t="s">
        <v>1001</v>
      </c>
      <c r="T21" s="1" t="s">
        <v>925</v>
      </c>
      <c r="U21" s="1" t="s">
        <v>1004</v>
      </c>
      <c r="V21" s="1"/>
      <c r="W21" s="4"/>
      <c r="X21" s="1" t="s">
        <v>379</v>
      </c>
      <c r="Y21" s="1" t="s">
        <v>927</v>
      </c>
      <c r="Z21" s="3" t="str">
        <f>IF(A21="","",IF(NOT(AND(COUNTIFS('07-تصمیمات و مصوبات'!$A$8:$A$1007,A21)=1,AND(COUNTIFS('17-جلسات و دوره‌ها'!$A$8:$A$1007,B21)=1,IFERROR(INDEX('17-جلسات و دوره‌ها'!$B$8:$B$1007,MATCH(B21,'17-جلسات و دوره‌ها'!$A$8:$A$1007,0)),"")=C21,IFERROR(INDEX('17-جلسات و دوره‌ها'!$C$8:$C$1007,MATCH(B21,'17-جلسات و دوره‌ها'!$A$8:$A$1007,0)),"")=D21),COUNTIFS('03-ورودی‌های بازنگری'!$A$8:$A$1007,F21)=1,IFERROR(INDEX('03-ورودی‌های بازنگری'!$D$8:$D$1007,MATCH(F21,'03-ورودی‌های بازنگری'!$A$8:$A$1007,0)),"")=B21)),"رابطه ورودی یا جلسه نامعتبر",IF(L21="","پیشنهاد؛ تصویب نشده",IF(OR(IFERROR(INDEX('03-ورودی‌های بازنگری'!$R$8:$R$1007,MATCH(F21,'03-ورودی‌های بازنگری'!$A$8:$A$1007,0)),"")&lt;&gt;"معتبر",H21="",J21="",K21="",M21="",V21="",NOT(ISNUMBER(W21)),N21="",N21="تعیین نشده"),"تعیین تکلیف ناقص",IF(AND(L21="تصویب",N21="بله",OR(O21="",NOT(ISNUMBER(R21)),S21="",T21="")),"مسئول، موعد یا معیار ناقص","معتبر")))))</f>
        <v>پیشنهاد؛ تصویب نشده</v>
      </c>
      <c r="AA21" s="3" t="str">
        <f>IF(A21="","",IF(Z21&lt;&gt;"معتبر",Z21,IF(L21&lt;&gt;"تصویب",L21,IF(N21="خیر","تعیین تکلیف مستند؛ بدون اقدام",IF(COUNTIFS('08-برنامه اقدامات'!$B$8:$B$1007,A21)=0,"اقدام لازم؛ ثبت نشده",IF(COUNTIFS('08-برنامه اقدامات'!$B$8:$B$1007,A21,'08-برنامه اقدامات'!$T$8:$T$1007,"بسته؛ اثربخش")=COUNTIFS('08-برنامه اقدامات'!$B$8:$B$1007,A21),"بسته؛ اثربخش","باز؛ اجرا یا اثربخشی باقی است"))))))</f>
        <v>پیشنهاد؛ تصویب نشده</v>
      </c>
      <c r="AB21" s="5">
        <f>IF(A21="","",IF(B21&lt;&gt;'01-تنظیمات'!$B$5,"",IF('01-تنظیمات'!$B$7="پیش از جلسه",COUNTIFS($B$8:B21,'01-تنظیمات'!$B$5),IF(Z21="معتبر",COUNTIFS($B$8:B21,'01-تنظیمات'!$B$5,$Z$8:Z21,"معتبر"),""))))</f>
        <v>14</v>
      </c>
    </row>
    <row r="22" spans="1:28" ht="36" customHeight="1">
      <c r="A22" s="1" t="s">
        <v>1005</v>
      </c>
      <c r="B22" s="1" t="s">
        <v>83</v>
      </c>
      <c r="C22" s="1" t="s">
        <v>77</v>
      </c>
      <c r="D22" s="1" t="s">
        <v>80</v>
      </c>
      <c r="E22" s="1" t="s">
        <v>116</v>
      </c>
      <c r="F22" s="1" t="s">
        <v>472</v>
      </c>
      <c r="G22" s="1" t="s">
        <v>1006</v>
      </c>
      <c r="H22" s="1" t="s">
        <v>1007</v>
      </c>
      <c r="I22" s="1" t="s">
        <v>232</v>
      </c>
      <c r="J22" s="1"/>
      <c r="K22" s="1" t="s">
        <v>1008</v>
      </c>
      <c r="L22" s="1"/>
      <c r="M22" s="1"/>
      <c r="N22" s="1" t="s">
        <v>921</v>
      </c>
      <c r="O22" s="1" t="s">
        <v>1009</v>
      </c>
      <c r="P22" s="1" t="s">
        <v>923</v>
      </c>
      <c r="Q22" s="1" t="s">
        <v>924</v>
      </c>
      <c r="R22" s="4"/>
      <c r="S22" s="1" t="s">
        <v>1007</v>
      </c>
      <c r="T22" s="1" t="s">
        <v>925</v>
      </c>
      <c r="U22" s="1" t="s">
        <v>1010</v>
      </c>
      <c r="V22" s="1"/>
      <c r="W22" s="4"/>
      <c r="X22" s="1" t="s">
        <v>379</v>
      </c>
      <c r="Y22" s="1" t="s">
        <v>927</v>
      </c>
      <c r="Z22" s="3" t="str">
        <f>IF(A22="","",IF(NOT(AND(COUNTIFS('07-تصمیمات و مصوبات'!$A$8:$A$1007,A22)=1,AND(COUNTIFS('17-جلسات و دوره‌ها'!$A$8:$A$1007,B22)=1,IFERROR(INDEX('17-جلسات و دوره‌ها'!$B$8:$B$1007,MATCH(B22,'17-جلسات و دوره‌ها'!$A$8:$A$1007,0)),"")=C22,IFERROR(INDEX('17-جلسات و دوره‌ها'!$C$8:$C$1007,MATCH(B22,'17-جلسات و دوره‌ها'!$A$8:$A$1007,0)),"")=D22),COUNTIFS('03-ورودی‌های بازنگری'!$A$8:$A$1007,F22)=1,IFERROR(INDEX('03-ورودی‌های بازنگری'!$D$8:$D$1007,MATCH(F22,'03-ورودی‌های بازنگری'!$A$8:$A$1007,0)),"")=B22)),"رابطه ورودی یا جلسه نامعتبر",IF(L22="","پیشنهاد؛ تصویب نشده",IF(OR(IFERROR(INDEX('03-ورودی‌های بازنگری'!$R$8:$R$1007,MATCH(F22,'03-ورودی‌های بازنگری'!$A$8:$A$1007,0)),"")&lt;&gt;"معتبر",H22="",J22="",K22="",M22="",V22="",NOT(ISNUMBER(W22)),N22="",N22="تعیین نشده"),"تعیین تکلیف ناقص",IF(AND(L22="تصویب",N22="بله",OR(O22="",NOT(ISNUMBER(R22)),S22="",T22="")),"مسئول، موعد یا معیار ناقص","معتبر")))))</f>
        <v>پیشنهاد؛ تصویب نشده</v>
      </c>
      <c r="AA22" s="3" t="str">
        <f>IF(A22="","",IF(Z22&lt;&gt;"معتبر",Z22,IF(L22&lt;&gt;"تصویب",L22,IF(N22="خیر","تعیین تکلیف مستند؛ بدون اقدام",IF(COUNTIFS('08-برنامه اقدامات'!$B$8:$B$1007,A22)=0,"اقدام لازم؛ ثبت نشده",IF(COUNTIFS('08-برنامه اقدامات'!$B$8:$B$1007,A22,'08-برنامه اقدامات'!$T$8:$T$1007,"بسته؛ اثربخش")=COUNTIFS('08-برنامه اقدامات'!$B$8:$B$1007,A22),"بسته؛ اثربخش","باز؛ اجرا یا اثربخشی باقی است"))))))</f>
        <v>پیشنهاد؛ تصویب نشده</v>
      </c>
      <c r="AB22" s="5">
        <f>IF(A22="","",IF(B22&lt;&gt;'01-تنظیمات'!$B$5,"",IF('01-تنظیمات'!$B$7="پیش از جلسه",COUNTIFS($B$8:B22,'01-تنظیمات'!$B$5),IF(Z22="معتبر",COUNTIFS($B$8:B22,'01-تنظیمات'!$B$5,$Z$8:Z22,"معتبر"),""))))</f>
        <v>15</v>
      </c>
    </row>
    <row r="23" spans="1:28" ht="48" customHeight="1">
      <c r="A23" s="1" t="s">
        <v>1011</v>
      </c>
      <c r="B23" s="1" t="s">
        <v>83</v>
      </c>
      <c r="C23" s="1" t="s">
        <v>77</v>
      </c>
      <c r="D23" s="1" t="s">
        <v>80</v>
      </c>
      <c r="E23" s="1" t="s">
        <v>116</v>
      </c>
      <c r="F23" s="1" t="s">
        <v>482</v>
      </c>
      <c r="G23" s="1" t="s">
        <v>1012</v>
      </c>
      <c r="H23" s="1" t="s">
        <v>1013</v>
      </c>
      <c r="I23" s="1" t="s">
        <v>226</v>
      </c>
      <c r="J23" s="1"/>
      <c r="K23" s="1" t="s">
        <v>1014</v>
      </c>
      <c r="L23" s="1"/>
      <c r="M23" s="1"/>
      <c r="N23" s="1" t="s">
        <v>921</v>
      </c>
      <c r="O23" s="1" t="s">
        <v>1015</v>
      </c>
      <c r="P23" s="1" t="s">
        <v>923</v>
      </c>
      <c r="Q23" s="1" t="s">
        <v>924</v>
      </c>
      <c r="R23" s="4"/>
      <c r="S23" s="1" t="s">
        <v>1013</v>
      </c>
      <c r="T23" s="1" t="s">
        <v>925</v>
      </c>
      <c r="U23" s="1" t="s">
        <v>1016</v>
      </c>
      <c r="V23" s="1"/>
      <c r="W23" s="4"/>
      <c r="X23" s="1" t="s">
        <v>379</v>
      </c>
      <c r="Y23" s="1" t="s">
        <v>927</v>
      </c>
      <c r="Z23" s="3" t="str">
        <f>IF(A23="","",IF(NOT(AND(COUNTIFS('07-تصمیمات و مصوبات'!$A$8:$A$1007,A23)=1,AND(COUNTIFS('17-جلسات و دوره‌ها'!$A$8:$A$1007,B23)=1,IFERROR(INDEX('17-جلسات و دوره‌ها'!$B$8:$B$1007,MATCH(B23,'17-جلسات و دوره‌ها'!$A$8:$A$1007,0)),"")=C23,IFERROR(INDEX('17-جلسات و دوره‌ها'!$C$8:$C$1007,MATCH(B23,'17-جلسات و دوره‌ها'!$A$8:$A$1007,0)),"")=D23),COUNTIFS('03-ورودی‌های بازنگری'!$A$8:$A$1007,F23)=1,IFERROR(INDEX('03-ورودی‌های بازنگری'!$D$8:$D$1007,MATCH(F23,'03-ورودی‌های بازنگری'!$A$8:$A$1007,0)),"")=B23)),"رابطه ورودی یا جلسه نامعتبر",IF(L23="","پیشنهاد؛ تصویب نشده",IF(OR(IFERROR(INDEX('03-ورودی‌های بازنگری'!$R$8:$R$1007,MATCH(F23,'03-ورودی‌های بازنگری'!$A$8:$A$1007,0)),"")&lt;&gt;"معتبر",H23="",J23="",K23="",M23="",V23="",NOT(ISNUMBER(W23)),N23="",N23="تعیین نشده"),"تعیین تکلیف ناقص",IF(AND(L23="تصویب",N23="بله",OR(O23="",NOT(ISNUMBER(R23)),S23="",T23="")),"مسئول، موعد یا معیار ناقص","معتبر")))))</f>
        <v>پیشنهاد؛ تصویب نشده</v>
      </c>
      <c r="AA23" s="3" t="str">
        <f>IF(A23="","",IF(Z23&lt;&gt;"معتبر",Z23,IF(L23&lt;&gt;"تصویب",L23,IF(N23="خیر","تعیین تکلیف مستند؛ بدون اقدام",IF(COUNTIFS('08-برنامه اقدامات'!$B$8:$B$1007,A23)=0,"اقدام لازم؛ ثبت نشده",IF(COUNTIFS('08-برنامه اقدامات'!$B$8:$B$1007,A23,'08-برنامه اقدامات'!$T$8:$T$1007,"بسته؛ اثربخش")=COUNTIFS('08-برنامه اقدامات'!$B$8:$B$1007,A23),"بسته؛ اثربخش","باز؛ اجرا یا اثربخشی باقی است"))))))</f>
        <v>پیشنهاد؛ تصویب نشده</v>
      </c>
      <c r="AB23" s="5">
        <f>IF(A23="","",IF(B23&lt;&gt;'01-تنظیمات'!$B$5,"",IF('01-تنظیمات'!$B$7="پیش از جلسه",COUNTIFS($B$8:B23,'01-تنظیمات'!$B$5),IF(Z23="معتبر",COUNTIFS($B$8:B23,'01-تنظیمات'!$B$5,$Z$8:Z23,"معتبر"),""))))</f>
        <v>16</v>
      </c>
    </row>
    <row r="24" spans="1:28" ht="36" customHeight="1">
      <c r="A24" s="1" t="s">
        <v>1017</v>
      </c>
      <c r="B24" s="1" t="s">
        <v>83</v>
      </c>
      <c r="C24" s="1" t="s">
        <v>77</v>
      </c>
      <c r="D24" s="1" t="s">
        <v>80</v>
      </c>
      <c r="E24" s="1" t="s">
        <v>116</v>
      </c>
      <c r="F24" s="1" t="s">
        <v>447</v>
      </c>
      <c r="G24" s="1" t="s">
        <v>1018</v>
      </c>
      <c r="H24" s="1" t="s">
        <v>1019</v>
      </c>
      <c r="I24" s="1" t="s">
        <v>226</v>
      </c>
      <c r="J24" s="1"/>
      <c r="K24" s="1" t="s">
        <v>1020</v>
      </c>
      <c r="L24" s="1"/>
      <c r="M24" s="1"/>
      <c r="N24" s="1" t="s">
        <v>921</v>
      </c>
      <c r="O24" s="1" t="s">
        <v>1021</v>
      </c>
      <c r="P24" s="1" t="s">
        <v>923</v>
      </c>
      <c r="Q24" s="1" t="s">
        <v>924</v>
      </c>
      <c r="R24" s="4"/>
      <c r="S24" s="1" t="s">
        <v>1019</v>
      </c>
      <c r="T24" s="1" t="s">
        <v>925</v>
      </c>
      <c r="U24" s="1" t="s">
        <v>1022</v>
      </c>
      <c r="V24" s="1"/>
      <c r="W24" s="4"/>
      <c r="X24" s="1" t="s">
        <v>379</v>
      </c>
      <c r="Y24" s="1" t="s">
        <v>927</v>
      </c>
      <c r="Z24" s="3" t="str">
        <f>IF(A24="","",IF(NOT(AND(COUNTIFS('07-تصمیمات و مصوبات'!$A$8:$A$1007,A24)=1,AND(COUNTIFS('17-جلسات و دوره‌ها'!$A$8:$A$1007,B24)=1,IFERROR(INDEX('17-جلسات و دوره‌ها'!$B$8:$B$1007,MATCH(B24,'17-جلسات و دوره‌ها'!$A$8:$A$1007,0)),"")=C24,IFERROR(INDEX('17-جلسات و دوره‌ها'!$C$8:$C$1007,MATCH(B24,'17-جلسات و دوره‌ها'!$A$8:$A$1007,0)),"")=D24),COUNTIFS('03-ورودی‌های بازنگری'!$A$8:$A$1007,F24)=1,IFERROR(INDEX('03-ورودی‌های بازنگری'!$D$8:$D$1007,MATCH(F24,'03-ورودی‌های بازنگری'!$A$8:$A$1007,0)),"")=B24)),"رابطه ورودی یا جلسه نامعتبر",IF(L24="","پیشنهاد؛ تصویب نشده",IF(OR(IFERROR(INDEX('03-ورودی‌های بازنگری'!$R$8:$R$1007,MATCH(F24,'03-ورودی‌های بازنگری'!$A$8:$A$1007,0)),"")&lt;&gt;"معتبر",H24="",J24="",K24="",M24="",V24="",NOT(ISNUMBER(W24)),N24="",N24="تعیین نشده"),"تعیین تکلیف ناقص",IF(AND(L24="تصویب",N24="بله",OR(O24="",NOT(ISNUMBER(R24)),S24="",T24="")),"مسئول، موعد یا معیار ناقص","معتبر")))))</f>
        <v>پیشنهاد؛ تصویب نشده</v>
      </c>
      <c r="AA24" s="3" t="str">
        <f>IF(A24="","",IF(Z24&lt;&gt;"معتبر",Z24,IF(L24&lt;&gt;"تصویب",L24,IF(N24="خیر","تعیین تکلیف مستند؛ بدون اقدام",IF(COUNTIFS('08-برنامه اقدامات'!$B$8:$B$1007,A24)=0,"اقدام لازم؛ ثبت نشده",IF(COUNTIFS('08-برنامه اقدامات'!$B$8:$B$1007,A24,'08-برنامه اقدامات'!$T$8:$T$1007,"بسته؛ اثربخش")=COUNTIFS('08-برنامه اقدامات'!$B$8:$B$1007,A24),"بسته؛ اثربخش","باز؛ اجرا یا اثربخشی باقی است"))))))</f>
        <v>پیشنهاد؛ تصویب نشده</v>
      </c>
      <c r="AB24" s="5">
        <f>IF(A24="","",IF(B24&lt;&gt;'01-تنظیمات'!$B$5,"",IF('01-تنظیمات'!$B$7="پیش از جلسه",COUNTIFS($B$8:B24,'01-تنظیمات'!$B$5),IF(Z24="معتبر",COUNTIFS($B$8:B24,'01-تنظیمات'!$B$5,$Z$8:Z24,"معتبر"),""))))</f>
        <v>17</v>
      </c>
    </row>
    <row r="25" spans="1:28" ht="36" customHeight="1">
      <c r="A25" s="1" t="s">
        <v>1023</v>
      </c>
      <c r="B25" s="1" t="s">
        <v>83</v>
      </c>
      <c r="C25" s="1" t="s">
        <v>77</v>
      </c>
      <c r="D25" s="1" t="s">
        <v>80</v>
      </c>
      <c r="E25" s="1" t="s">
        <v>116</v>
      </c>
      <c r="F25" s="1" t="s">
        <v>492</v>
      </c>
      <c r="G25" s="1" t="s">
        <v>1024</v>
      </c>
      <c r="H25" s="1" t="s">
        <v>1025</v>
      </c>
      <c r="I25" s="1" t="s">
        <v>226</v>
      </c>
      <c r="J25" s="1"/>
      <c r="K25" s="1" t="s">
        <v>1026</v>
      </c>
      <c r="L25" s="1"/>
      <c r="M25" s="1"/>
      <c r="N25" s="1" t="s">
        <v>921</v>
      </c>
      <c r="O25" s="1" t="s">
        <v>1027</v>
      </c>
      <c r="P25" s="1" t="s">
        <v>923</v>
      </c>
      <c r="Q25" s="1" t="s">
        <v>924</v>
      </c>
      <c r="R25" s="4"/>
      <c r="S25" s="1" t="s">
        <v>1025</v>
      </c>
      <c r="T25" s="1" t="s">
        <v>925</v>
      </c>
      <c r="U25" s="1" t="s">
        <v>1028</v>
      </c>
      <c r="V25" s="1"/>
      <c r="W25" s="4"/>
      <c r="X25" s="1" t="s">
        <v>379</v>
      </c>
      <c r="Y25" s="1" t="s">
        <v>927</v>
      </c>
      <c r="Z25" s="3" t="str">
        <f>IF(A25="","",IF(NOT(AND(COUNTIFS('07-تصمیمات و مصوبات'!$A$8:$A$1007,A25)=1,AND(COUNTIFS('17-جلسات و دوره‌ها'!$A$8:$A$1007,B25)=1,IFERROR(INDEX('17-جلسات و دوره‌ها'!$B$8:$B$1007,MATCH(B25,'17-جلسات و دوره‌ها'!$A$8:$A$1007,0)),"")=C25,IFERROR(INDEX('17-جلسات و دوره‌ها'!$C$8:$C$1007,MATCH(B25,'17-جلسات و دوره‌ها'!$A$8:$A$1007,0)),"")=D25),COUNTIFS('03-ورودی‌های بازنگری'!$A$8:$A$1007,F25)=1,IFERROR(INDEX('03-ورودی‌های بازنگری'!$D$8:$D$1007,MATCH(F25,'03-ورودی‌های بازنگری'!$A$8:$A$1007,0)),"")=B25)),"رابطه ورودی یا جلسه نامعتبر",IF(L25="","پیشنهاد؛ تصویب نشده",IF(OR(IFERROR(INDEX('03-ورودی‌های بازنگری'!$R$8:$R$1007,MATCH(F25,'03-ورودی‌های بازنگری'!$A$8:$A$1007,0)),"")&lt;&gt;"معتبر",H25="",J25="",K25="",M25="",V25="",NOT(ISNUMBER(W25)),N25="",N25="تعیین نشده"),"تعیین تکلیف ناقص",IF(AND(L25="تصویب",N25="بله",OR(O25="",NOT(ISNUMBER(R25)),S25="",T25="")),"مسئول، موعد یا معیار ناقص","معتبر")))))</f>
        <v>پیشنهاد؛ تصویب نشده</v>
      </c>
      <c r="AA25" s="3" t="str">
        <f>IF(A25="","",IF(Z25&lt;&gt;"معتبر",Z25,IF(L25&lt;&gt;"تصویب",L25,IF(N25="خیر","تعیین تکلیف مستند؛ بدون اقدام",IF(COUNTIFS('08-برنامه اقدامات'!$B$8:$B$1007,A25)=0,"اقدام لازم؛ ثبت نشده",IF(COUNTIFS('08-برنامه اقدامات'!$B$8:$B$1007,A25,'08-برنامه اقدامات'!$T$8:$T$1007,"بسته؛ اثربخش")=COUNTIFS('08-برنامه اقدامات'!$B$8:$B$1007,A25),"بسته؛ اثربخش","باز؛ اجرا یا اثربخشی باقی است"))))))</f>
        <v>پیشنهاد؛ تصویب نشده</v>
      </c>
      <c r="AB25" s="5">
        <f>IF(A25="","",IF(B25&lt;&gt;'01-تنظیمات'!$B$5,"",IF('01-تنظیمات'!$B$7="پیش از جلسه",COUNTIFS($B$8:B25,'01-تنظیمات'!$B$5),IF(Z25="معتبر",COUNTIFS($B$8:B25,'01-تنظیمات'!$B$5,$Z$8:Z25,"معتبر"),""))))</f>
        <v>18</v>
      </c>
    </row>
    <row r="26" spans="1:28" ht="36" customHeight="1">
      <c r="A26" s="1" t="s">
        <v>1029</v>
      </c>
      <c r="B26" s="1" t="s">
        <v>83</v>
      </c>
      <c r="C26" s="1" t="s">
        <v>77</v>
      </c>
      <c r="D26" s="1" t="s">
        <v>80</v>
      </c>
      <c r="E26" s="1" t="s">
        <v>116</v>
      </c>
      <c r="F26" s="1" t="s">
        <v>412</v>
      </c>
      <c r="G26" s="1" t="s">
        <v>1030</v>
      </c>
      <c r="H26" s="1" t="s">
        <v>1031</v>
      </c>
      <c r="I26" s="1" t="s">
        <v>226</v>
      </c>
      <c r="J26" s="1"/>
      <c r="K26" s="1" t="s">
        <v>1032</v>
      </c>
      <c r="L26" s="1"/>
      <c r="M26" s="1"/>
      <c r="N26" s="1" t="s">
        <v>921</v>
      </c>
      <c r="O26" s="1" t="s">
        <v>1033</v>
      </c>
      <c r="P26" s="1" t="s">
        <v>923</v>
      </c>
      <c r="Q26" s="1" t="s">
        <v>924</v>
      </c>
      <c r="R26" s="4"/>
      <c r="S26" s="1" t="s">
        <v>1031</v>
      </c>
      <c r="T26" s="1" t="s">
        <v>925</v>
      </c>
      <c r="U26" s="1" t="s">
        <v>1034</v>
      </c>
      <c r="V26" s="1"/>
      <c r="W26" s="4"/>
      <c r="X26" s="1" t="s">
        <v>379</v>
      </c>
      <c r="Y26" s="1" t="s">
        <v>927</v>
      </c>
      <c r="Z26" s="3" t="str">
        <f>IF(A26="","",IF(NOT(AND(COUNTIFS('07-تصمیمات و مصوبات'!$A$8:$A$1007,A26)=1,AND(COUNTIFS('17-جلسات و دوره‌ها'!$A$8:$A$1007,B26)=1,IFERROR(INDEX('17-جلسات و دوره‌ها'!$B$8:$B$1007,MATCH(B26,'17-جلسات و دوره‌ها'!$A$8:$A$1007,0)),"")=C26,IFERROR(INDEX('17-جلسات و دوره‌ها'!$C$8:$C$1007,MATCH(B26,'17-جلسات و دوره‌ها'!$A$8:$A$1007,0)),"")=D26),COUNTIFS('03-ورودی‌های بازنگری'!$A$8:$A$1007,F26)=1,IFERROR(INDEX('03-ورودی‌های بازنگری'!$D$8:$D$1007,MATCH(F26,'03-ورودی‌های بازنگری'!$A$8:$A$1007,0)),"")=B26)),"رابطه ورودی یا جلسه نامعتبر",IF(L26="","پیشنهاد؛ تصویب نشده",IF(OR(IFERROR(INDEX('03-ورودی‌های بازنگری'!$R$8:$R$1007,MATCH(F26,'03-ورودی‌های بازنگری'!$A$8:$A$1007,0)),"")&lt;&gt;"معتبر",H26="",J26="",K26="",M26="",V26="",NOT(ISNUMBER(W26)),N26="",N26="تعیین نشده"),"تعیین تکلیف ناقص",IF(AND(L26="تصویب",N26="بله",OR(O26="",NOT(ISNUMBER(R26)),S26="",T26="")),"مسئول، موعد یا معیار ناقص","معتبر")))))</f>
        <v>پیشنهاد؛ تصویب نشده</v>
      </c>
      <c r="AA26" s="3" t="str">
        <f>IF(A26="","",IF(Z26&lt;&gt;"معتبر",Z26,IF(L26&lt;&gt;"تصویب",L26,IF(N26="خیر","تعیین تکلیف مستند؛ بدون اقدام",IF(COUNTIFS('08-برنامه اقدامات'!$B$8:$B$1007,A26)=0,"اقدام لازم؛ ثبت نشده",IF(COUNTIFS('08-برنامه اقدامات'!$B$8:$B$1007,A26,'08-برنامه اقدامات'!$T$8:$T$1007,"بسته؛ اثربخش")=COUNTIFS('08-برنامه اقدامات'!$B$8:$B$1007,A26),"بسته؛ اثربخش","باز؛ اجرا یا اثربخشی باقی است"))))))</f>
        <v>پیشنهاد؛ تصویب نشده</v>
      </c>
      <c r="AB26" s="5">
        <f>IF(A26="","",IF(B26&lt;&gt;'01-تنظیمات'!$B$5,"",IF('01-تنظیمات'!$B$7="پیش از جلسه",COUNTIFS($B$8:B26,'01-تنظیمات'!$B$5),IF(Z26="معتبر",COUNTIFS($B$8:B26,'01-تنظیمات'!$B$5,$Z$8:Z26,"معتبر"),""))))</f>
        <v>19</v>
      </c>
    </row>
    <row r="27" spans="1:28" ht="36" customHeight="1">
      <c r="A27" s="1" t="s">
        <v>1035</v>
      </c>
      <c r="B27" s="1" t="s">
        <v>83</v>
      </c>
      <c r="C27" s="1" t="s">
        <v>77</v>
      </c>
      <c r="D27" s="1" t="s">
        <v>80</v>
      </c>
      <c r="E27" s="1" t="s">
        <v>116</v>
      </c>
      <c r="F27" s="1" t="s">
        <v>523</v>
      </c>
      <c r="G27" s="1" t="s">
        <v>1036</v>
      </c>
      <c r="H27" s="1" t="s">
        <v>1037</v>
      </c>
      <c r="I27" s="1" t="s">
        <v>226</v>
      </c>
      <c r="J27" s="1"/>
      <c r="K27" s="1" t="s">
        <v>1038</v>
      </c>
      <c r="L27" s="1"/>
      <c r="M27" s="1"/>
      <c r="N27" s="1" t="s">
        <v>921</v>
      </c>
      <c r="O27" s="1" t="s">
        <v>1039</v>
      </c>
      <c r="P27" s="1" t="s">
        <v>923</v>
      </c>
      <c r="Q27" s="1" t="s">
        <v>924</v>
      </c>
      <c r="R27" s="4"/>
      <c r="S27" s="1" t="s">
        <v>1037</v>
      </c>
      <c r="T27" s="1" t="s">
        <v>925</v>
      </c>
      <c r="U27" s="1" t="s">
        <v>1040</v>
      </c>
      <c r="V27" s="1"/>
      <c r="W27" s="4"/>
      <c r="X27" s="1" t="s">
        <v>379</v>
      </c>
      <c r="Y27" s="1" t="s">
        <v>927</v>
      </c>
      <c r="Z27" s="3" t="str">
        <f>IF(A27="","",IF(NOT(AND(COUNTIFS('07-تصمیمات و مصوبات'!$A$8:$A$1007,A27)=1,AND(COUNTIFS('17-جلسات و دوره‌ها'!$A$8:$A$1007,B27)=1,IFERROR(INDEX('17-جلسات و دوره‌ها'!$B$8:$B$1007,MATCH(B27,'17-جلسات و دوره‌ها'!$A$8:$A$1007,0)),"")=C27,IFERROR(INDEX('17-جلسات و دوره‌ها'!$C$8:$C$1007,MATCH(B27,'17-جلسات و دوره‌ها'!$A$8:$A$1007,0)),"")=D27),COUNTIFS('03-ورودی‌های بازنگری'!$A$8:$A$1007,F27)=1,IFERROR(INDEX('03-ورودی‌های بازنگری'!$D$8:$D$1007,MATCH(F27,'03-ورودی‌های بازنگری'!$A$8:$A$1007,0)),"")=B27)),"رابطه ورودی یا جلسه نامعتبر",IF(L27="","پیشنهاد؛ تصویب نشده",IF(OR(IFERROR(INDEX('03-ورودی‌های بازنگری'!$R$8:$R$1007,MATCH(F27,'03-ورودی‌های بازنگری'!$A$8:$A$1007,0)),"")&lt;&gt;"معتبر",H27="",J27="",K27="",M27="",V27="",NOT(ISNUMBER(W27)),N27="",N27="تعیین نشده"),"تعیین تکلیف ناقص",IF(AND(L27="تصویب",N27="بله",OR(O27="",NOT(ISNUMBER(R27)),S27="",T27="")),"مسئول، موعد یا معیار ناقص","معتبر")))))</f>
        <v>پیشنهاد؛ تصویب نشده</v>
      </c>
      <c r="AA27" s="3" t="str">
        <f>IF(A27="","",IF(Z27&lt;&gt;"معتبر",Z27,IF(L27&lt;&gt;"تصویب",L27,IF(N27="خیر","تعیین تکلیف مستند؛ بدون اقدام",IF(COUNTIFS('08-برنامه اقدامات'!$B$8:$B$1007,A27)=0,"اقدام لازم؛ ثبت نشده",IF(COUNTIFS('08-برنامه اقدامات'!$B$8:$B$1007,A27,'08-برنامه اقدامات'!$T$8:$T$1007,"بسته؛ اثربخش")=COUNTIFS('08-برنامه اقدامات'!$B$8:$B$1007,A27),"بسته؛ اثربخش","باز؛ اجرا یا اثربخشی باقی است"))))))</f>
        <v>پیشنهاد؛ تصویب نشده</v>
      </c>
      <c r="AB27" s="5">
        <f>IF(A27="","",IF(B27&lt;&gt;'01-تنظیمات'!$B$5,"",IF('01-تنظیمات'!$B$7="پیش از جلسه",COUNTIFS($B$8:B27,'01-تنظیمات'!$B$5),IF(Z27="معتبر",COUNTIFS($B$8:B27,'01-تنظیمات'!$B$5,$Z$8:Z27,"معتبر"),""))))</f>
        <v>20</v>
      </c>
    </row>
    <row r="28" spans="1:28" ht="36" customHeight="1">
      <c r="A28" s="1" t="s">
        <v>1041</v>
      </c>
      <c r="B28" s="1" t="s">
        <v>83</v>
      </c>
      <c r="C28" s="1" t="s">
        <v>77</v>
      </c>
      <c r="D28" s="1" t="s">
        <v>80</v>
      </c>
      <c r="E28" s="1" t="s">
        <v>116</v>
      </c>
      <c r="F28" s="1" t="s">
        <v>518</v>
      </c>
      <c r="G28" s="1" t="s">
        <v>1042</v>
      </c>
      <c r="H28" s="1" t="s">
        <v>1043</v>
      </c>
      <c r="I28" s="1" t="s">
        <v>226</v>
      </c>
      <c r="J28" s="1"/>
      <c r="K28" s="1" t="s">
        <v>1044</v>
      </c>
      <c r="L28" s="1"/>
      <c r="M28" s="1"/>
      <c r="N28" s="1" t="s">
        <v>921</v>
      </c>
      <c r="O28" s="1" t="s">
        <v>1045</v>
      </c>
      <c r="P28" s="1" t="s">
        <v>923</v>
      </c>
      <c r="Q28" s="1" t="s">
        <v>924</v>
      </c>
      <c r="R28" s="4"/>
      <c r="S28" s="1" t="s">
        <v>1043</v>
      </c>
      <c r="T28" s="1" t="s">
        <v>925</v>
      </c>
      <c r="U28" s="1" t="s">
        <v>1046</v>
      </c>
      <c r="V28" s="1"/>
      <c r="W28" s="4"/>
      <c r="X28" s="1" t="s">
        <v>379</v>
      </c>
      <c r="Y28" s="1" t="s">
        <v>927</v>
      </c>
      <c r="Z28" s="3" t="str">
        <f>IF(A28="","",IF(NOT(AND(COUNTIFS('07-تصمیمات و مصوبات'!$A$8:$A$1007,A28)=1,AND(COUNTIFS('17-جلسات و دوره‌ها'!$A$8:$A$1007,B28)=1,IFERROR(INDEX('17-جلسات و دوره‌ها'!$B$8:$B$1007,MATCH(B28,'17-جلسات و دوره‌ها'!$A$8:$A$1007,0)),"")=C28,IFERROR(INDEX('17-جلسات و دوره‌ها'!$C$8:$C$1007,MATCH(B28,'17-جلسات و دوره‌ها'!$A$8:$A$1007,0)),"")=D28),COUNTIFS('03-ورودی‌های بازنگری'!$A$8:$A$1007,F28)=1,IFERROR(INDEX('03-ورودی‌های بازنگری'!$D$8:$D$1007,MATCH(F28,'03-ورودی‌های بازنگری'!$A$8:$A$1007,0)),"")=B28)),"رابطه ورودی یا جلسه نامعتبر",IF(L28="","پیشنهاد؛ تصویب نشده",IF(OR(IFERROR(INDEX('03-ورودی‌های بازنگری'!$R$8:$R$1007,MATCH(F28,'03-ورودی‌های بازنگری'!$A$8:$A$1007,0)),"")&lt;&gt;"معتبر",H28="",J28="",K28="",M28="",V28="",NOT(ISNUMBER(W28)),N28="",N28="تعیین نشده"),"تعیین تکلیف ناقص",IF(AND(L28="تصویب",N28="بله",OR(O28="",NOT(ISNUMBER(R28)),S28="",T28="")),"مسئول، موعد یا معیار ناقص","معتبر")))))</f>
        <v>پیشنهاد؛ تصویب نشده</v>
      </c>
      <c r="AA28" s="3" t="str">
        <f>IF(A28="","",IF(Z28&lt;&gt;"معتبر",Z28,IF(L28&lt;&gt;"تصویب",L28,IF(N28="خیر","تعیین تکلیف مستند؛ بدون اقدام",IF(COUNTIFS('08-برنامه اقدامات'!$B$8:$B$1007,A28)=0,"اقدام لازم؛ ثبت نشده",IF(COUNTIFS('08-برنامه اقدامات'!$B$8:$B$1007,A28,'08-برنامه اقدامات'!$T$8:$T$1007,"بسته؛ اثربخش")=COUNTIFS('08-برنامه اقدامات'!$B$8:$B$1007,A28),"بسته؛ اثربخش","باز؛ اجرا یا اثربخشی باقی است"))))))</f>
        <v>پیشنهاد؛ تصویب نشده</v>
      </c>
      <c r="AB28" s="5">
        <f>IF(A28="","",IF(B28&lt;&gt;'01-تنظیمات'!$B$5,"",IF('01-تنظیمات'!$B$7="پیش از جلسه",COUNTIFS($B$8:B28,'01-تنظیمات'!$B$5),IF(Z28="معتبر",COUNTIFS($B$8:B28,'01-تنظیمات'!$B$5,$Z$8:Z28,"معتبر"),""))))</f>
        <v>21</v>
      </c>
    </row>
    <row r="29" spans="1:28" ht="36" customHeight="1">
      <c r="A29" s="1" t="s">
        <v>1047</v>
      </c>
      <c r="B29" s="1" t="s">
        <v>530</v>
      </c>
      <c r="C29" s="1" t="s">
        <v>99</v>
      </c>
      <c r="D29" s="1" t="s">
        <v>529</v>
      </c>
      <c r="E29" s="1" t="s">
        <v>236</v>
      </c>
      <c r="F29" s="1" t="s">
        <v>528</v>
      </c>
      <c r="G29" s="1" t="s">
        <v>533</v>
      </c>
      <c r="H29" s="1" t="s">
        <v>1048</v>
      </c>
      <c r="I29" s="1" t="s">
        <v>1049</v>
      </c>
      <c r="J29" s="1" t="s">
        <v>1050</v>
      </c>
      <c r="K29" s="1" t="s">
        <v>1051</v>
      </c>
      <c r="L29" s="1" t="s">
        <v>1052</v>
      </c>
      <c r="M29" s="1" t="s">
        <v>1053</v>
      </c>
      <c r="N29" s="1" t="s">
        <v>921</v>
      </c>
      <c r="O29" s="1" t="s">
        <v>1054</v>
      </c>
      <c r="P29" s="1" t="s">
        <v>1055</v>
      </c>
      <c r="Q29" s="1" t="s">
        <v>1056</v>
      </c>
      <c r="R29" s="4">
        <v>46312</v>
      </c>
      <c r="S29" s="1" t="s">
        <v>1057</v>
      </c>
      <c r="T29" s="1" t="s">
        <v>1058</v>
      </c>
      <c r="U29" s="1" t="s">
        <v>1059</v>
      </c>
      <c r="V29" s="1" t="s">
        <v>541</v>
      </c>
      <c r="W29" s="4">
        <v>46296</v>
      </c>
      <c r="X29" s="1" t="s">
        <v>531</v>
      </c>
      <c r="Y29" s="1" t="s">
        <v>1060</v>
      </c>
      <c r="Z29" s="3" t="str">
        <f>IF(A29="","",IF(NOT(AND(COUNTIFS('07-تصمیمات و مصوبات'!$A$8:$A$1007,A29)=1,AND(COUNTIFS('17-جلسات و دوره‌ها'!$A$8:$A$1007,B29)=1,IFERROR(INDEX('17-جلسات و دوره‌ها'!$B$8:$B$1007,MATCH(B29,'17-جلسات و دوره‌ها'!$A$8:$A$1007,0)),"")=C29,IFERROR(INDEX('17-جلسات و دوره‌ها'!$C$8:$C$1007,MATCH(B29,'17-جلسات و دوره‌ها'!$A$8:$A$1007,0)),"")=D29),COUNTIFS('03-ورودی‌های بازنگری'!$A$8:$A$1007,F29)=1,IFERROR(INDEX('03-ورودی‌های بازنگری'!$D$8:$D$1007,MATCH(F29,'03-ورودی‌های بازنگری'!$A$8:$A$1007,0)),"")=B29)),"رابطه ورودی یا جلسه نامعتبر",IF(L29="","پیشنهاد؛ تصویب نشده",IF(OR(IFERROR(INDEX('03-ورودی‌های بازنگری'!$R$8:$R$1007,MATCH(F29,'03-ورودی‌های بازنگری'!$A$8:$A$1007,0)),"")&lt;&gt;"معتبر",H29="",J29="",K29="",M29="",V29="",NOT(ISNUMBER(W29)),N29="",N29="تعیین نشده"),"تعیین تکلیف ناقص",IF(AND(L29="تصویب",N29="بله",OR(O29="",NOT(ISNUMBER(R29)),S29="",T29="")),"مسئول، موعد یا معیار ناقص","معتبر")))))</f>
        <v>معتبر</v>
      </c>
      <c r="AA29" s="3" t="str">
        <f>IF(A29="","",IF(Z29&lt;&gt;"معتبر",Z29,IF(L29&lt;&gt;"تصویب",L29,IF(N29="خیر","تعیین تکلیف مستند؛ بدون اقدام",IF(COUNTIFS('08-برنامه اقدامات'!$B$8:$B$1007,A29)=0,"اقدام لازم؛ ثبت نشده",IF(COUNTIFS('08-برنامه اقدامات'!$B$8:$B$1007,A29,'08-برنامه اقدامات'!$T$8:$T$1007,"بسته؛ اثربخش")=COUNTIFS('08-برنامه اقدامات'!$B$8:$B$1007,A29),"بسته؛ اثربخش","باز؛ اجرا یا اثربخشی باقی است"))))))</f>
        <v>تعویق</v>
      </c>
      <c r="AB29" s="5" t="str">
        <f>IF(A29="","",IF(B29&lt;&gt;'01-تنظیمات'!$B$5,"",IF('01-تنظیمات'!$B$7="پیش از جلسه",COUNTIFS($B$8:B29,'01-تنظیمات'!$B$5),IF(Z29="معتبر",COUNTIFS($B$8:B29,'01-تنظیمات'!$B$5,$Z$8:Z29,"معتبر"),""))))</f>
        <v/>
      </c>
    </row>
    <row r="30" spans="1:28" ht="36" customHeight="1">
      <c r="A30" s="1" t="s">
        <v>1061</v>
      </c>
      <c r="B30" s="1" t="s">
        <v>530</v>
      </c>
      <c r="C30" s="1" t="s">
        <v>99</v>
      </c>
      <c r="D30" s="1" t="s">
        <v>529</v>
      </c>
      <c r="E30" s="1" t="s">
        <v>171</v>
      </c>
      <c r="F30" s="1" t="s">
        <v>542</v>
      </c>
      <c r="G30" s="1" t="s">
        <v>544</v>
      </c>
      <c r="H30" s="1" t="s">
        <v>1048</v>
      </c>
      <c r="I30" s="1" t="s">
        <v>232</v>
      </c>
      <c r="J30" s="1" t="s">
        <v>1050</v>
      </c>
      <c r="K30" s="1" t="s">
        <v>1062</v>
      </c>
      <c r="L30" s="1" t="s">
        <v>837</v>
      </c>
      <c r="M30" s="1" t="s">
        <v>1063</v>
      </c>
      <c r="N30" s="1" t="s">
        <v>921</v>
      </c>
      <c r="O30" s="1" t="s">
        <v>1054</v>
      </c>
      <c r="P30" s="1" t="s">
        <v>1055</v>
      </c>
      <c r="Q30" s="1" t="s">
        <v>1064</v>
      </c>
      <c r="R30" s="4">
        <v>46312</v>
      </c>
      <c r="S30" s="1" t="s">
        <v>1057</v>
      </c>
      <c r="T30" s="1" t="s">
        <v>1058</v>
      </c>
      <c r="U30" s="1" t="s">
        <v>1065</v>
      </c>
      <c r="V30" s="1" t="s">
        <v>541</v>
      </c>
      <c r="W30" s="4">
        <v>46296</v>
      </c>
      <c r="X30" s="1" t="s">
        <v>531</v>
      </c>
      <c r="Y30" s="1" t="s">
        <v>1060</v>
      </c>
      <c r="Z30" s="3" t="str">
        <f>IF(A30="","",IF(NOT(AND(COUNTIFS('07-تصمیمات و مصوبات'!$A$8:$A$1007,A30)=1,AND(COUNTIFS('17-جلسات و دوره‌ها'!$A$8:$A$1007,B30)=1,IFERROR(INDEX('17-جلسات و دوره‌ها'!$B$8:$B$1007,MATCH(B30,'17-جلسات و دوره‌ها'!$A$8:$A$1007,0)),"")=C30,IFERROR(INDEX('17-جلسات و دوره‌ها'!$C$8:$C$1007,MATCH(B30,'17-جلسات و دوره‌ها'!$A$8:$A$1007,0)),"")=D30),COUNTIFS('03-ورودی‌های بازنگری'!$A$8:$A$1007,F30)=1,IFERROR(INDEX('03-ورودی‌های بازنگری'!$D$8:$D$1007,MATCH(F30,'03-ورودی‌های بازنگری'!$A$8:$A$1007,0)),"")=B30)),"رابطه ورودی یا جلسه نامعتبر",IF(L30="","پیشنهاد؛ تصویب نشده",IF(OR(IFERROR(INDEX('03-ورودی‌های بازنگری'!$R$8:$R$1007,MATCH(F30,'03-ورودی‌های بازنگری'!$A$8:$A$1007,0)),"")&lt;&gt;"معتبر",H30="",J30="",K30="",M30="",V30="",NOT(ISNUMBER(W30)),N30="",N30="تعیین نشده"),"تعیین تکلیف ناقص",IF(AND(L30="تصویب",N30="بله",OR(O30="",NOT(ISNUMBER(R30)),S30="",T30="")),"مسئول، موعد یا معیار ناقص","معتبر")))))</f>
        <v>معتبر</v>
      </c>
      <c r="AA30" s="3" t="str">
        <f>IF(A30="","",IF(Z30&lt;&gt;"معتبر",Z30,IF(L30&lt;&gt;"تصویب",L30,IF(N30="خیر","تعیین تکلیف مستند؛ بدون اقدام",IF(COUNTIFS('08-برنامه اقدامات'!$B$8:$B$1007,A30)=0,"اقدام لازم؛ ثبت نشده",IF(COUNTIFS('08-برنامه اقدامات'!$B$8:$B$1007,A30,'08-برنامه اقدامات'!$T$8:$T$1007,"بسته؛ اثربخش")=COUNTIFS('08-برنامه اقدامات'!$B$8:$B$1007,A30),"بسته؛ اثربخش","باز؛ اجرا یا اثربخشی باقی است"))))))</f>
        <v>باز؛ اجرا یا اثربخشی باقی است</v>
      </c>
      <c r="AB30" s="5" t="str">
        <f>IF(A30="","",IF(B30&lt;&gt;'01-تنظیمات'!$B$5,"",IF('01-تنظیمات'!$B$7="پیش از جلسه",COUNTIFS($B$8:B30,'01-تنظیمات'!$B$5),IF(Z30="معتبر",COUNTIFS($B$8:B30,'01-تنظیمات'!$B$5,$Z$8:Z30,"معتبر"),""))))</f>
        <v/>
      </c>
    </row>
    <row r="31" spans="1:28" ht="36" customHeight="1">
      <c r="A31" s="1" t="s">
        <v>1066</v>
      </c>
      <c r="B31" s="1" t="s">
        <v>530</v>
      </c>
      <c r="C31" s="1" t="s">
        <v>99</v>
      </c>
      <c r="D31" s="1" t="s">
        <v>529</v>
      </c>
      <c r="E31" s="1" t="s">
        <v>285</v>
      </c>
      <c r="F31" s="1" t="s">
        <v>545</v>
      </c>
      <c r="G31" s="1" t="s">
        <v>547</v>
      </c>
      <c r="H31" s="1" t="s">
        <v>1048</v>
      </c>
      <c r="I31" s="1" t="s">
        <v>1067</v>
      </c>
      <c r="J31" s="1" t="s">
        <v>1050</v>
      </c>
      <c r="K31" s="1" t="s">
        <v>1068</v>
      </c>
      <c r="L31" s="1" t="s">
        <v>837</v>
      </c>
      <c r="M31" s="1" t="s">
        <v>1063</v>
      </c>
      <c r="N31" s="1" t="s">
        <v>921</v>
      </c>
      <c r="O31" s="1" t="s">
        <v>1054</v>
      </c>
      <c r="P31" s="1" t="s">
        <v>1055</v>
      </c>
      <c r="Q31" s="1" t="s">
        <v>1056</v>
      </c>
      <c r="R31" s="4">
        <v>46312</v>
      </c>
      <c r="S31" s="1" t="s">
        <v>1057</v>
      </c>
      <c r="T31" s="1" t="s">
        <v>1058</v>
      </c>
      <c r="U31" s="1" t="s">
        <v>1069</v>
      </c>
      <c r="V31" s="1" t="s">
        <v>541</v>
      </c>
      <c r="W31" s="4">
        <v>46296</v>
      </c>
      <c r="X31" s="1" t="s">
        <v>531</v>
      </c>
      <c r="Y31" s="1" t="s">
        <v>1060</v>
      </c>
      <c r="Z31" s="3" t="str">
        <f>IF(A31="","",IF(NOT(AND(COUNTIFS('07-تصمیمات و مصوبات'!$A$8:$A$1007,A31)=1,AND(COUNTIFS('17-جلسات و دوره‌ها'!$A$8:$A$1007,B31)=1,IFERROR(INDEX('17-جلسات و دوره‌ها'!$B$8:$B$1007,MATCH(B31,'17-جلسات و دوره‌ها'!$A$8:$A$1007,0)),"")=C31,IFERROR(INDEX('17-جلسات و دوره‌ها'!$C$8:$C$1007,MATCH(B31,'17-جلسات و دوره‌ها'!$A$8:$A$1007,0)),"")=D31),COUNTIFS('03-ورودی‌های بازنگری'!$A$8:$A$1007,F31)=1,IFERROR(INDEX('03-ورودی‌های بازنگری'!$D$8:$D$1007,MATCH(F31,'03-ورودی‌های بازنگری'!$A$8:$A$1007,0)),"")=B31)),"رابطه ورودی یا جلسه نامعتبر",IF(L31="","پیشنهاد؛ تصویب نشده",IF(OR(IFERROR(INDEX('03-ورودی‌های بازنگری'!$R$8:$R$1007,MATCH(F31,'03-ورودی‌های بازنگری'!$A$8:$A$1007,0)),"")&lt;&gt;"معتبر",H31="",J31="",K31="",M31="",V31="",NOT(ISNUMBER(W31)),N31="",N31="تعیین نشده"),"تعیین تکلیف ناقص",IF(AND(L31="تصویب",N31="بله",OR(O31="",NOT(ISNUMBER(R31)),S31="",T31="")),"مسئول، موعد یا معیار ناقص","معتبر")))))</f>
        <v>معتبر</v>
      </c>
      <c r="AA31" s="3" t="str">
        <f>IF(A31="","",IF(Z31&lt;&gt;"معتبر",Z31,IF(L31&lt;&gt;"تصویب",L31,IF(N31="خیر","تعیین تکلیف مستند؛ بدون اقدام",IF(COUNTIFS('08-برنامه اقدامات'!$B$8:$B$1007,A31)=0,"اقدام لازم؛ ثبت نشده",IF(COUNTIFS('08-برنامه اقدامات'!$B$8:$B$1007,A31,'08-برنامه اقدامات'!$T$8:$T$1007,"بسته؛ اثربخش")=COUNTIFS('08-برنامه اقدامات'!$B$8:$B$1007,A31),"بسته؛ اثربخش","باز؛ اجرا یا اثربخشی باقی است"))))))</f>
        <v>باز؛ اجرا یا اثربخشی باقی است</v>
      </c>
      <c r="AB31" s="5" t="str">
        <f>IF(A31="","",IF(B31&lt;&gt;'01-تنظیمات'!$B$5,"",IF('01-تنظیمات'!$B$7="پیش از جلسه",COUNTIFS($B$8:B31,'01-تنظیمات'!$B$5),IF(Z31="معتبر",COUNTIFS($B$8:B31,'01-تنظیمات'!$B$5,$Z$8:Z31,"معتبر"),""))))</f>
        <v/>
      </c>
    </row>
    <row r="32" spans="1:28" ht="36" customHeight="1">
      <c r="A32" s="1" t="s">
        <v>1070</v>
      </c>
      <c r="B32" s="1" t="s">
        <v>530</v>
      </c>
      <c r="C32" s="1" t="s">
        <v>99</v>
      </c>
      <c r="D32" s="1" t="s">
        <v>529</v>
      </c>
      <c r="E32" s="1" t="s">
        <v>330</v>
      </c>
      <c r="F32" s="1" t="s">
        <v>548</v>
      </c>
      <c r="G32" s="1" t="s">
        <v>550</v>
      </c>
      <c r="H32" s="1" t="s">
        <v>1048</v>
      </c>
      <c r="I32" s="1" t="s">
        <v>1071</v>
      </c>
      <c r="J32" s="1" t="s">
        <v>1050</v>
      </c>
      <c r="K32" s="1" t="s">
        <v>1072</v>
      </c>
      <c r="L32" s="1" t="s">
        <v>837</v>
      </c>
      <c r="M32" s="1" t="s">
        <v>1063</v>
      </c>
      <c r="N32" s="1" t="s">
        <v>921</v>
      </c>
      <c r="O32" s="1" t="s">
        <v>1054</v>
      </c>
      <c r="P32" s="1" t="s">
        <v>1055</v>
      </c>
      <c r="Q32" s="1" t="s">
        <v>1073</v>
      </c>
      <c r="R32" s="4">
        <v>46312</v>
      </c>
      <c r="S32" s="1" t="s">
        <v>1057</v>
      </c>
      <c r="T32" s="1" t="s">
        <v>1058</v>
      </c>
      <c r="U32" s="1" t="s">
        <v>1074</v>
      </c>
      <c r="V32" s="1" t="s">
        <v>541</v>
      </c>
      <c r="W32" s="4">
        <v>46296</v>
      </c>
      <c r="X32" s="1" t="s">
        <v>531</v>
      </c>
      <c r="Y32" s="1" t="s">
        <v>1060</v>
      </c>
      <c r="Z32" s="3" t="str">
        <f>IF(A32="","",IF(NOT(AND(COUNTIFS('07-تصمیمات و مصوبات'!$A$8:$A$1007,A32)=1,AND(COUNTIFS('17-جلسات و دوره‌ها'!$A$8:$A$1007,B32)=1,IFERROR(INDEX('17-جلسات و دوره‌ها'!$B$8:$B$1007,MATCH(B32,'17-جلسات و دوره‌ها'!$A$8:$A$1007,0)),"")=C32,IFERROR(INDEX('17-جلسات و دوره‌ها'!$C$8:$C$1007,MATCH(B32,'17-جلسات و دوره‌ها'!$A$8:$A$1007,0)),"")=D32),COUNTIFS('03-ورودی‌های بازنگری'!$A$8:$A$1007,F32)=1,IFERROR(INDEX('03-ورودی‌های بازنگری'!$D$8:$D$1007,MATCH(F32,'03-ورودی‌های بازنگری'!$A$8:$A$1007,0)),"")=B32)),"رابطه ورودی یا جلسه نامعتبر",IF(L32="","پیشنهاد؛ تصویب نشده",IF(OR(IFERROR(INDEX('03-ورودی‌های بازنگری'!$R$8:$R$1007,MATCH(F32,'03-ورودی‌های بازنگری'!$A$8:$A$1007,0)),"")&lt;&gt;"معتبر",H32="",J32="",K32="",M32="",V32="",NOT(ISNUMBER(W32)),N32="",N32="تعیین نشده"),"تعیین تکلیف ناقص",IF(AND(L32="تصویب",N32="بله",OR(O32="",NOT(ISNUMBER(R32)),S32="",T32="")),"مسئول، موعد یا معیار ناقص","معتبر")))))</f>
        <v>معتبر</v>
      </c>
      <c r="AA32" s="3" t="str">
        <f>IF(A32="","",IF(Z32&lt;&gt;"معتبر",Z32,IF(L32&lt;&gt;"تصویب",L32,IF(N32="خیر","تعیین تکلیف مستند؛ بدون اقدام",IF(COUNTIFS('08-برنامه اقدامات'!$B$8:$B$1007,A32)=0,"اقدام لازم؛ ثبت نشده",IF(COUNTIFS('08-برنامه اقدامات'!$B$8:$B$1007,A32,'08-برنامه اقدامات'!$T$8:$T$1007,"بسته؛ اثربخش")=COUNTIFS('08-برنامه اقدامات'!$B$8:$B$1007,A32),"بسته؛ اثربخش","باز؛ اجرا یا اثربخشی باقی است"))))))</f>
        <v>باز؛ اجرا یا اثربخشی باقی است</v>
      </c>
      <c r="AB32" s="5" t="str">
        <f>IF(A32="","",IF(B32&lt;&gt;'01-تنظیمات'!$B$5,"",IF('01-تنظیمات'!$B$7="پیش از جلسه",COUNTIFS($B$8:B32,'01-تنظیمات'!$B$5),IF(Z32="معتبر",COUNTIFS($B$8:B32,'01-تنظیمات'!$B$5,$Z$8:Z32,"معتبر"),""))))</f>
        <v/>
      </c>
    </row>
    <row r="33" spans="1:28" ht="36" customHeight="1">
      <c r="A33" s="1" t="s">
        <v>1075</v>
      </c>
      <c r="B33" s="1" t="s">
        <v>530</v>
      </c>
      <c r="C33" s="1" t="s">
        <v>99</v>
      </c>
      <c r="D33" s="1" t="s">
        <v>529</v>
      </c>
      <c r="E33" s="1" t="s">
        <v>171</v>
      </c>
      <c r="F33" s="1" t="s">
        <v>551</v>
      </c>
      <c r="G33" s="1" t="s">
        <v>553</v>
      </c>
      <c r="H33" s="1" t="s">
        <v>1048</v>
      </c>
      <c r="I33" s="1" t="s">
        <v>1076</v>
      </c>
      <c r="J33" s="1" t="s">
        <v>1050</v>
      </c>
      <c r="K33" s="1" t="s">
        <v>1077</v>
      </c>
      <c r="L33" s="1" t="s">
        <v>837</v>
      </c>
      <c r="M33" s="1" t="s">
        <v>1063</v>
      </c>
      <c r="N33" s="1" t="s">
        <v>1078</v>
      </c>
      <c r="O33" s="1" t="s">
        <v>1054</v>
      </c>
      <c r="P33" s="1" t="s">
        <v>1055</v>
      </c>
      <c r="Q33" s="1" t="s">
        <v>1056</v>
      </c>
      <c r="R33" s="4">
        <v>46312</v>
      </c>
      <c r="S33" s="1" t="s">
        <v>1079</v>
      </c>
      <c r="T33" s="1" t="s">
        <v>1058</v>
      </c>
      <c r="U33" s="1"/>
      <c r="V33" s="1" t="s">
        <v>541</v>
      </c>
      <c r="W33" s="4">
        <v>46296</v>
      </c>
      <c r="X33" s="1" t="s">
        <v>531</v>
      </c>
      <c r="Y33" s="1" t="s">
        <v>1060</v>
      </c>
      <c r="Z33" s="3" t="str">
        <f>IF(A33="","",IF(NOT(AND(COUNTIFS('07-تصمیمات و مصوبات'!$A$8:$A$1007,A33)=1,AND(COUNTIFS('17-جلسات و دوره‌ها'!$A$8:$A$1007,B33)=1,IFERROR(INDEX('17-جلسات و دوره‌ها'!$B$8:$B$1007,MATCH(B33,'17-جلسات و دوره‌ها'!$A$8:$A$1007,0)),"")=C33,IFERROR(INDEX('17-جلسات و دوره‌ها'!$C$8:$C$1007,MATCH(B33,'17-جلسات و دوره‌ها'!$A$8:$A$1007,0)),"")=D33),COUNTIFS('03-ورودی‌های بازنگری'!$A$8:$A$1007,F33)=1,IFERROR(INDEX('03-ورودی‌های بازنگری'!$D$8:$D$1007,MATCH(F33,'03-ورودی‌های بازنگری'!$A$8:$A$1007,0)),"")=B33)),"رابطه ورودی یا جلسه نامعتبر",IF(L33="","پیشنهاد؛ تصویب نشده",IF(OR(IFERROR(INDEX('03-ورودی‌های بازنگری'!$R$8:$R$1007,MATCH(F33,'03-ورودی‌های بازنگری'!$A$8:$A$1007,0)),"")&lt;&gt;"معتبر",H33="",J33="",K33="",M33="",V33="",NOT(ISNUMBER(W33)),N33="",N33="تعیین نشده"),"تعیین تکلیف ناقص",IF(AND(L33="تصویب",N33="بله",OR(O33="",NOT(ISNUMBER(R33)),S33="",T33="")),"مسئول، موعد یا معیار ناقص","معتبر")))))</f>
        <v>معتبر</v>
      </c>
      <c r="AA33" s="3" t="str">
        <f>IF(A33="","",IF(Z33&lt;&gt;"معتبر",Z33,IF(L33&lt;&gt;"تصویب",L33,IF(N33="خیر","تعیین تکلیف مستند؛ بدون اقدام",IF(COUNTIFS('08-برنامه اقدامات'!$B$8:$B$1007,A33)=0,"اقدام لازم؛ ثبت نشده",IF(COUNTIFS('08-برنامه اقدامات'!$B$8:$B$1007,A33,'08-برنامه اقدامات'!$T$8:$T$1007,"بسته؛ اثربخش")=COUNTIFS('08-برنامه اقدامات'!$B$8:$B$1007,A33),"بسته؛ اثربخش","باز؛ اجرا یا اثربخشی باقی است"))))))</f>
        <v>تعیین تکلیف مستند؛ بدون اقدام</v>
      </c>
      <c r="AB33" s="5" t="str">
        <f>IF(A33="","",IF(B33&lt;&gt;'01-تنظیمات'!$B$5,"",IF('01-تنظیمات'!$B$7="پیش از جلسه",COUNTIFS($B$8:B33,'01-تنظیمات'!$B$5),IF(Z33="معتبر",COUNTIFS($B$8:B33,'01-تنظیمات'!$B$5,$Z$8:Z33,"معتبر"),""))))</f>
        <v/>
      </c>
    </row>
    <row r="34" spans="1:28" ht="36" customHeight="1">
      <c r="A34" s="1" t="s">
        <v>1080</v>
      </c>
      <c r="B34" s="1" t="s">
        <v>530</v>
      </c>
      <c r="C34" s="1" t="s">
        <v>99</v>
      </c>
      <c r="D34" s="1" t="s">
        <v>529</v>
      </c>
      <c r="E34" s="1" t="s">
        <v>171</v>
      </c>
      <c r="F34" s="1" t="s">
        <v>554</v>
      </c>
      <c r="G34" s="1" t="s">
        <v>556</v>
      </c>
      <c r="H34" s="1" t="s">
        <v>1048</v>
      </c>
      <c r="I34" s="1" t="s">
        <v>226</v>
      </c>
      <c r="J34" s="1" t="s">
        <v>1050</v>
      </c>
      <c r="K34" s="1" t="s">
        <v>1081</v>
      </c>
      <c r="L34" s="1" t="s">
        <v>837</v>
      </c>
      <c r="M34" s="1" t="s">
        <v>1063</v>
      </c>
      <c r="N34" s="1" t="s">
        <v>921</v>
      </c>
      <c r="O34" s="1" t="s">
        <v>1054</v>
      </c>
      <c r="P34" s="1" t="s">
        <v>1055</v>
      </c>
      <c r="Q34" s="1" t="s">
        <v>1056</v>
      </c>
      <c r="R34" s="4">
        <v>46312</v>
      </c>
      <c r="S34" s="1" t="s">
        <v>1057</v>
      </c>
      <c r="T34" s="1" t="s">
        <v>1058</v>
      </c>
      <c r="U34" s="1" t="s">
        <v>1082</v>
      </c>
      <c r="V34" s="1" t="s">
        <v>541</v>
      </c>
      <c r="W34" s="4">
        <v>46296</v>
      </c>
      <c r="X34" s="1" t="s">
        <v>531</v>
      </c>
      <c r="Y34" s="1" t="s">
        <v>1060</v>
      </c>
      <c r="Z34" s="3" t="str">
        <f>IF(A34="","",IF(NOT(AND(COUNTIFS('07-تصمیمات و مصوبات'!$A$8:$A$1007,A34)=1,AND(COUNTIFS('17-جلسات و دوره‌ها'!$A$8:$A$1007,B34)=1,IFERROR(INDEX('17-جلسات و دوره‌ها'!$B$8:$B$1007,MATCH(B34,'17-جلسات و دوره‌ها'!$A$8:$A$1007,0)),"")=C34,IFERROR(INDEX('17-جلسات و دوره‌ها'!$C$8:$C$1007,MATCH(B34,'17-جلسات و دوره‌ها'!$A$8:$A$1007,0)),"")=D34),COUNTIFS('03-ورودی‌های بازنگری'!$A$8:$A$1007,F34)=1,IFERROR(INDEX('03-ورودی‌های بازنگری'!$D$8:$D$1007,MATCH(F34,'03-ورودی‌های بازنگری'!$A$8:$A$1007,0)),"")=B34)),"رابطه ورودی یا جلسه نامعتبر",IF(L34="","پیشنهاد؛ تصویب نشده",IF(OR(IFERROR(INDEX('03-ورودی‌های بازنگری'!$R$8:$R$1007,MATCH(F34,'03-ورودی‌های بازنگری'!$A$8:$A$1007,0)),"")&lt;&gt;"معتبر",H34="",J34="",K34="",M34="",V34="",NOT(ISNUMBER(W34)),N34="",N34="تعیین نشده"),"تعیین تکلیف ناقص",IF(AND(L34="تصویب",N34="بله",OR(O34="",NOT(ISNUMBER(R34)),S34="",T34="")),"مسئول، موعد یا معیار ناقص","معتبر")))))</f>
        <v>معتبر</v>
      </c>
      <c r="AA34" s="3" t="str">
        <f>IF(A34="","",IF(Z34&lt;&gt;"معتبر",Z34,IF(L34&lt;&gt;"تصویب",L34,IF(N34="خیر","تعیین تکلیف مستند؛ بدون اقدام",IF(COUNTIFS('08-برنامه اقدامات'!$B$8:$B$1007,A34)=0,"اقدام لازم؛ ثبت نشده",IF(COUNTIFS('08-برنامه اقدامات'!$B$8:$B$1007,A34,'08-برنامه اقدامات'!$T$8:$T$1007,"بسته؛ اثربخش")=COUNTIFS('08-برنامه اقدامات'!$B$8:$B$1007,A34),"بسته؛ اثربخش","باز؛ اجرا یا اثربخشی باقی است"))))))</f>
        <v>باز؛ اجرا یا اثربخشی باقی است</v>
      </c>
      <c r="AB34" s="5" t="str">
        <f>IF(A34="","",IF(B34&lt;&gt;'01-تنظیمات'!$B$5,"",IF('01-تنظیمات'!$B$7="پیش از جلسه",COUNTIFS($B$8:B34,'01-تنظیمات'!$B$5),IF(Z34="معتبر",COUNTIFS($B$8:B34,'01-تنظیمات'!$B$5,$Z$8:Z34,"معتبر"),""))))</f>
        <v/>
      </c>
    </row>
    <row r="35" spans="1:28" ht="36" customHeight="1">
      <c r="A35" s="1" t="s">
        <v>1083</v>
      </c>
      <c r="B35" s="1" t="s">
        <v>530</v>
      </c>
      <c r="C35" s="1" t="s">
        <v>99</v>
      </c>
      <c r="D35" s="1" t="s">
        <v>529</v>
      </c>
      <c r="E35" s="1" t="s">
        <v>171</v>
      </c>
      <c r="F35" s="1" t="s">
        <v>557</v>
      </c>
      <c r="G35" s="1" t="s">
        <v>559</v>
      </c>
      <c r="H35" s="1" t="s">
        <v>1048</v>
      </c>
      <c r="I35" s="1" t="s">
        <v>232</v>
      </c>
      <c r="J35" s="1" t="s">
        <v>1050</v>
      </c>
      <c r="K35" s="1" t="s">
        <v>1084</v>
      </c>
      <c r="L35" s="1" t="s">
        <v>1085</v>
      </c>
      <c r="M35" s="1" t="s">
        <v>1086</v>
      </c>
      <c r="N35" s="1" t="s">
        <v>1078</v>
      </c>
      <c r="O35" s="1" t="s">
        <v>1054</v>
      </c>
      <c r="P35" s="1" t="s">
        <v>1055</v>
      </c>
      <c r="Q35" s="1" t="s">
        <v>1056</v>
      </c>
      <c r="R35" s="4">
        <v>46312</v>
      </c>
      <c r="S35" s="1" t="s">
        <v>1057</v>
      </c>
      <c r="T35" s="1" t="s">
        <v>1058</v>
      </c>
      <c r="U35" s="1"/>
      <c r="V35" s="1" t="s">
        <v>541</v>
      </c>
      <c r="W35" s="4">
        <v>46296</v>
      </c>
      <c r="X35" s="1" t="s">
        <v>531</v>
      </c>
      <c r="Y35" s="1" t="s">
        <v>1060</v>
      </c>
      <c r="Z35" s="3" t="str">
        <f>IF(A35="","",IF(NOT(AND(COUNTIFS('07-تصمیمات و مصوبات'!$A$8:$A$1007,A35)=1,AND(COUNTIFS('17-جلسات و دوره‌ها'!$A$8:$A$1007,B35)=1,IFERROR(INDEX('17-جلسات و دوره‌ها'!$B$8:$B$1007,MATCH(B35,'17-جلسات و دوره‌ها'!$A$8:$A$1007,0)),"")=C35,IFERROR(INDEX('17-جلسات و دوره‌ها'!$C$8:$C$1007,MATCH(B35,'17-جلسات و دوره‌ها'!$A$8:$A$1007,0)),"")=D35),COUNTIFS('03-ورودی‌های بازنگری'!$A$8:$A$1007,F35)=1,IFERROR(INDEX('03-ورودی‌های بازنگری'!$D$8:$D$1007,MATCH(F35,'03-ورودی‌های بازنگری'!$A$8:$A$1007,0)),"")=B35)),"رابطه ورودی یا جلسه نامعتبر",IF(L35="","پیشنهاد؛ تصویب نشده",IF(OR(IFERROR(INDEX('03-ورودی‌های بازنگری'!$R$8:$R$1007,MATCH(F35,'03-ورودی‌های بازنگری'!$A$8:$A$1007,0)),"")&lt;&gt;"معتبر",H35="",J35="",K35="",M35="",V35="",NOT(ISNUMBER(W35)),N35="",N35="تعیین نشده"),"تعیین تکلیف ناقص",IF(AND(L35="تصویب",N35="بله",OR(O35="",NOT(ISNUMBER(R35)),S35="",T35="")),"مسئول، موعد یا معیار ناقص","معتبر")))))</f>
        <v>معتبر</v>
      </c>
      <c r="AA35" s="3" t="str">
        <f>IF(A35="","",IF(Z35&lt;&gt;"معتبر",Z35,IF(L35&lt;&gt;"تصویب",L35,IF(N35="خیر","تعیین تکلیف مستند؛ بدون اقدام",IF(COUNTIFS('08-برنامه اقدامات'!$B$8:$B$1007,A35)=0,"اقدام لازم؛ ثبت نشده",IF(COUNTIFS('08-برنامه اقدامات'!$B$8:$B$1007,A35,'08-برنامه اقدامات'!$T$8:$T$1007,"بسته؛ اثربخش")=COUNTIFS('08-برنامه اقدامات'!$B$8:$B$1007,A35),"بسته؛ اثربخش","باز؛ اجرا یا اثربخشی باقی است"))))))</f>
        <v>رد</v>
      </c>
      <c r="AB35" s="5" t="str">
        <f>IF(A35="","",IF(B35&lt;&gt;'01-تنظیمات'!$B$5,"",IF('01-تنظیمات'!$B$7="پیش از جلسه",COUNTIFS($B$8:B35,'01-تنظیمات'!$B$5),IF(Z35="معتبر",COUNTIFS($B$8:B35,'01-تنظیمات'!$B$5,$Z$8:Z35,"معتبر"),""))))</f>
        <v/>
      </c>
    </row>
    <row r="36" spans="1:28" ht="36" customHeight="1">
      <c r="A36" s="1"/>
      <c r="B36" s="1"/>
      <c r="C36" s="1"/>
      <c r="D36" s="1"/>
      <c r="E36" s="1"/>
      <c r="F36" s="1"/>
      <c r="G36" s="1"/>
      <c r="H36" s="1"/>
      <c r="I36" s="1"/>
      <c r="J36" s="1"/>
      <c r="K36" s="1"/>
      <c r="L36" s="1"/>
      <c r="M36" s="1"/>
      <c r="N36" s="1"/>
      <c r="O36" s="1"/>
      <c r="P36" s="1"/>
      <c r="Q36" s="1"/>
      <c r="R36" s="4"/>
      <c r="S36" s="1"/>
      <c r="T36" s="1"/>
      <c r="U36" s="1"/>
      <c r="V36" s="1"/>
      <c r="W36" s="4"/>
      <c r="X36" s="1"/>
      <c r="Y36" s="1"/>
      <c r="Z36" s="3" t="str">
        <f>IF(A36="","",IF(NOT(AND(COUNTIFS('07-تصمیمات و مصوبات'!$A$8:$A$1007,A36)=1,AND(COUNTIFS('17-جلسات و دوره‌ها'!$A$8:$A$1007,B36)=1,IFERROR(INDEX('17-جلسات و دوره‌ها'!$B$8:$B$1007,MATCH(B36,'17-جلسات و دوره‌ها'!$A$8:$A$1007,0)),"")=C36,IFERROR(INDEX('17-جلسات و دوره‌ها'!$C$8:$C$1007,MATCH(B36,'17-جلسات و دوره‌ها'!$A$8:$A$1007,0)),"")=D36),COUNTIFS('03-ورودی‌های بازنگری'!$A$8:$A$1007,F36)=1,IFERROR(INDEX('03-ورودی‌های بازنگری'!$D$8:$D$1007,MATCH(F36,'03-ورودی‌های بازنگری'!$A$8:$A$1007,0)),"")=B36)),"رابطه ورودی یا جلسه نامعتبر",IF(L36="","پیشنهاد؛ تصویب نشده",IF(OR(IFERROR(INDEX('03-ورودی‌های بازنگری'!$R$8:$R$1007,MATCH(F36,'03-ورودی‌های بازنگری'!$A$8:$A$1007,0)),"")&lt;&gt;"معتبر",H36="",J36="",K36="",M36="",V36="",NOT(ISNUMBER(W36)),N36="",N36="تعیین نشده"),"تعیین تکلیف ناقص",IF(AND(L36="تصویب",N36="بله",OR(O36="",NOT(ISNUMBER(R36)),S36="",T36="")),"مسئول، موعد یا معیار ناقص","معتبر")))))</f>
        <v/>
      </c>
      <c r="AA36" s="3" t="str">
        <f>IF(A36="","",IF(Z36&lt;&gt;"معتبر",Z36,IF(L36&lt;&gt;"تصویب",L36,IF(N36="خیر","تعیین تکلیف مستند؛ بدون اقدام",IF(COUNTIFS('08-برنامه اقدامات'!$B$8:$B$1007,A36)=0,"اقدام لازم؛ ثبت نشده",IF(COUNTIFS('08-برنامه اقدامات'!$B$8:$B$1007,A36,'08-برنامه اقدامات'!$T$8:$T$1007,"بسته؛ اثربخش")=COUNTIFS('08-برنامه اقدامات'!$B$8:$B$1007,A36),"بسته؛ اثربخش","باز؛ اجرا یا اثربخشی باقی است"))))))</f>
        <v/>
      </c>
      <c r="AB36" s="5" t="str">
        <f>IF(A36="","",IF(B36&lt;&gt;'01-تنظیمات'!$B$5,"",IF('01-تنظیمات'!$B$7="پیش از جلسه",COUNTIFS($B$8:B36,'01-تنظیمات'!$B$5),IF(Z36="معتبر",COUNTIFS($B$8:B36,'01-تنظیمات'!$B$5,$Z$8:Z36,"معتبر"),""))))</f>
        <v/>
      </c>
    </row>
    <row r="37" spans="1:28" ht="36" customHeight="1">
      <c r="A37" s="1"/>
      <c r="B37" s="1"/>
      <c r="C37" s="1"/>
      <c r="D37" s="1"/>
      <c r="E37" s="1"/>
      <c r="F37" s="1"/>
      <c r="G37" s="1"/>
      <c r="H37" s="1"/>
      <c r="I37" s="1"/>
      <c r="J37" s="1"/>
      <c r="K37" s="1"/>
      <c r="L37" s="1"/>
      <c r="M37" s="1"/>
      <c r="N37" s="1"/>
      <c r="O37" s="1"/>
      <c r="P37" s="1"/>
      <c r="Q37" s="1"/>
      <c r="R37" s="4"/>
      <c r="S37" s="1"/>
      <c r="T37" s="1"/>
      <c r="U37" s="1"/>
      <c r="V37" s="1"/>
      <c r="W37" s="4"/>
      <c r="X37" s="1"/>
      <c r="Y37" s="1"/>
      <c r="Z37" s="3" t="str">
        <f>IF(A37="","",IF(NOT(AND(COUNTIFS('07-تصمیمات و مصوبات'!$A$8:$A$1007,A37)=1,AND(COUNTIFS('17-جلسات و دوره‌ها'!$A$8:$A$1007,B37)=1,IFERROR(INDEX('17-جلسات و دوره‌ها'!$B$8:$B$1007,MATCH(B37,'17-جلسات و دوره‌ها'!$A$8:$A$1007,0)),"")=C37,IFERROR(INDEX('17-جلسات و دوره‌ها'!$C$8:$C$1007,MATCH(B37,'17-جلسات و دوره‌ها'!$A$8:$A$1007,0)),"")=D37),COUNTIFS('03-ورودی‌های بازنگری'!$A$8:$A$1007,F37)=1,IFERROR(INDEX('03-ورودی‌های بازنگری'!$D$8:$D$1007,MATCH(F37,'03-ورودی‌های بازنگری'!$A$8:$A$1007,0)),"")=B37)),"رابطه ورودی یا جلسه نامعتبر",IF(L37="","پیشنهاد؛ تصویب نشده",IF(OR(IFERROR(INDEX('03-ورودی‌های بازنگری'!$R$8:$R$1007,MATCH(F37,'03-ورودی‌های بازنگری'!$A$8:$A$1007,0)),"")&lt;&gt;"معتبر",H37="",J37="",K37="",M37="",V37="",NOT(ISNUMBER(W37)),N37="",N37="تعیین نشده"),"تعیین تکلیف ناقص",IF(AND(L37="تصویب",N37="بله",OR(O37="",NOT(ISNUMBER(R37)),S37="",T37="")),"مسئول، موعد یا معیار ناقص","معتبر")))))</f>
        <v/>
      </c>
      <c r="AA37" s="3" t="str">
        <f>IF(A37="","",IF(Z37&lt;&gt;"معتبر",Z37,IF(L37&lt;&gt;"تصویب",L37,IF(N37="خیر","تعیین تکلیف مستند؛ بدون اقدام",IF(COUNTIFS('08-برنامه اقدامات'!$B$8:$B$1007,A37)=0,"اقدام لازم؛ ثبت نشده",IF(COUNTIFS('08-برنامه اقدامات'!$B$8:$B$1007,A37,'08-برنامه اقدامات'!$T$8:$T$1007,"بسته؛ اثربخش")=COUNTIFS('08-برنامه اقدامات'!$B$8:$B$1007,A37),"بسته؛ اثربخش","باز؛ اجرا یا اثربخشی باقی است"))))))</f>
        <v/>
      </c>
      <c r="AB37" s="5" t="str">
        <f>IF(A37="","",IF(B37&lt;&gt;'01-تنظیمات'!$B$5,"",IF('01-تنظیمات'!$B$7="پیش از جلسه",COUNTIFS($B$8:B37,'01-تنظیمات'!$B$5),IF(Z37="معتبر",COUNTIFS($B$8:B37,'01-تنظیمات'!$B$5,$Z$8:Z37,"معتبر"),""))))</f>
        <v/>
      </c>
    </row>
    <row r="38" spans="1:28" ht="36" customHeight="1">
      <c r="A38" s="1"/>
      <c r="B38" s="1"/>
      <c r="C38" s="1"/>
      <c r="D38" s="1"/>
      <c r="E38" s="1"/>
      <c r="F38" s="1"/>
      <c r="G38" s="1"/>
      <c r="H38" s="1"/>
      <c r="I38" s="1"/>
      <c r="J38" s="1"/>
      <c r="K38" s="1"/>
      <c r="L38" s="1"/>
      <c r="M38" s="1"/>
      <c r="N38" s="1"/>
      <c r="O38" s="1"/>
      <c r="P38" s="1"/>
      <c r="Q38" s="1"/>
      <c r="R38" s="4"/>
      <c r="S38" s="1"/>
      <c r="T38" s="1"/>
      <c r="U38" s="1"/>
      <c r="V38" s="1"/>
      <c r="W38" s="4"/>
      <c r="X38" s="1"/>
      <c r="Y38" s="1"/>
      <c r="Z38" s="3" t="str">
        <f>IF(A38="","",IF(NOT(AND(COUNTIFS('07-تصمیمات و مصوبات'!$A$8:$A$1007,A38)=1,AND(COUNTIFS('17-جلسات و دوره‌ها'!$A$8:$A$1007,B38)=1,IFERROR(INDEX('17-جلسات و دوره‌ها'!$B$8:$B$1007,MATCH(B38,'17-جلسات و دوره‌ها'!$A$8:$A$1007,0)),"")=C38,IFERROR(INDEX('17-جلسات و دوره‌ها'!$C$8:$C$1007,MATCH(B38,'17-جلسات و دوره‌ها'!$A$8:$A$1007,0)),"")=D38),COUNTIFS('03-ورودی‌های بازنگری'!$A$8:$A$1007,F38)=1,IFERROR(INDEX('03-ورودی‌های بازنگری'!$D$8:$D$1007,MATCH(F38,'03-ورودی‌های بازنگری'!$A$8:$A$1007,0)),"")=B38)),"رابطه ورودی یا جلسه نامعتبر",IF(L38="","پیشنهاد؛ تصویب نشده",IF(OR(IFERROR(INDEX('03-ورودی‌های بازنگری'!$R$8:$R$1007,MATCH(F38,'03-ورودی‌های بازنگری'!$A$8:$A$1007,0)),"")&lt;&gt;"معتبر",H38="",J38="",K38="",M38="",V38="",NOT(ISNUMBER(W38)),N38="",N38="تعیین نشده"),"تعیین تکلیف ناقص",IF(AND(L38="تصویب",N38="بله",OR(O38="",NOT(ISNUMBER(R38)),S38="",T38="")),"مسئول، موعد یا معیار ناقص","معتبر")))))</f>
        <v/>
      </c>
      <c r="AA38" s="3" t="str">
        <f>IF(A38="","",IF(Z38&lt;&gt;"معتبر",Z38,IF(L38&lt;&gt;"تصویب",L38,IF(N38="خیر","تعیین تکلیف مستند؛ بدون اقدام",IF(COUNTIFS('08-برنامه اقدامات'!$B$8:$B$1007,A38)=0,"اقدام لازم؛ ثبت نشده",IF(COUNTIFS('08-برنامه اقدامات'!$B$8:$B$1007,A38,'08-برنامه اقدامات'!$T$8:$T$1007,"بسته؛ اثربخش")=COUNTIFS('08-برنامه اقدامات'!$B$8:$B$1007,A38),"بسته؛ اثربخش","باز؛ اجرا یا اثربخشی باقی است"))))))</f>
        <v/>
      </c>
      <c r="AB38" s="5" t="str">
        <f>IF(A38="","",IF(B38&lt;&gt;'01-تنظیمات'!$B$5,"",IF('01-تنظیمات'!$B$7="پیش از جلسه",COUNTIFS($B$8:B38,'01-تنظیمات'!$B$5),IF(Z38="معتبر",COUNTIFS($B$8:B38,'01-تنظیمات'!$B$5,$Z$8:Z38,"معتبر"),""))))</f>
        <v/>
      </c>
    </row>
    <row r="39" spans="1:28" ht="36" customHeight="1">
      <c r="A39" s="1"/>
      <c r="B39" s="1"/>
      <c r="C39" s="1"/>
      <c r="D39" s="1"/>
      <c r="E39" s="1"/>
      <c r="F39" s="1"/>
      <c r="G39" s="1"/>
      <c r="H39" s="1"/>
      <c r="I39" s="1"/>
      <c r="J39" s="1"/>
      <c r="K39" s="1"/>
      <c r="L39" s="1"/>
      <c r="M39" s="1"/>
      <c r="N39" s="1"/>
      <c r="O39" s="1"/>
      <c r="P39" s="1"/>
      <c r="Q39" s="1"/>
      <c r="R39" s="4"/>
      <c r="S39" s="1"/>
      <c r="T39" s="1"/>
      <c r="U39" s="1"/>
      <c r="V39" s="1"/>
      <c r="W39" s="4"/>
      <c r="X39" s="1"/>
      <c r="Y39" s="1"/>
      <c r="Z39" s="3" t="str">
        <f>IF(A39="","",IF(NOT(AND(COUNTIFS('07-تصمیمات و مصوبات'!$A$8:$A$1007,A39)=1,AND(COUNTIFS('17-جلسات و دوره‌ها'!$A$8:$A$1007,B39)=1,IFERROR(INDEX('17-جلسات و دوره‌ها'!$B$8:$B$1007,MATCH(B39,'17-جلسات و دوره‌ها'!$A$8:$A$1007,0)),"")=C39,IFERROR(INDEX('17-جلسات و دوره‌ها'!$C$8:$C$1007,MATCH(B39,'17-جلسات و دوره‌ها'!$A$8:$A$1007,0)),"")=D39),COUNTIFS('03-ورودی‌های بازنگری'!$A$8:$A$1007,F39)=1,IFERROR(INDEX('03-ورودی‌های بازنگری'!$D$8:$D$1007,MATCH(F39,'03-ورودی‌های بازنگری'!$A$8:$A$1007,0)),"")=B39)),"رابطه ورودی یا جلسه نامعتبر",IF(L39="","پیشنهاد؛ تصویب نشده",IF(OR(IFERROR(INDEX('03-ورودی‌های بازنگری'!$R$8:$R$1007,MATCH(F39,'03-ورودی‌های بازنگری'!$A$8:$A$1007,0)),"")&lt;&gt;"معتبر",H39="",J39="",K39="",M39="",V39="",NOT(ISNUMBER(W39)),N39="",N39="تعیین نشده"),"تعیین تکلیف ناقص",IF(AND(L39="تصویب",N39="بله",OR(O39="",NOT(ISNUMBER(R39)),S39="",T39="")),"مسئول، موعد یا معیار ناقص","معتبر")))))</f>
        <v/>
      </c>
      <c r="AA39" s="3" t="str">
        <f>IF(A39="","",IF(Z39&lt;&gt;"معتبر",Z39,IF(L39&lt;&gt;"تصویب",L39,IF(N39="خیر","تعیین تکلیف مستند؛ بدون اقدام",IF(COUNTIFS('08-برنامه اقدامات'!$B$8:$B$1007,A39)=0,"اقدام لازم؛ ثبت نشده",IF(COUNTIFS('08-برنامه اقدامات'!$B$8:$B$1007,A39,'08-برنامه اقدامات'!$T$8:$T$1007,"بسته؛ اثربخش")=COUNTIFS('08-برنامه اقدامات'!$B$8:$B$1007,A39),"بسته؛ اثربخش","باز؛ اجرا یا اثربخشی باقی است"))))))</f>
        <v/>
      </c>
      <c r="AB39" s="5" t="str">
        <f>IF(A39="","",IF(B39&lt;&gt;'01-تنظیمات'!$B$5,"",IF('01-تنظیمات'!$B$7="پیش از جلسه",COUNTIFS($B$8:B39,'01-تنظیمات'!$B$5),IF(Z39="معتبر",COUNTIFS($B$8:B39,'01-تنظیمات'!$B$5,$Z$8:Z39,"معتبر"),""))))</f>
        <v/>
      </c>
    </row>
    <row r="40" spans="1:28" ht="36" customHeight="1">
      <c r="A40" s="1"/>
      <c r="B40" s="1"/>
      <c r="C40" s="1"/>
      <c r="D40" s="1"/>
      <c r="E40" s="1"/>
      <c r="F40" s="1"/>
      <c r="G40" s="1"/>
      <c r="H40" s="1"/>
      <c r="I40" s="1"/>
      <c r="J40" s="1"/>
      <c r="K40" s="1"/>
      <c r="L40" s="1"/>
      <c r="M40" s="1"/>
      <c r="N40" s="1"/>
      <c r="O40" s="1"/>
      <c r="P40" s="1"/>
      <c r="Q40" s="1"/>
      <c r="R40" s="4"/>
      <c r="S40" s="1"/>
      <c r="T40" s="1"/>
      <c r="U40" s="1"/>
      <c r="V40" s="1"/>
      <c r="W40" s="4"/>
      <c r="X40" s="1"/>
      <c r="Y40" s="1"/>
      <c r="Z40" s="3" t="str">
        <f>IF(A40="","",IF(NOT(AND(COUNTIFS('07-تصمیمات و مصوبات'!$A$8:$A$1007,A40)=1,AND(COUNTIFS('17-جلسات و دوره‌ها'!$A$8:$A$1007,B40)=1,IFERROR(INDEX('17-جلسات و دوره‌ها'!$B$8:$B$1007,MATCH(B40,'17-جلسات و دوره‌ها'!$A$8:$A$1007,0)),"")=C40,IFERROR(INDEX('17-جلسات و دوره‌ها'!$C$8:$C$1007,MATCH(B40,'17-جلسات و دوره‌ها'!$A$8:$A$1007,0)),"")=D40),COUNTIFS('03-ورودی‌های بازنگری'!$A$8:$A$1007,F40)=1,IFERROR(INDEX('03-ورودی‌های بازنگری'!$D$8:$D$1007,MATCH(F40,'03-ورودی‌های بازنگری'!$A$8:$A$1007,0)),"")=B40)),"رابطه ورودی یا جلسه نامعتبر",IF(L40="","پیشنهاد؛ تصویب نشده",IF(OR(IFERROR(INDEX('03-ورودی‌های بازنگری'!$R$8:$R$1007,MATCH(F40,'03-ورودی‌های بازنگری'!$A$8:$A$1007,0)),"")&lt;&gt;"معتبر",H40="",J40="",K40="",M40="",V40="",NOT(ISNUMBER(W40)),N40="",N40="تعیین نشده"),"تعیین تکلیف ناقص",IF(AND(L40="تصویب",N40="بله",OR(O40="",NOT(ISNUMBER(R40)),S40="",T40="")),"مسئول، موعد یا معیار ناقص","معتبر")))))</f>
        <v/>
      </c>
      <c r="AA40" s="3" t="str">
        <f>IF(A40="","",IF(Z40&lt;&gt;"معتبر",Z40,IF(L40&lt;&gt;"تصویب",L40,IF(N40="خیر","تعیین تکلیف مستند؛ بدون اقدام",IF(COUNTIFS('08-برنامه اقدامات'!$B$8:$B$1007,A40)=0,"اقدام لازم؛ ثبت نشده",IF(COUNTIFS('08-برنامه اقدامات'!$B$8:$B$1007,A40,'08-برنامه اقدامات'!$T$8:$T$1007,"بسته؛ اثربخش")=COUNTIFS('08-برنامه اقدامات'!$B$8:$B$1007,A40),"بسته؛ اثربخش","باز؛ اجرا یا اثربخشی باقی است"))))))</f>
        <v/>
      </c>
      <c r="AB40" s="5" t="str">
        <f>IF(A40="","",IF(B40&lt;&gt;'01-تنظیمات'!$B$5,"",IF('01-تنظیمات'!$B$7="پیش از جلسه",COUNTIFS($B$8:B40,'01-تنظیمات'!$B$5),IF(Z40="معتبر",COUNTIFS($B$8:B40,'01-تنظیمات'!$B$5,$Z$8:Z40,"معتبر"),""))))</f>
        <v/>
      </c>
    </row>
    <row r="41" spans="1:28" ht="36" customHeight="1">
      <c r="A41" s="1"/>
      <c r="B41" s="1"/>
      <c r="C41" s="1"/>
      <c r="D41" s="1"/>
      <c r="E41" s="1"/>
      <c r="F41" s="1"/>
      <c r="G41" s="1"/>
      <c r="H41" s="1"/>
      <c r="I41" s="1"/>
      <c r="J41" s="1"/>
      <c r="K41" s="1"/>
      <c r="L41" s="1"/>
      <c r="M41" s="1"/>
      <c r="N41" s="1"/>
      <c r="O41" s="1"/>
      <c r="P41" s="1"/>
      <c r="Q41" s="1"/>
      <c r="R41" s="4"/>
      <c r="S41" s="1"/>
      <c r="T41" s="1"/>
      <c r="U41" s="1"/>
      <c r="V41" s="1"/>
      <c r="W41" s="4"/>
      <c r="X41" s="1"/>
      <c r="Y41" s="1"/>
      <c r="Z41" s="3" t="str">
        <f>IF(A41="","",IF(NOT(AND(COUNTIFS('07-تصمیمات و مصوبات'!$A$8:$A$1007,A41)=1,AND(COUNTIFS('17-جلسات و دوره‌ها'!$A$8:$A$1007,B41)=1,IFERROR(INDEX('17-جلسات و دوره‌ها'!$B$8:$B$1007,MATCH(B41,'17-جلسات و دوره‌ها'!$A$8:$A$1007,0)),"")=C41,IFERROR(INDEX('17-جلسات و دوره‌ها'!$C$8:$C$1007,MATCH(B41,'17-جلسات و دوره‌ها'!$A$8:$A$1007,0)),"")=D41),COUNTIFS('03-ورودی‌های بازنگری'!$A$8:$A$1007,F41)=1,IFERROR(INDEX('03-ورودی‌های بازنگری'!$D$8:$D$1007,MATCH(F41,'03-ورودی‌های بازنگری'!$A$8:$A$1007,0)),"")=B41)),"رابطه ورودی یا جلسه نامعتبر",IF(L41="","پیشنهاد؛ تصویب نشده",IF(OR(IFERROR(INDEX('03-ورودی‌های بازنگری'!$R$8:$R$1007,MATCH(F41,'03-ورودی‌های بازنگری'!$A$8:$A$1007,0)),"")&lt;&gt;"معتبر",H41="",J41="",K41="",M41="",V41="",NOT(ISNUMBER(W41)),N41="",N41="تعیین نشده"),"تعیین تکلیف ناقص",IF(AND(L41="تصویب",N41="بله",OR(O41="",NOT(ISNUMBER(R41)),S41="",T41="")),"مسئول، موعد یا معیار ناقص","معتبر")))))</f>
        <v/>
      </c>
      <c r="AA41" s="3" t="str">
        <f>IF(A41="","",IF(Z41&lt;&gt;"معتبر",Z41,IF(L41&lt;&gt;"تصویب",L41,IF(N41="خیر","تعیین تکلیف مستند؛ بدون اقدام",IF(COUNTIFS('08-برنامه اقدامات'!$B$8:$B$1007,A41)=0,"اقدام لازم؛ ثبت نشده",IF(COUNTIFS('08-برنامه اقدامات'!$B$8:$B$1007,A41,'08-برنامه اقدامات'!$T$8:$T$1007,"بسته؛ اثربخش")=COUNTIFS('08-برنامه اقدامات'!$B$8:$B$1007,A41),"بسته؛ اثربخش","باز؛ اجرا یا اثربخشی باقی است"))))))</f>
        <v/>
      </c>
      <c r="AB41" s="5" t="str">
        <f>IF(A41="","",IF(B41&lt;&gt;'01-تنظیمات'!$B$5,"",IF('01-تنظیمات'!$B$7="پیش از جلسه",COUNTIFS($B$8:B41,'01-تنظیمات'!$B$5),IF(Z41="معتبر",COUNTIFS($B$8:B41,'01-تنظیمات'!$B$5,$Z$8:Z41,"معتبر"),""))))</f>
        <v/>
      </c>
    </row>
    <row r="42" spans="1:28" ht="36" customHeight="1">
      <c r="A42" s="1"/>
      <c r="B42" s="1"/>
      <c r="C42" s="1"/>
      <c r="D42" s="1"/>
      <c r="E42" s="1"/>
      <c r="F42" s="1"/>
      <c r="G42" s="1"/>
      <c r="H42" s="1"/>
      <c r="I42" s="1"/>
      <c r="J42" s="1"/>
      <c r="K42" s="1"/>
      <c r="L42" s="1"/>
      <c r="M42" s="1"/>
      <c r="N42" s="1"/>
      <c r="O42" s="1"/>
      <c r="P42" s="1"/>
      <c r="Q42" s="1"/>
      <c r="R42" s="4"/>
      <c r="S42" s="1"/>
      <c r="T42" s="1"/>
      <c r="U42" s="1"/>
      <c r="V42" s="1"/>
      <c r="W42" s="4"/>
      <c r="X42" s="1"/>
      <c r="Y42" s="1"/>
      <c r="Z42" s="3" t="str">
        <f>IF(A42="","",IF(NOT(AND(COUNTIFS('07-تصمیمات و مصوبات'!$A$8:$A$1007,A42)=1,AND(COUNTIFS('17-جلسات و دوره‌ها'!$A$8:$A$1007,B42)=1,IFERROR(INDEX('17-جلسات و دوره‌ها'!$B$8:$B$1007,MATCH(B42,'17-جلسات و دوره‌ها'!$A$8:$A$1007,0)),"")=C42,IFERROR(INDEX('17-جلسات و دوره‌ها'!$C$8:$C$1007,MATCH(B42,'17-جلسات و دوره‌ها'!$A$8:$A$1007,0)),"")=D42),COUNTIFS('03-ورودی‌های بازنگری'!$A$8:$A$1007,F42)=1,IFERROR(INDEX('03-ورودی‌های بازنگری'!$D$8:$D$1007,MATCH(F42,'03-ورودی‌های بازنگری'!$A$8:$A$1007,0)),"")=B42)),"رابطه ورودی یا جلسه نامعتبر",IF(L42="","پیشنهاد؛ تصویب نشده",IF(OR(IFERROR(INDEX('03-ورودی‌های بازنگری'!$R$8:$R$1007,MATCH(F42,'03-ورودی‌های بازنگری'!$A$8:$A$1007,0)),"")&lt;&gt;"معتبر",H42="",J42="",K42="",M42="",V42="",NOT(ISNUMBER(W42)),N42="",N42="تعیین نشده"),"تعیین تکلیف ناقص",IF(AND(L42="تصویب",N42="بله",OR(O42="",NOT(ISNUMBER(R42)),S42="",T42="")),"مسئول، موعد یا معیار ناقص","معتبر")))))</f>
        <v/>
      </c>
      <c r="AA42" s="3" t="str">
        <f>IF(A42="","",IF(Z42&lt;&gt;"معتبر",Z42,IF(L42&lt;&gt;"تصویب",L42,IF(N42="خیر","تعیین تکلیف مستند؛ بدون اقدام",IF(COUNTIFS('08-برنامه اقدامات'!$B$8:$B$1007,A42)=0,"اقدام لازم؛ ثبت نشده",IF(COUNTIFS('08-برنامه اقدامات'!$B$8:$B$1007,A42,'08-برنامه اقدامات'!$T$8:$T$1007,"بسته؛ اثربخش")=COUNTIFS('08-برنامه اقدامات'!$B$8:$B$1007,A42),"بسته؛ اثربخش","باز؛ اجرا یا اثربخشی باقی است"))))))</f>
        <v/>
      </c>
      <c r="AB42" s="5" t="str">
        <f>IF(A42="","",IF(B42&lt;&gt;'01-تنظیمات'!$B$5,"",IF('01-تنظیمات'!$B$7="پیش از جلسه",COUNTIFS($B$8:B42,'01-تنظیمات'!$B$5),IF(Z42="معتبر",COUNTIFS($B$8:B42,'01-تنظیمات'!$B$5,$Z$8:Z42,"معتبر"),""))))</f>
        <v/>
      </c>
    </row>
    <row r="43" spans="1:28" ht="36" customHeight="1">
      <c r="A43" s="1"/>
      <c r="B43" s="1"/>
      <c r="C43" s="1"/>
      <c r="D43" s="1"/>
      <c r="E43" s="1"/>
      <c r="F43" s="1"/>
      <c r="G43" s="1"/>
      <c r="H43" s="1"/>
      <c r="I43" s="1"/>
      <c r="J43" s="1"/>
      <c r="K43" s="1"/>
      <c r="L43" s="1"/>
      <c r="M43" s="1"/>
      <c r="N43" s="1"/>
      <c r="O43" s="1"/>
      <c r="P43" s="1"/>
      <c r="Q43" s="1"/>
      <c r="R43" s="4"/>
      <c r="S43" s="1"/>
      <c r="T43" s="1"/>
      <c r="U43" s="1"/>
      <c r="V43" s="1"/>
      <c r="W43" s="4"/>
      <c r="X43" s="1"/>
      <c r="Y43" s="1"/>
      <c r="Z43" s="3" t="str">
        <f>IF(A43="","",IF(NOT(AND(COUNTIFS('07-تصمیمات و مصوبات'!$A$8:$A$1007,A43)=1,AND(COUNTIFS('17-جلسات و دوره‌ها'!$A$8:$A$1007,B43)=1,IFERROR(INDEX('17-جلسات و دوره‌ها'!$B$8:$B$1007,MATCH(B43,'17-جلسات و دوره‌ها'!$A$8:$A$1007,0)),"")=C43,IFERROR(INDEX('17-جلسات و دوره‌ها'!$C$8:$C$1007,MATCH(B43,'17-جلسات و دوره‌ها'!$A$8:$A$1007,0)),"")=D43),COUNTIFS('03-ورودی‌های بازنگری'!$A$8:$A$1007,F43)=1,IFERROR(INDEX('03-ورودی‌های بازنگری'!$D$8:$D$1007,MATCH(F43,'03-ورودی‌های بازنگری'!$A$8:$A$1007,0)),"")=B43)),"رابطه ورودی یا جلسه نامعتبر",IF(L43="","پیشنهاد؛ تصویب نشده",IF(OR(IFERROR(INDEX('03-ورودی‌های بازنگری'!$R$8:$R$1007,MATCH(F43,'03-ورودی‌های بازنگری'!$A$8:$A$1007,0)),"")&lt;&gt;"معتبر",H43="",J43="",K43="",M43="",V43="",NOT(ISNUMBER(W43)),N43="",N43="تعیین نشده"),"تعیین تکلیف ناقص",IF(AND(L43="تصویب",N43="بله",OR(O43="",NOT(ISNUMBER(R43)),S43="",T43="")),"مسئول، موعد یا معیار ناقص","معتبر")))))</f>
        <v/>
      </c>
      <c r="AA43" s="3" t="str">
        <f>IF(A43="","",IF(Z43&lt;&gt;"معتبر",Z43,IF(L43&lt;&gt;"تصویب",L43,IF(N43="خیر","تعیین تکلیف مستند؛ بدون اقدام",IF(COUNTIFS('08-برنامه اقدامات'!$B$8:$B$1007,A43)=0,"اقدام لازم؛ ثبت نشده",IF(COUNTIFS('08-برنامه اقدامات'!$B$8:$B$1007,A43,'08-برنامه اقدامات'!$T$8:$T$1007,"بسته؛ اثربخش")=COUNTIFS('08-برنامه اقدامات'!$B$8:$B$1007,A43),"بسته؛ اثربخش","باز؛ اجرا یا اثربخشی باقی است"))))))</f>
        <v/>
      </c>
      <c r="AB43" s="5" t="str">
        <f>IF(A43="","",IF(B43&lt;&gt;'01-تنظیمات'!$B$5,"",IF('01-تنظیمات'!$B$7="پیش از جلسه",COUNTIFS($B$8:B43,'01-تنظیمات'!$B$5),IF(Z43="معتبر",COUNTIFS($B$8:B43,'01-تنظیمات'!$B$5,$Z$8:Z43,"معتبر"),""))))</f>
        <v/>
      </c>
    </row>
  </sheetData>
  <mergeCells count="2">
    <mergeCell ref="A1:AA1"/>
    <mergeCell ref="A2:AA3"/>
  </mergeCells>
  <conditionalFormatting sqref="A8:A43">
    <cfRule type="duplicateValues" dxfId="58" priority="1"/>
  </conditionalFormatting>
  <conditionalFormatting sqref="J8:J43">
    <cfRule type="containsText" dxfId="57" priority="12" operator="containsText" text="ناقص"/>
  </conditionalFormatting>
  <conditionalFormatting sqref="Z8:Z43">
    <cfRule type="containsText" dxfId="56" priority="2" operator="containsText" text="ناقص"/>
  </conditionalFormatting>
  <conditionalFormatting sqref="AA8:AA43">
    <cfRule type="containsText" dxfId="55" priority="7" operator="containsText" text="ناقص"/>
  </conditionalFormatting>
  <dataValidations count="3">
    <dataValidation type="list" sqref="I8:I43" xr:uid="{00000000-0002-0000-0700-000000000000}">
      <formula1>"نتیجه‌گیری سیستم,بهبود مستمر,تغییر سیستم,تأمین منابع,عملکرد مشتری,هدف محیط‌زیستی,یکپارچگی کسب‌وکار,جهت‌گیری راهبردی,ایمنی و بهداشت,عدم نیاز به تغییر,بررسی تکمیلی"</formula1>
    </dataValidation>
    <dataValidation type="list" sqref="L8:L43" xr:uid="{00000000-0002-0000-0700-000001000000}">
      <formula1>"تصویب,رد,تعویق,درخواست بررسی تکمیلی"</formula1>
    </dataValidation>
    <dataValidation type="list" sqref="N8:N43" xr:uid="{00000000-0002-0000-0700-000002000000}">
      <formula1>"بله,خیر,تعیین نشده"</formula1>
    </dataValidation>
  </dataValidation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892A5"/>
    <pageSetUpPr fitToPage="1"/>
  </sheetPr>
  <dimension ref="A1:T41"/>
  <sheetViews>
    <sheetView showGridLines="0" rightToLeft="1" zoomScale="85" workbookViewId="0">
      <pane ySplit="7" topLeftCell="A8" activePane="bottomLeft" state="frozen"/>
      <selection pane="bottomLeft" sqref="A1:T1"/>
    </sheetView>
  </sheetViews>
  <sheetFormatPr defaultRowHeight="14.25"/>
  <cols>
    <col min="1" max="2" width="20" customWidth="1"/>
    <col min="3" max="3" width="14" customWidth="1"/>
    <col min="4" max="4" width="16" customWidth="1"/>
    <col min="5" max="5" width="24" customWidth="1"/>
    <col min="6" max="6" width="27" customWidth="1"/>
    <col min="7" max="7" width="60" customWidth="1"/>
    <col min="8" max="8" width="30" customWidth="1"/>
    <col min="9" max="9" width="16" customWidth="1"/>
    <col min="10" max="10" width="21" customWidth="1"/>
    <col min="11" max="11" width="17" customWidth="1"/>
    <col min="12" max="12" width="24" customWidth="1"/>
    <col min="13" max="13" width="55" customWidth="1"/>
    <col min="14" max="14" width="25" customWidth="1"/>
    <col min="15" max="15" width="18" customWidth="1"/>
    <col min="16" max="16" width="50" customWidth="1"/>
    <col min="17" max="17" width="40" customWidth="1"/>
    <col min="18" max="18" width="30" customWidth="1"/>
    <col min="19" max="19" width="24" customWidth="1"/>
    <col min="20" max="20" width="45" customWidth="1"/>
  </cols>
  <sheetData>
    <row r="1" spans="1:20" ht="33.950000000000003" customHeight="1">
      <c r="A1" s="7" t="s">
        <v>1087</v>
      </c>
      <c r="B1" s="7"/>
      <c r="C1" s="7"/>
      <c r="D1" s="7"/>
      <c r="E1" s="7"/>
      <c r="F1" s="7"/>
      <c r="G1" s="7"/>
      <c r="H1" s="7"/>
      <c r="I1" s="7"/>
      <c r="J1" s="7"/>
      <c r="K1" s="7"/>
      <c r="L1" s="7"/>
      <c r="M1" s="7"/>
      <c r="N1" s="7"/>
      <c r="O1" s="7"/>
      <c r="P1" s="7"/>
      <c r="Q1" s="7"/>
      <c r="R1" s="7"/>
      <c r="S1" s="7"/>
      <c r="T1" s="7"/>
    </row>
    <row r="2" spans="1:20" ht="26.1" customHeight="1">
      <c r="A2" s="8" t="s">
        <v>1088</v>
      </c>
      <c r="B2" s="8"/>
      <c r="C2" s="8"/>
      <c r="D2" s="8"/>
      <c r="E2" s="8"/>
      <c r="F2" s="8"/>
      <c r="G2" s="8"/>
      <c r="H2" s="8"/>
      <c r="I2" s="8"/>
      <c r="J2" s="8"/>
      <c r="K2" s="8"/>
      <c r="L2" s="8"/>
      <c r="M2" s="8"/>
      <c r="N2" s="8"/>
      <c r="O2" s="8"/>
      <c r="P2" s="8"/>
      <c r="Q2" s="8"/>
      <c r="R2" s="8"/>
      <c r="S2" s="8"/>
      <c r="T2" s="8"/>
    </row>
    <row r="3" spans="1:20" ht="26.1" customHeight="1">
      <c r="A3" s="8"/>
      <c r="B3" s="8"/>
      <c r="C3" s="8"/>
      <c r="D3" s="8"/>
      <c r="E3" s="8"/>
      <c r="F3" s="8"/>
      <c r="G3" s="8"/>
      <c r="H3" s="8"/>
      <c r="I3" s="8"/>
      <c r="J3" s="8"/>
      <c r="K3" s="8"/>
      <c r="L3" s="8"/>
      <c r="M3" s="8"/>
      <c r="N3" s="8"/>
      <c r="O3" s="8"/>
      <c r="P3" s="8"/>
      <c r="Q3" s="8"/>
      <c r="R3" s="8"/>
      <c r="S3" s="8"/>
      <c r="T3" s="8"/>
    </row>
    <row r="4" spans="1:20">
      <c r="A4" s="1"/>
      <c r="B4" s="1"/>
      <c r="C4" s="1"/>
      <c r="D4" s="1"/>
      <c r="E4" s="1"/>
      <c r="F4" s="1"/>
      <c r="G4" s="1"/>
      <c r="H4" s="1"/>
      <c r="I4" s="1"/>
      <c r="J4" s="1"/>
      <c r="K4" s="1"/>
      <c r="L4" s="1"/>
      <c r="M4" s="1"/>
      <c r="N4" s="1"/>
      <c r="O4" s="1"/>
      <c r="P4" s="1"/>
      <c r="Q4" s="1"/>
      <c r="R4" s="1"/>
      <c r="S4" s="1"/>
      <c r="T4" s="1"/>
    </row>
    <row r="5" spans="1:20">
      <c r="A5" s="1"/>
      <c r="B5" s="1"/>
      <c r="C5" s="1"/>
      <c r="D5" s="1"/>
      <c r="E5" s="1"/>
      <c r="F5" s="1"/>
      <c r="G5" s="1"/>
      <c r="H5" s="1"/>
      <c r="I5" s="1"/>
      <c r="J5" s="1"/>
      <c r="K5" s="1"/>
      <c r="L5" s="1"/>
      <c r="M5" s="1"/>
      <c r="N5" s="1"/>
      <c r="O5" s="1"/>
      <c r="P5" s="1"/>
      <c r="Q5" s="1"/>
      <c r="R5" s="1"/>
      <c r="S5" s="1"/>
      <c r="T5" s="1"/>
    </row>
    <row r="6" spans="1:20">
      <c r="A6" s="1"/>
      <c r="B6" s="1"/>
      <c r="C6" s="1"/>
      <c r="D6" s="1"/>
      <c r="E6" s="1"/>
      <c r="F6" s="1"/>
      <c r="G6" s="1"/>
      <c r="H6" s="1"/>
      <c r="I6" s="1"/>
      <c r="J6" s="1"/>
      <c r="K6" s="1"/>
      <c r="L6" s="1"/>
      <c r="M6" s="1"/>
      <c r="N6" s="1"/>
      <c r="O6" s="1"/>
      <c r="P6" s="1"/>
      <c r="Q6" s="1"/>
      <c r="R6" s="1"/>
      <c r="S6" s="1"/>
      <c r="T6" s="1"/>
    </row>
    <row r="7" spans="1:20" ht="48" customHeight="1">
      <c r="A7" s="2" t="s">
        <v>1089</v>
      </c>
      <c r="B7" s="2" t="s">
        <v>895</v>
      </c>
      <c r="C7" s="2" t="s">
        <v>364</v>
      </c>
      <c r="D7" s="2" t="s">
        <v>365</v>
      </c>
      <c r="E7" s="2" t="s">
        <v>366</v>
      </c>
      <c r="F7" s="2" t="s">
        <v>94</v>
      </c>
      <c r="G7" s="2" t="s">
        <v>1090</v>
      </c>
      <c r="H7" s="2" t="s">
        <v>1091</v>
      </c>
      <c r="I7" s="2" t="s">
        <v>1092</v>
      </c>
      <c r="J7" s="2" t="s">
        <v>1093</v>
      </c>
      <c r="K7" s="2" t="s">
        <v>708</v>
      </c>
      <c r="L7" s="2" t="s">
        <v>1094</v>
      </c>
      <c r="M7" s="2" t="s">
        <v>1095</v>
      </c>
      <c r="N7" s="2" t="s">
        <v>1096</v>
      </c>
      <c r="O7" s="2" t="s">
        <v>1097</v>
      </c>
      <c r="P7" s="2" t="s">
        <v>1098</v>
      </c>
      <c r="Q7" s="2" t="s">
        <v>1099</v>
      </c>
      <c r="R7" s="2" t="s">
        <v>1100</v>
      </c>
      <c r="S7" s="2" t="s">
        <v>1101</v>
      </c>
      <c r="T7" s="2" t="s">
        <v>1102</v>
      </c>
    </row>
    <row r="8" spans="1:20" ht="36" customHeight="1">
      <c r="A8" s="1" t="s">
        <v>926</v>
      </c>
      <c r="B8" s="1" t="s">
        <v>917</v>
      </c>
      <c r="C8" s="1" t="s">
        <v>77</v>
      </c>
      <c r="D8" s="1" t="s">
        <v>80</v>
      </c>
      <c r="E8" s="1" t="s">
        <v>83</v>
      </c>
      <c r="F8" s="1" t="s">
        <v>379</v>
      </c>
      <c r="G8" s="1" t="s">
        <v>918</v>
      </c>
      <c r="H8" s="1" t="s">
        <v>922</v>
      </c>
      <c r="I8" s="1">
        <v>7</v>
      </c>
      <c r="J8" s="4"/>
      <c r="K8" s="1" t="s">
        <v>714</v>
      </c>
      <c r="L8" s="1" t="s">
        <v>1103</v>
      </c>
      <c r="M8" s="1" t="s">
        <v>919</v>
      </c>
      <c r="N8" s="1"/>
      <c r="O8" s="4"/>
      <c r="P8" s="1"/>
      <c r="Q8" s="3" t="str">
        <f>IF(A8="","",IF(NOT(AND(COUNTIFS('08-برنامه اقدامات'!$A$8:$A$1007,A8)=1,AND(COUNTIFS('17-جلسات و دوره‌ها'!$A$8:$A$1007,E8)=1,IFERROR(INDEX('17-جلسات و دوره‌ها'!$B$8:$B$1007,MATCH(E8,'17-جلسات و دوره‌ها'!$A$8:$A$1007,0)),"")=C8,IFERROR(INDEX('17-جلسات و دوره‌ها'!$C$8:$C$1007,MATCH(E8,'17-جلسات و دوره‌ها'!$A$8:$A$1007,0)),"")=D8),COUNTIFS('07-تصمیمات و مصوبات'!$A$8:$A$1007,B8)=1,IFERROR(INDEX('07-تصمیمات و مصوبات'!$B$8:$B$1007,MATCH(B8,'07-تصمیمات و مصوبات'!$A$8:$A$1007,0)),"")=E8)),"رابطه تصمیم نامعتبر",IF(OR(G8="",H8="",NOT(ISNUMBER(J8)),M8=""),"مسئول، موعد یا معیار ناقص",IF(OR(IFERROR(INDEX('07-تصمیمات و مصوبات'!$L$8:$L$1007,MATCH(B8,'07-تصمیمات و مصوبات'!$A$8:$A$1007,0)),"")&lt;&gt;"تصویب",IFERROR(INDEX('07-تصمیمات و مصوبات'!$V$8:$V$1007,MATCH(B8,'07-تصمیمات و مصوبات'!$A$8:$A$1007,0)),"")="",IFERROR(INDEX('07-تصمیمات و مصوبات'!$Z$8:$Z$1007,MATCH(B8,'07-تصمیمات و مصوبات'!$A$8:$A$1007,0)),"")&lt;&gt;"معتبر"),"مصوبه مادر تأیید نشده",IF(AND(L8="انجام شد",OR(NOT(AND(COUNTIFS('14-مستندات و پیوست‌ها'!$A$8:$A$1007,N8)=1,IFERROR(INDEX('14-مستندات و پیوست‌ها'!$B$8:$B$1007,MATCH(N8,'14-مستندات و پیوست‌ها'!$A$8:$A$1007,0)),"")=C8,OR(IFERROR(INDEX('14-مستندات و پیوست‌ها'!$H$8:$H$1007,MATCH(N8,'14-مستندات و پیوست‌ها'!$A$8:$A$1007,0)),"")="دریافت شده",IFERROR(INDEX('14-مستندات و پیوست‌ها'!$H$8:$H$1007,MATCH(N8,'14-مستندات و پیوست‌ها'!$A$8:$A$1007,0)),"")="فرضی"))),NOT(ISNUMBER(O8)),P8="")),"شاهد تکمیل ناقص","معتبر")))))</f>
        <v>مسئول، موعد یا معیار ناقص</v>
      </c>
      <c r="R8" s="3" t="str">
        <f>IF(A8="","",IF(NOT(ISNUMBER(J8)),"موعد ثبت نشده",IF(L8="انجام شد","اجرا گزارش شده",IF(J8&lt;'01-تنظیمات'!$B$6,"معوق","در مهلت"))))</f>
        <v>موعد ثبت نشده</v>
      </c>
      <c r="S8" s="3">
        <f>IF(A8="","",COUNTIFS('10-ارزیابی اثربخشی'!$C$8:$C$1007,A8,'10-ارزیابی اثربخشی'!$Q$8:$Q$1007,"اثربخش معتبر"))</f>
        <v>0</v>
      </c>
      <c r="T8" s="3" t="str">
        <f t="shared" ref="T8:T41" si="0">IF(A8="","",IF(Q8&lt;&gt;"معتبر",Q8,IF(L8&lt;&gt;"انجام شد",R8,IF(S8&gt;0,"بسته؛ اثربخش","اجراشده؛ اثربخشی تأیید نشده"))))</f>
        <v>مسئول، موعد یا معیار ناقص</v>
      </c>
    </row>
    <row r="9" spans="1:20" ht="36" customHeight="1">
      <c r="A9" s="1" t="s">
        <v>933</v>
      </c>
      <c r="B9" s="1" t="s">
        <v>928</v>
      </c>
      <c r="C9" s="1" t="s">
        <v>77</v>
      </c>
      <c r="D9" s="1" t="s">
        <v>80</v>
      </c>
      <c r="E9" s="1" t="s">
        <v>83</v>
      </c>
      <c r="F9" s="1" t="s">
        <v>379</v>
      </c>
      <c r="G9" s="1" t="s">
        <v>929</v>
      </c>
      <c r="H9" s="1" t="s">
        <v>932</v>
      </c>
      <c r="I9" s="1">
        <v>10</v>
      </c>
      <c r="J9" s="4"/>
      <c r="K9" s="1" t="s">
        <v>714</v>
      </c>
      <c r="L9" s="1" t="s">
        <v>1103</v>
      </c>
      <c r="M9" s="1" t="s">
        <v>930</v>
      </c>
      <c r="N9" s="1"/>
      <c r="O9" s="4"/>
      <c r="P9" s="1"/>
      <c r="Q9" s="3" t="str">
        <f>IF(A9="","",IF(NOT(AND(COUNTIFS('08-برنامه اقدامات'!$A$8:$A$1007,A9)=1,AND(COUNTIFS('17-جلسات و دوره‌ها'!$A$8:$A$1007,E9)=1,IFERROR(INDEX('17-جلسات و دوره‌ها'!$B$8:$B$1007,MATCH(E9,'17-جلسات و دوره‌ها'!$A$8:$A$1007,0)),"")=C9,IFERROR(INDEX('17-جلسات و دوره‌ها'!$C$8:$C$1007,MATCH(E9,'17-جلسات و دوره‌ها'!$A$8:$A$1007,0)),"")=D9),COUNTIFS('07-تصمیمات و مصوبات'!$A$8:$A$1007,B9)=1,IFERROR(INDEX('07-تصمیمات و مصوبات'!$B$8:$B$1007,MATCH(B9,'07-تصمیمات و مصوبات'!$A$8:$A$1007,0)),"")=E9)),"رابطه تصمیم نامعتبر",IF(OR(G9="",H9="",NOT(ISNUMBER(J9)),M9=""),"مسئول، موعد یا معیار ناقص",IF(OR(IFERROR(INDEX('07-تصمیمات و مصوبات'!$L$8:$L$1007,MATCH(B9,'07-تصمیمات و مصوبات'!$A$8:$A$1007,0)),"")&lt;&gt;"تصویب",IFERROR(INDEX('07-تصمیمات و مصوبات'!$V$8:$V$1007,MATCH(B9,'07-تصمیمات و مصوبات'!$A$8:$A$1007,0)),"")="",IFERROR(INDEX('07-تصمیمات و مصوبات'!$Z$8:$Z$1007,MATCH(B9,'07-تصمیمات و مصوبات'!$A$8:$A$1007,0)),"")&lt;&gt;"معتبر"),"مصوبه مادر تأیید نشده",IF(AND(L9="انجام شد",OR(NOT(AND(COUNTIFS('14-مستندات و پیوست‌ها'!$A$8:$A$1007,N9)=1,IFERROR(INDEX('14-مستندات و پیوست‌ها'!$B$8:$B$1007,MATCH(N9,'14-مستندات و پیوست‌ها'!$A$8:$A$1007,0)),"")=C9,OR(IFERROR(INDEX('14-مستندات و پیوست‌ها'!$H$8:$H$1007,MATCH(N9,'14-مستندات و پیوست‌ها'!$A$8:$A$1007,0)),"")="دریافت شده",IFERROR(INDEX('14-مستندات و پیوست‌ها'!$H$8:$H$1007,MATCH(N9,'14-مستندات و پیوست‌ها'!$A$8:$A$1007,0)),"")="فرضی"))),NOT(ISNUMBER(O9)),P9="")),"شاهد تکمیل ناقص","معتبر")))))</f>
        <v>مسئول، موعد یا معیار ناقص</v>
      </c>
      <c r="R9" s="3" t="str">
        <f>IF(A9="","",IF(NOT(ISNUMBER(J9)),"موعد ثبت نشده",IF(L9="انجام شد","اجرا گزارش شده",IF(J9&lt;'01-تنظیمات'!$B$6,"معوق","در مهلت"))))</f>
        <v>موعد ثبت نشده</v>
      </c>
      <c r="S9" s="3">
        <f>IF(A9="","",COUNTIFS('10-ارزیابی اثربخشی'!$C$8:$C$1007,A9,'10-ارزیابی اثربخشی'!$Q$8:$Q$1007,"اثربخش معتبر"))</f>
        <v>0</v>
      </c>
      <c r="T9" s="3" t="str">
        <f t="shared" si="0"/>
        <v>مسئول، موعد یا معیار ناقص</v>
      </c>
    </row>
    <row r="10" spans="1:20" ht="36" customHeight="1">
      <c r="A10" s="1" t="s">
        <v>939</v>
      </c>
      <c r="B10" s="1" t="s">
        <v>934</v>
      </c>
      <c r="C10" s="1" t="s">
        <v>77</v>
      </c>
      <c r="D10" s="1" t="s">
        <v>80</v>
      </c>
      <c r="E10" s="1" t="s">
        <v>83</v>
      </c>
      <c r="F10" s="1" t="s">
        <v>379</v>
      </c>
      <c r="G10" s="1" t="s">
        <v>935</v>
      </c>
      <c r="H10" s="1" t="s">
        <v>938</v>
      </c>
      <c r="I10" s="1">
        <v>7</v>
      </c>
      <c r="J10" s="4"/>
      <c r="K10" s="1" t="s">
        <v>714</v>
      </c>
      <c r="L10" s="1" t="s">
        <v>1103</v>
      </c>
      <c r="M10" s="1" t="s">
        <v>936</v>
      </c>
      <c r="N10" s="1"/>
      <c r="O10" s="4"/>
      <c r="P10" s="1"/>
      <c r="Q10" s="3" t="str">
        <f>IF(A10="","",IF(NOT(AND(COUNTIFS('08-برنامه اقدامات'!$A$8:$A$1007,A10)=1,AND(COUNTIFS('17-جلسات و دوره‌ها'!$A$8:$A$1007,E10)=1,IFERROR(INDEX('17-جلسات و دوره‌ها'!$B$8:$B$1007,MATCH(E10,'17-جلسات و دوره‌ها'!$A$8:$A$1007,0)),"")=C10,IFERROR(INDEX('17-جلسات و دوره‌ها'!$C$8:$C$1007,MATCH(E10,'17-جلسات و دوره‌ها'!$A$8:$A$1007,0)),"")=D10),COUNTIFS('07-تصمیمات و مصوبات'!$A$8:$A$1007,B10)=1,IFERROR(INDEX('07-تصمیمات و مصوبات'!$B$8:$B$1007,MATCH(B10,'07-تصمیمات و مصوبات'!$A$8:$A$1007,0)),"")=E10)),"رابطه تصمیم نامعتبر",IF(OR(G10="",H10="",NOT(ISNUMBER(J10)),M10=""),"مسئول، موعد یا معیار ناقص",IF(OR(IFERROR(INDEX('07-تصمیمات و مصوبات'!$L$8:$L$1007,MATCH(B10,'07-تصمیمات و مصوبات'!$A$8:$A$1007,0)),"")&lt;&gt;"تصویب",IFERROR(INDEX('07-تصمیمات و مصوبات'!$V$8:$V$1007,MATCH(B10,'07-تصمیمات و مصوبات'!$A$8:$A$1007,0)),"")="",IFERROR(INDEX('07-تصمیمات و مصوبات'!$Z$8:$Z$1007,MATCH(B10,'07-تصمیمات و مصوبات'!$A$8:$A$1007,0)),"")&lt;&gt;"معتبر"),"مصوبه مادر تأیید نشده",IF(AND(L10="انجام شد",OR(NOT(AND(COUNTIFS('14-مستندات و پیوست‌ها'!$A$8:$A$1007,N10)=1,IFERROR(INDEX('14-مستندات و پیوست‌ها'!$B$8:$B$1007,MATCH(N10,'14-مستندات و پیوست‌ها'!$A$8:$A$1007,0)),"")=C10,OR(IFERROR(INDEX('14-مستندات و پیوست‌ها'!$H$8:$H$1007,MATCH(N10,'14-مستندات و پیوست‌ها'!$A$8:$A$1007,0)),"")="دریافت شده",IFERROR(INDEX('14-مستندات و پیوست‌ها'!$H$8:$H$1007,MATCH(N10,'14-مستندات و پیوست‌ها'!$A$8:$A$1007,0)),"")="فرضی"))),NOT(ISNUMBER(O10)),P10="")),"شاهد تکمیل ناقص","معتبر")))))</f>
        <v>مسئول، موعد یا معیار ناقص</v>
      </c>
      <c r="R10" s="3" t="str">
        <f>IF(A10="","",IF(NOT(ISNUMBER(J10)),"موعد ثبت نشده",IF(L10="انجام شد","اجرا گزارش شده",IF(J10&lt;'01-تنظیمات'!$B$6,"معوق","در مهلت"))))</f>
        <v>موعد ثبت نشده</v>
      </c>
      <c r="S10" s="3">
        <f>IF(A10="","",COUNTIFS('10-ارزیابی اثربخشی'!$C$8:$C$1007,A10,'10-ارزیابی اثربخشی'!$Q$8:$Q$1007,"اثربخش معتبر"))</f>
        <v>0</v>
      </c>
      <c r="T10" s="3" t="str">
        <f t="shared" si="0"/>
        <v>مسئول، موعد یا معیار ناقص</v>
      </c>
    </row>
    <row r="11" spans="1:20" ht="36" customHeight="1">
      <c r="A11" s="1" t="s">
        <v>944</v>
      </c>
      <c r="B11" s="1" t="s">
        <v>940</v>
      </c>
      <c r="C11" s="1" t="s">
        <v>77</v>
      </c>
      <c r="D11" s="1" t="s">
        <v>80</v>
      </c>
      <c r="E11" s="1" t="s">
        <v>83</v>
      </c>
      <c r="F11" s="1" t="s">
        <v>379</v>
      </c>
      <c r="G11" s="1" t="s">
        <v>941</v>
      </c>
      <c r="H11" s="1" t="s">
        <v>49</v>
      </c>
      <c r="I11" s="1">
        <v>7</v>
      </c>
      <c r="J11" s="4"/>
      <c r="K11" s="1" t="s">
        <v>714</v>
      </c>
      <c r="L11" s="1" t="s">
        <v>1103</v>
      </c>
      <c r="M11" s="1" t="s">
        <v>942</v>
      </c>
      <c r="N11" s="1"/>
      <c r="O11" s="4"/>
      <c r="P11" s="1"/>
      <c r="Q11" s="3" t="str">
        <f>IF(A11="","",IF(NOT(AND(COUNTIFS('08-برنامه اقدامات'!$A$8:$A$1007,A11)=1,AND(COUNTIFS('17-جلسات و دوره‌ها'!$A$8:$A$1007,E11)=1,IFERROR(INDEX('17-جلسات و دوره‌ها'!$B$8:$B$1007,MATCH(E11,'17-جلسات و دوره‌ها'!$A$8:$A$1007,0)),"")=C11,IFERROR(INDEX('17-جلسات و دوره‌ها'!$C$8:$C$1007,MATCH(E11,'17-جلسات و دوره‌ها'!$A$8:$A$1007,0)),"")=D11),COUNTIFS('07-تصمیمات و مصوبات'!$A$8:$A$1007,B11)=1,IFERROR(INDEX('07-تصمیمات و مصوبات'!$B$8:$B$1007,MATCH(B11,'07-تصمیمات و مصوبات'!$A$8:$A$1007,0)),"")=E11)),"رابطه تصمیم نامعتبر",IF(OR(G11="",H11="",NOT(ISNUMBER(J11)),M11=""),"مسئول، موعد یا معیار ناقص",IF(OR(IFERROR(INDEX('07-تصمیمات و مصوبات'!$L$8:$L$1007,MATCH(B11,'07-تصمیمات و مصوبات'!$A$8:$A$1007,0)),"")&lt;&gt;"تصویب",IFERROR(INDEX('07-تصمیمات و مصوبات'!$V$8:$V$1007,MATCH(B11,'07-تصمیمات و مصوبات'!$A$8:$A$1007,0)),"")="",IFERROR(INDEX('07-تصمیمات و مصوبات'!$Z$8:$Z$1007,MATCH(B11,'07-تصمیمات و مصوبات'!$A$8:$A$1007,0)),"")&lt;&gt;"معتبر"),"مصوبه مادر تأیید نشده",IF(AND(L11="انجام شد",OR(NOT(AND(COUNTIFS('14-مستندات و پیوست‌ها'!$A$8:$A$1007,N11)=1,IFERROR(INDEX('14-مستندات و پیوست‌ها'!$B$8:$B$1007,MATCH(N11,'14-مستندات و پیوست‌ها'!$A$8:$A$1007,0)),"")=C11,OR(IFERROR(INDEX('14-مستندات و پیوست‌ها'!$H$8:$H$1007,MATCH(N11,'14-مستندات و پیوست‌ها'!$A$8:$A$1007,0)),"")="دریافت شده",IFERROR(INDEX('14-مستندات و پیوست‌ها'!$H$8:$H$1007,MATCH(N11,'14-مستندات و پیوست‌ها'!$A$8:$A$1007,0)),"")="فرضی"))),NOT(ISNUMBER(O11)),P11="")),"شاهد تکمیل ناقص","معتبر")))))</f>
        <v>مسئول، موعد یا معیار ناقص</v>
      </c>
      <c r="R11" s="3" t="str">
        <f>IF(A11="","",IF(NOT(ISNUMBER(J11)),"موعد ثبت نشده",IF(L11="انجام شد","اجرا گزارش شده",IF(J11&lt;'01-تنظیمات'!$B$6,"معوق","در مهلت"))))</f>
        <v>موعد ثبت نشده</v>
      </c>
      <c r="S11" s="3">
        <f>IF(A11="","",COUNTIFS('10-ارزیابی اثربخشی'!$C$8:$C$1007,A11,'10-ارزیابی اثربخشی'!$Q$8:$Q$1007,"اثربخش معتبر"))</f>
        <v>0</v>
      </c>
      <c r="T11" s="3" t="str">
        <f t="shared" si="0"/>
        <v>مسئول، موعد یا معیار ناقص</v>
      </c>
    </row>
    <row r="12" spans="1:20" ht="48" customHeight="1">
      <c r="A12" s="1" t="s">
        <v>950</v>
      </c>
      <c r="B12" s="1" t="s">
        <v>945</v>
      </c>
      <c r="C12" s="1" t="s">
        <v>77</v>
      </c>
      <c r="D12" s="1" t="s">
        <v>80</v>
      </c>
      <c r="E12" s="1" t="s">
        <v>83</v>
      </c>
      <c r="F12" s="1" t="s">
        <v>379</v>
      </c>
      <c r="G12" s="1" t="s">
        <v>946</v>
      </c>
      <c r="H12" s="1" t="s">
        <v>949</v>
      </c>
      <c r="I12" s="1">
        <v>30</v>
      </c>
      <c r="J12" s="4"/>
      <c r="K12" s="1" t="s">
        <v>714</v>
      </c>
      <c r="L12" s="1" t="s">
        <v>1103</v>
      </c>
      <c r="M12" s="1" t="s">
        <v>947</v>
      </c>
      <c r="N12" s="1"/>
      <c r="O12" s="4"/>
      <c r="P12" s="1"/>
      <c r="Q12" s="3" t="str">
        <f>IF(A12="","",IF(NOT(AND(COUNTIFS('08-برنامه اقدامات'!$A$8:$A$1007,A12)=1,AND(COUNTIFS('17-جلسات و دوره‌ها'!$A$8:$A$1007,E12)=1,IFERROR(INDEX('17-جلسات و دوره‌ها'!$B$8:$B$1007,MATCH(E12,'17-جلسات و دوره‌ها'!$A$8:$A$1007,0)),"")=C12,IFERROR(INDEX('17-جلسات و دوره‌ها'!$C$8:$C$1007,MATCH(E12,'17-جلسات و دوره‌ها'!$A$8:$A$1007,0)),"")=D12),COUNTIFS('07-تصمیمات و مصوبات'!$A$8:$A$1007,B12)=1,IFERROR(INDEX('07-تصمیمات و مصوبات'!$B$8:$B$1007,MATCH(B12,'07-تصمیمات و مصوبات'!$A$8:$A$1007,0)),"")=E12)),"رابطه تصمیم نامعتبر",IF(OR(G12="",H12="",NOT(ISNUMBER(J12)),M12=""),"مسئول، موعد یا معیار ناقص",IF(OR(IFERROR(INDEX('07-تصمیمات و مصوبات'!$L$8:$L$1007,MATCH(B12,'07-تصمیمات و مصوبات'!$A$8:$A$1007,0)),"")&lt;&gt;"تصویب",IFERROR(INDEX('07-تصمیمات و مصوبات'!$V$8:$V$1007,MATCH(B12,'07-تصمیمات و مصوبات'!$A$8:$A$1007,0)),"")="",IFERROR(INDEX('07-تصمیمات و مصوبات'!$Z$8:$Z$1007,MATCH(B12,'07-تصمیمات و مصوبات'!$A$8:$A$1007,0)),"")&lt;&gt;"معتبر"),"مصوبه مادر تأیید نشده",IF(AND(L12="انجام شد",OR(NOT(AND(COUNTIFS('14-مستندات و پیوست‌ها'!$A$8:$A$1007,N12)=1,IFERROR(INDEX('14-مستندات و پیوست‌ها'!$B$8:$B$1007,MATCH(N12,'14-مستندات و پیوست‌ها'!$A$8:$A$1007,0)),"")=C12,OR(IFERROR(INDEX('14-مستندات و پیوست‌ها'!$H$8:$H$1007,MATCH(N12,'14-مستندات و پیوست‌ها'!$A$8:$A$1007,0)),"")="دریافت شده",IFERROR(INDEX('14-مستندات و پیوست‌ها'!$H$8:$H$1007,MATCH(N12,'14-مستندات و پیوست‌ها'!$A$8:$A$1007,0)),"")="فرضی"))),NOT(ISNUMBER(O12)),P12="")),"شاهد تکمیل ناقص","معتبر")))))</f>
        <v>مسئول، موعد یا معیار ناقص</v>
      </c>
      <c r="R12" s="3" t="str">
        <f>IF(A12="","",IF(NOT(ISNUMBER(J12)),"موعد ثبت نشده",IF(L12="انجام شد","اجرا گزارش شده",IF(J12&lt;'01-تنظیمات'!$B$6,"معوق","در مهلت"))))</f>
        <v>موعد ثبت نشده</v>
      </c>
      <c r="S12" s="3">
        <f>IF(A12="","",COUNTIFS('10-ارزیابی اثربخشی'!$C$8:$C$1007,A12,'10-ارزیابی اثربخشی'!$Q$8:$Q$1007,"اثربخش معتبر"))</f>
        <v>0</v>
      </c>
      <c r="T12" s="3" t="str">
        <f t="shared" si="0"/>
        <v>مسئول، موعد یا معیار ناقص</v>
      </c>
    </row>
    <row r="13" spans="1:20" ht="36" customHeight="1">
      <c r="A13" s="1" t="s">
        <v>956</v>
      </c>
      <c r="B13" s="1" t="s">
        <v>951</v>
      </c>
      <c r="C13" s="1" t="s">
        <v>77</v>
      </c>
      <c r="D13" s="1" t="s">
        <v>80</v>
      </c>
      <c r="E13" s="1" t="s">
        <v>83</v>
      </c>
      <c r="F13" s="1" t="s">
        <v>379</v>
      </c>
      <c r="G13" s="1" t="s">
        <v>952</v>
      </c>
      <c r="H13" s="1" t="s">
        <v>955</v>
      </c>
      <c r="I13" s="1">
        <v>14</v>
      </c>
      <c r="J13" s="4"/>
      <c r="K13" s="1" t="s">
        <v>714</v>
      </c>
      <c r="L13" s="1" t="s">
        <v>1103</v>
      </c>
      <c r="M13" s="1" t="s">
        <v>953</v>
      </c>
      <c r="N13" s="1"/>
      <c r="O13" s="4"/>
      <c r="P13" s="1"/>
      <c r="Q13" s="3" t="str">
        <f>IF(A13="","",IF(NOT(AND(COUNTIFS('08-برنامه اقدامات'!$A$8:$A$1007,A13)=1,AND(COUNTIFS('17-جلسات و دوره‌ها'!$A$8:$A$1007,E13)=1,IFERROR(INDEX('17-جلسات و دوره‌ها'!$B$8:$B$1007,MATCH(E13,'17-جلسات و دوره‌ها'!$A$8:$A$1007,0)),"")=C13,IFERROR(INDEX('17-جلسات و دوره‌ها'!$C$8:$C$1007,MATCH(E13,'17-جلسات و دوره‌ها'!$A$8:$A$1007,0)),"")=D13),COUNTIFS('07-تصمیمات و مصوبات'!$A$8:$A$1007,B13)=1,IFERROR(INDEX('07-تصمیمات و مصوبات'!$B$8:$B$1007,MATCH(B13,'07-تصمیمات و مصوبات'!$A$8:$A$1007,0)),"")=E13)),"رابطه تصمیم نامعتبر",IF(OR(G13="",H13="",NOT(ISNUMBER(J13)),M13=""),"مسئول، موعد یا معیار ناقص",IF(OR(IFERROR(INDEX('07-تصمیمات و مصوبات'!$L$8:$L$1007,MATCH(B13,'07-تصمیمات و مصوبات'!$A$8:$A$1007,0)),"")&lt;&gt;"تصویب",IFERROR(INDEX('07-تصمیمات و مصوبات'!$V$8:$V$1007,MATCH(B13,'07-تصمیمات و مصوبات'!$A$8:$A$1007,0)),"")="",IFERROR(INDEX('07-تصمیمات و مصوبات'!$Z$8:$Z$1007,MATCH(B13,'07-تصمیمات و مصوبات'!$A$8:$A$1007,0)),"")&lt;&gt;"معتبر"),"مصوبه مادر تأیید نشده",IF(AND(L13="انجام شد",OR(NOT(AND(COUNTIFS('14-مستندات و پیوست‌ها'!$A$8:$A$1007,N13)=1,IFERROR(INDEX('14-مستندات و پیوست‌ها'!$B$8:$B$1007,MATCH(N13,'14-مستندات و پیوست‌ها'!$A$8:$A$1007,0)),"")=C13,OR(IFERROR(INDEX('14-مستندات و پیوست‌ها'!$H$8:$H$1007,MATCH(N13,'14-مستندات و پیوست‌ها'!$A$8:$A$1007,0)),"")="دریافت شده",IFERROR(INDEX('14-مستندات و پیوست‌ها'!$H$8:$H$1007,MATCH(N13,'14-مستندات و پیوست‌ها'!$A$8:$A$1007,0)),"")="فرضی"))),NOT(ISNUMBER(O13)),P13="")),"شاهد تکمیل ناقص","معتبر")))))</f>
        <v>مسئول، موعد یا معیار ناقص</v>
      </c>
      <c r="R13" s="3" t="str">
        <f>IF(A13="","",IF(NOT(ISNUMBER(J13)),"موعد ثبت نشده",IF(L13="انجام شد","اجرا گزارش شده",IF(J13&lt;'01-تنظیمات'!$B$6,"معوق","در مهلت"))))</f>
        <v>موعد ثبت نشده</v>
      </c>
      <c r="S13" s="3">
        <f>IF(A13="","",COUNTIFS('10-ارزیابی اثربخشی'!$C$8:$C$1007,A13,'10-ارزیابی اثربخشی'!$Q$8:$Q$1007,"اثربخش معتبر"))</f>
        <v>0</v>
      </c>
      <c r="T13" s="3" t="str">
        <f t="shared" si="0"/>
        <v>مسئول، موعد یا معیار ناقص</v>
      </c>
    </row>
    <row r="14" spans="1:20" ht="48" customHeight="1">
      <c r="A14" s="1" t="s">
        <v>962</v>
      </c>
      <c r="B14" s="1" t="s">
        <v>957</v>
      </c>
      <c r="C14" s="1" t="s">
        <v>77</v>
      </c>
      <c r="D14" s="1" t="s">
        <v>80</v>
      </c>
      <c r="E14" s="1" t="s">
        <v>83</v>
      </c>
      <c r="F14" s="1" t="s">
        <v>379</v>
      </c>
      <c r="G14" s="1" t="s">
        <v>958</v>
      </c>
      <c r="H14" s="1" t="s">
        <v>961</v>
      </c>
      <c r="I14" s="1">
        <v>14</v>
      </c>
      <c r="J14" s="4"/>
      <c r="K14" s="1" t="s">
        <v>714</v>
      </c>
      <c r="L14" s="1" t="s">
        <v>1103</v>
      </c>
      <c r="M14" s="1" t="s">
        <v>959</v>
      </c>
      <c r="N14" s="1"/>
      <c r="O14" s="4"/>
      <c r="P14" s="1"/>
      <c r="Q14" s="3" t="str">
        <f>IF(A14="","",IF(NOT(AND(COUNTIFS('08-برنامه اقدامات'!$A$8:$A$1007,A14)=1,AND(COUNTIFS('17-جلسات و دوره‌ها'!$A$8:$A$1007,E14)=1,IFERROR(INDEX('17-جلسات و دوره‌ها'!$B$8:$B$1007,MATCH(E14,'17-جلسات و دوره‌ها'!$A$8:$A$1007,0)),"")=C14,IFERROR(INDEX('17-جلسات و دوره‌ها'!$C$8:$C$1007,MATCH(E14,'17-جلسات و دوره‌ها'!$A$8:$A$1007,0)),"")=D14),COUNTIFS('07-تصمیمات و مصوبات'!$A$8:$A$1007,B14)=1,IFERROR(INDEX('07-تصمیمات و مصوبات'!$B$8:$B$1007,MATCH(B14,'07-تصمیمات و مصوبات'!$A$8:$A$1007,0)),"")=E14)),"رابطه تصمیم نامعتبر",IF(OR(G14="",H14="",NOT(ISNUMBER(J14)),M14=""),"مسئول، موعد یا معیار ناقص",IF(OR(IFERROR(INDEX('07-تصمیمات و مصوبات'!$L$8:$L$1007,MATCH(B14,'07-تصمیمات و مصوبات'!$A$8:$A$1007,0)),"")&lt;&gt;"تصویب",IFERROR(INDEX('07-تصمیمات و مصوبات'!$V$8:$V$1007,MATCH(B14,'07-تصمیمات و مصوبات'!$A$8:$A$1007,0)),"")="",IFERROR(INDEX('07-تصمیمات و مصوبات'!$Z$8:$Z$1007,MATCH(B14,'07-تصمیمات و مصوبات'!$A$8:$A$1007,0)),"")&lt;&gt;"معتبر"),"مصوبه مادر تأیید نشده",IF(AND(L14="انجام شد",OR(NOT(AND(COUNTIFS('14-مستندات و پیوست‌ها'!$A$8:$A$1007,N14)=1,IFERROR(INDEX('14-مستندات و پیوست‌ها'!$B$8:$B$1007,MATCH(N14,'14-مستندات و پیوست‌ها'!$A$8:$A$1007,0)),"")=C14,OR(IFERROR(INDEX('14-مستندات و پیوست‌ها'!$H$8:$H$1007,MATCH(N14,'14-مستندات و پیوست‌ها'!$A$8:$A$1007,0)),"")="دریافت شده",IFERROR(INDEX('14-مستندات و پیوست‌ها'!$H$8:$H$1007,MATCH(N14,'14-مستندات و پیوست‌ها'!$A$8:$A$1007,0)),"")="فرضی"))),NOT(ISNUMBER(O14)),P14="")),"شاهد تکمیل ناقص","معتبر")))))</f>
        <v>مسئول، موعد یا معیار ناقص</v>
      </c>
      <c r="R14" s="3" t="str">
        <f>IF(A14="","",IF(NOT(ISNUMBER(J14)),"موعد ثبت نشده",IF(L14="انجام شد","اجرا گزارش شده",IF(J14&lt;'01-تنظیمات'!$B$6,"معوق","در مهلت"))))</f>
        <v>موعد ثبت نشده</v>
      </c>
      <c r="S14" s="3">
        <f>IF(A14="","",COUNTIFS('10-ارزیابی اثربخشی'!$C$8:$C$1007,A14,'10-ارزیابی اثربخشی'!$Q$8:$Q$1007,"اثربخش معتبر"))</f>
        <v>0</v>
      </c>
      <c r="T14" s="3" t="str">
        <f t="shared" si="0"/>
        <v>مسئول، موعد یا معیار ناقص</v>
      </c>
    </row>
    <row r="15" spans="1:20" ht="36" customHeight="1">
      <c r="A15" s="1" t="s">
        <v>968</v>
      </c>
      <c r="B15" s="1" t="s">
        <v>963</v>
      </c>
      <c r="C15" s="1" t="s">
        <v>77</v>
      </c>
      <c r="D15" s="1" t="s">
        <v>80</v>
      </c>
      <c r="E15" s="1" t="s">
        <v>83</v>
      </c>
      <c r="F15" s="1" t="s">
        <v>379</v>
      </c>
      <c r="G15" s="1" t="s">
        <v>964</v>
      </c>
      <c r="H15" s="1" t="s">
        <v>967</v>
      </c>
      <c r="I15" s="1">
        <v>14</v>
      </c>
      <c r="J15" s="4"/>
      <c r="K15" s="1" t="s">
        <v>726</v>
      </c>
      <c r="L15" s="1" t="s">
        <v>1103</v>
      </c>
      <c r="M15" s="1" t="s">
        <v>965</v>
      </c>
      <c r="N15" s="1"/>
      <c r="O15" s="4"/>
      <c r="P15" s="1"/>
      <c r="Q15" s="3" t="str">
        <f>IF(A15="","",IF(NOT(AND(COUNTIFS('08-برنامه اقدامات'!$A$8:$A$1007,A15)=1,AND(COUNTIFS('17-جلسات و دوره‌ها'!$A$8:$A$1007,E15)=1,IFERROR(INDEX('17-جلسات و دوره‌ها'!$B$8:$B$1007,MATCH(E15,'17-جلسات و دوره‌ها'!$A$8:$A$1007,0)),"")=C15,IFERROR(INDEX('17-جلسات و دوره‌ها'!$C$8:$C$1007,MATCH(E15,'17-جلسات و دوره‌ها'!$A$8:$A$1007,0)),"")=D15),COUNTIFS('07-تصمیمات و مصوبات'!$A$8:$A$1007,B15)=1,IFERROR(INDEX('07-تصمیمات و مصوبات'!$B$8:$B$1007,MATCH(B15,'07-تصمیمات و مصوبات'!$A$8:$A$1007,0)),"")=E15)),"رابطه تصمیم نامعتبر",IF(OR(G15="",H15="",NOT(ISNUMBER(J15)),M15=""),"مسئول، موعد یا معیار ناقص",IF(OR(IFERROR(INDEX('07-تصمیمات و مصوبات'!$L$8:$L$1007,MATCH(B15,'07-تصمیمات و مصوبات'!$A$8:$A$1007,0)),"")&lt;&gt;"تصویب",IFERROR(INDEX('07-تصمیمات و مصوبات'!$V$8:$V$1007,MATCH(B15,'07-تصمیمات و مصوبات'!$A$8:$A$1007,0)),"")="",IFERROR(INDEX('07-تصمیمات و مصوبات'!$Z$8:$Z$1007,MATCH(B15,'07-تصمیمات و مصوبات'!$A$8:$A$1007,0)),"")&lt;&gt;"معتبر"),"مصوبه مادر تأیید نشده",IF(AND(L15="انجام شد",OR(NOT(AND(COUNTIFS('14-مستندات و پیوست‌ها'!$A$8:$A$1007,N15)=1,IFERROR(INDEX('14-مستندات و پیوست‌ها'!$B$8:$B$1007,MATCH(N15,'14-مستندات و پیوست‌ها'!$A$8:$A$1007,0)),"")=C15,OR(IFERROR(INDEX('14-مستندات و پیوست‌ها'!$H$8:$H$1007,MATCH(N15,'14-مستندات و پیوست‌ها'!$A$8:$A$1007,0)),"")="دریافت شده",IFERROR(INDEX('14-مستندات و پیوست‌ها'!$H$8:$H$1007,MATCH(N15,'14-مستندات و پیوست‌ها'!$A$8:$A$1007,0)),"")="فرضی"))),NOT(ISNUMBER(O15)),P15="")),"شاهد تکمیل ناقص","معتبر")))))</f>
        <v>مسئول، موعد یا معیار ناقص</v>
      </c>
      <c r="R15" s="3" t="str">
        <f>IF(A15="","",IF(NOT(ISNUMBER(J15)),"موعد ثبت نشده",IF(L15="انجام شد","اجرا گزارش شده",IF(J15&lt;'01-تنظیمات'!$B$6,"معوق","در مهلت"))))</f>
        <v>موعد ثبت نشده</v>
      </c>
      <c r="S15" s="3">
        <f>IF(A15="","",COUNTIFS('10-ارزیابی اثربخشی'!$C$8:$C$1007,A15,'10-ارزیابی اثربخشی'!$Q$8:$Q$1007,"اثربخش معتبر"))</f>
        <v>0</v>
      </c>
      <c r="T15" s="3" t="str">
        <f t="shared" si="0"/>
        <v>مسئول، موعد یا معیار ناقص</v>
      </c>
    </row>
    <row r="16" spans="1:20" ht="36" customHeight="1">
      <c r="A16" s="1" t="s">
        <v>974</v>
      </c>
      <c r="B16" s="1" t="s">
        <v>969</v>
      </c>
      <c r="C16" s="1" t="s">
        <v>77</v>
      </c>
      <c r="D16" s="1" t="s">
        <v>80</v>
      </c>
      <c r="E16" s="1" t="s">
        <v>83</v>
      </c>
      <c r="F16" s="1" t="s">
        <v>379</v>
      </c>
      <c r="G16" s="1" t="s">
        <v>970</v>
      </c>
      <c r="H16" s="1" t="s">
        <v>973</v>
      </c>
      <c r="I16" s="1">
        <v>21</v>
      </c>
      <c r="J16" s="4"/>
      <c r="K16" s="1" t="s">
        <v>714</v>
      </c>
      <c r="L16" s="1" t="s">
        <v>1103</v>
      </c>
      <c r="M16" s="1" t="s">
        <v>971</v>
      </c>
      <c r="N16" s="1"/>
      <c r="O16" s="4"/>
      <c r="P16" s="1"/>
      <c r="Q16" s="3" t="str">
        <f>IF(A16="","",IF(NOT(AND(COUNTIFS('08-برنامه اقدامات'!$A$8:$A$1007,A16)=1,AND(COUNTIFS('17-جلسات و دوره‌ها'!$A$8:$A$1007,E16)=1,IFERROR(INDEX('17-جلسات و دوره‌ها'!$B$8:$B$1007,MATCH(E16,'17-جلسات و دوره‌ها'!$A$8:$A$1007,0)),"")=C16,IFERROR(INDEX('17-جلسات و دوره‌ها'!$C$8:$C$1007,MATCH(E16,'17-جلسات و دوره‌ها'!$A$8:$A$1007,0)),"")=D16),COUNTIFS('07-تصمیمات و مصوبات'!$A$8:$A$1007,B16)=1,IFERROR(INDEX('07-تصمیمات و مصوبات'!$B$8:$B$1007,MATCH(B16,'07-تصمیمات و مصوبات'!$A$8:$A$1007,0)),"")=E16)),"رابطه تصمیم نامعتبر",IF(OR(G16="",H16="",NOT(ISNUMBER(J16)),M16=""),"مسئول، موعد یا معیار ناقص",IF(OR(IFERROR(INDEX('07-تصمیمات و مصوبات'!$L$8:$L$1007,MATCH(B16,'07-تصمیمات و مصوبات'!$A$8:$A$1007,0)),"")&lt;&gt;"تصویب",IFERROR(INDEX('07-تصمیمات و مصوبات'!$V$8:$V$1007,MATCH(B16,'07-تصمیمات و مصوبات'!$A$8:$A$1007,0)),"")="",IFERROR(INDEX('07-تصمیمات و مصوبات'!$Z$8:$Z$1007,MATCH(B16,'07-تصمیمات و مصوبات'!$A$8:$A$1007,0)),"")&lt;&gt;"معتبر"),"مصوبه مادر تأیید نشده",IF(AND(L16="انجام شد",OR(NOT(AND(COUNTIFS('14-مستندات و پیوست‌ها'!$A$8:$A$1007,N16)=1,IFERROR(INDEX('14-مستندات و پیوست‌ها'!$B$8:$B$1007,MATCH(N16,'14-مستندات و پیوست‌ها'!$A$8:$A$1007,0)),"")=C16,OR(IFERROR(INDEX('14-مستندات و پیوست‌ها'!$H$8:$H$1007,MATCH(N16,'14-مستندات و پیوست‌ها'!$A$8:$A$1007,0)),"")="دریافت شده",IFERROR(INDEX('14-مستندات و پیوست‌ها'!$H$8:$H$1007,MATCH(N16,'14-مستندات و پیوست‌ها'!$A$8:$A$1007,0)),"")="فرضی"))),NOT(ISNUMBER(O16)),P16="")),"شاهد تکمیل ناقص","معتبر")))))</f>
        <v>مسئول، موعد یا معیار ناقص</v>
      </c>
      <c r="R16" s="3" t="str">
        <f>IF(A16="","",IF(NOT(ISNUMBER(J16)),"موعد ثبت نشده",IF(L16="انجام شد","اجرا گزارش شده",IF(J16&lt;'01-تنظیمات'!$B$6,"معوق","در مهلت"))))</f>
        <v>موعد ثبت نشده</v>
      </c>
      <c r="S16" s="3">
        <f>IF(A16="","",COUNTIFS('10-ارزیابی اثربخشی'!$C$8:$C$1007,A16,'10-ارزیابی اثربخشی'!$Q$8:$Q$1007,"اثربخش معتبر"))</f>
        <v>0</v>
      </c>
      <c r="T16" s="3" t="str">
        <f t="shared" si="0"/>
        <v>مسئول، موعد یا معیار ناقص</v>
      </c>
    </row>
    <row r="17" spans="1:20" ht="36" customHeight="1">
      <c r="A17" s="1" t="s">
        <v>980</v>
      </c>
      <c r="B17" s="1" t="s">
        <v>975</v>
      </c>
      <c r="C17" s="1" t="s">
        <v>77</v>
      </c>
      <c r="D17" s="1" t="s">
        <v>80</v>
      </c>
      <c r="E17" s="1" t="s">
        <v>83</v>
      </c>
      <c r="F17" s="1" t="s">
        <v>379</v>
      </c>
      <c r="G17" s="1" t="s">
        <v>976</v>
      </c>
      <c r="H17" s="1" t="s">
        <v>979</v>
      </c>
      <c r="I17" s="1">
        <v>14</v>
      </c>
      <c r="J17" s="4"/>
      <c r="K17" s="1" t="s">
        <v>714</v>
      </c>
      <c r="L17" s="1" t="s">
        <v>1103</v>
      </c>
      <c r="M17" s="1" t="s">
        <v>977</v>
      </c>
      <c r="N17" s="1"/>
      <c r="O17" s="4"/>
      <c r="P17" s="1"/>
      <c r="Q17" s="3" t="str">
        <f>IF(A17="","",IF(NOT(AND(COUNTIFS('08-برنامه اقدامات'!$A$8:$A$1007,A17)=1,AND(COUNTIFS('17-جلسات و دوره‌ها'!$A$8:$A$1007,E17)=1,IFERROR(INDEX('17-جلسات و دوره‌ها'!$B$8:$B$1007,MATCH(E17,'17-جلسات و دوره‌ها'!$A$8:$A$1007,0)),"")=C17,IFERROR(INDEX('17-جلسات و دوره‌ها'!$C$8:$C$1007,MATCH(E17,'17-جلسات و دوره‌ها'!$A$8:$A$1007,0)),"")=D17),COUNTIFS('07-تصمیمات و مصوبات'!$A$8:$A$1007,B17)=1,IFERROR(INDEX('07-تصمیمات و مصوبات'!$B$8:$B$1007,MATCH(B17,'07-تصمیمات و مصوبات'!$A$8:$A$1007,0)),"")=E17)),"رابطه تصمیم نامعتبر",IF(OR(G17="",H17="",NOT(ISNUMBER(J17)),M17=""),"مسئول، موعد یا معیار ناقص",IF(OR(IFERROR(INDEX('07-تصمیمات و مصوبات'!$L$8:$L$1007,MATCH(B17,'07-تصمیمات و مصوبات'!$A$8:$A$1007,0)),"")&lt;&gt;"تصویب",IFERROR(INDEX('07-تصمیمات و مصوبات'!$V$8:$V$1007,MATCH(B17,'07-تصمیمات و مصوبات'!$A$8:$A$1007,0)),"")="",IFERROR(INDEX('07-تصمیمات و مصوبات'!$Z$8:$Z$1007,MATCH(B17,'07-تصمیمات و مصوبات'!$A$8:$A$1007,0)),"")&lt;&gt;"معتبر"),"مصوبه مادر تأیید نشده",IF(AND(L17="انجام شد",OR(NOT(AND(COUNTIFS('14-مستندات و پیوست‌ها'!$A$8:$A$1007,N17)=1,IFERROR(INDEX('14-مستندات و پیوست‌ها'!$B$8:$B$1007,MATCH(N17,'14-مستندات و پیوست‌ها'!$A$8:$A$1007,0)),"")=C17,OR(IFERROR(INDEX('14-مستندات و پیوست‌ها'!$H$8:$H$1007,MATCH(N17,'14-مستندات و پیوست‌ها'!$A$8:$A$1007,0)),"")="دریافت شده",IFERROR(INDEX('14-مستندات و پیوست‌ها'!$H$8:$H$1007,MATCH(N17,'14-مستندات و پیوست‌ها'!$A$8:$A$1007,0)),"")="فرضی"))),NOT(ISNUMBER(O17)),P17="")),"شاهد تکمیل ناقص","معتبر")))))</f>
        <v>مسئول، موعد یا معیار ناقص</v>
      </c>
      <c r="R17" s="3" t="str">
        <f>IF(A17="","",IF(NOT(ISNUMBER(J17)),"موعد ثبت نشده",IF(L17="انجام شد","اجرا گزارش شده",IF(J17&lt;'01-تنظیمات'!$B$6,"معوق","در مهلت"))))</f>
        <v>موعد ثبت نشده</v>
      </c>
      <c r="S17" s="3">
        <f>IF(A17="","",COUNTIFS('10-ارزیابی اثربخشی'!$C$8:$C$1007,A17,'10-ارزیابی اثربخشی'!$Q$8:$Q$1007,"اثربخش معتبر"))</f>
        <v>0</v>
      </c>
      <c r="T17" s="3" t="str">
        <f t="shared" si="0"/>
        <v>مسئول، موعد یا معیار ناقص</v>
      </c>
    </row>
    <row r="18" spans="1:20" ht="36" customHeight="1">
      <c r="A18" s="1" t="s">
        <v>986</v>
      </c>
      <c r="B18" s="1" t="s">
        <v>981</v>
      </c>
      <c r="C18" s="1" t="s">
        <v>77</v>
      </c>
      <c r="D18" s="1" t="s">
        <v>80</v>
      </c>
      <c r="E18" s="1" t="s">
        <v>83</v>
      </c>
      <c r="F18" s="1" t="s">
        <v>379</v>
      </c>
      <c r="G18" s="1" t="s">
        <v>982</v>
      </c>
      <c r="H18" s="1" t="s">
        <v>985</v>
      </c>
      <c r="I18" s="1">
        <v>21</v>
      </c>
      <c r="J18" s="4"/>
      <c r="K18" s="1" t="s">
        <v>714</v>
      </c>
      <c r="L18" s="1" t="s">
        <v>1103</v>
      </c>
      <c r="M18" s="1" t="s">
        <v>983</v>
      </c>
      <c r="N18" s="1"/>
      <c r="O18" s="4"/>
      <c r="P18" s="1"/>
      <c r="Q18" s="3" t="str">
        <f>IF(A18="","",IF(NOT(AND(COUNTIFS('08-برنامه اقدامات'!$A$8:$A$1007,A18)=1,AND(COUNTIFS('17-جلسات و دوره‌ها'!$A$8:$A$1007,E18)=1,IFERROR(INDEX('17-جلسات و دوره‌ها'!$B$8:$B$1007,MATCH(E18,'17-جلسات و دوره‌ها'!$A$8:$A$1007,0)),"")=C18,IFERROR(INDEX('17-جلسات و دوره‌ها'!$C$8:$C$1007,MATCH(E18,'17-جلسات و دوره‌ها'!$A$8:$A$1007,0)),"")=D18),COUNTIFS('07-تصمیمات و مصوبات'!$A$8:$A$1007,B18)=1,IFERROR(INDEX('07-تصمیمات و مصوبات'!$B$8:$B$1007,MATCH(B18,'07-تصمیمات و مصوبات'!$A$8:$A$1007,0)),"")=E18)),"رابطه تصمیم نامعتبر",IF(OR(G18="",H18="",NOT(ISNUMBER(J18)),M18=""),"مسئول، موعد یا معیار ناقص",IF(OR(IFERROR(INDEX('07-تصمیمات و مصوبات'!$L$8:$L$1007,MATCH(B18,'07-تصمیمات و مصوبات'!$A$8:$A$1007,0)),"")&lt;&gt;"تصویب",IFERROR(INDEX('07-تصمیمات و مصوبات'!$V$8:$V$1007,MATCH(B18,'07-تصمیمات و مصوبات'!$A$8:$A$1007,0)),"")="",IFERROR(INDEX('07-تصمیمات و مصوبات'!$Z$8:$Z$1007,MATCH(B18,'07-تصمیمات و مصوبات'!$A$8:$A$1007,0)),"")&lt;&gt;"معتبر"),"مصوبه مادر تأیید نشده",IF(AND(L18="انجام شد",OR(NOT(AND(COUNTIFS('14-مستندات و پیوست‌ها'!$A$8:$A$1007,N18)=1,IFERROR(INDEX('14-مستندات و پیوست‌ها'!$B$8:$B$1007,MATCH(N18,'14-مستندات و پیوست‌ها'!$A$8:$A$1007,0)),"")=C18,OR(IFERROR(INDEX('14-مستندات و پیوست‌ها'!$H$8:$H$1007,MATCH(N18,'14-مستندات و پیوست‌ها'!$A$8:$A$1007,0)),"")="دریافت شده",IFERROR(INDEX('14-مستندات و پیوست‌ها'!$H$8:$H$1007,MATCH(N18,'14-مستندات و پیوست‌ها'!$A$8:$A$1007,0)),"")="فرضی"))),NOT(ISNUMBER(O18)),P18="")),"شاهد تکمیل ناقص","معتبر")))))</f>
        <v>مسئول، موعد یا معیار ناقص</v>
      </c>
      <c r="R18" s="3" t="str">
        <f>IF(A18="","",IF(NOT(ISNUMBER(J18)),"موعد ثبت نشده",IF(L18="انجام شد","اجرا گزارش شده",IF(J18&lt;'01-تنظیمات'!$B$6,"معوق","در مهلت"))))</f>
        <v>موعد ثبت نشده</v>
      </c>
      <c r="S18" s="3">
        <f>IF(A18="","",COUNTIFS('10-ارزیابی اثربخشی'!$C$8:$C$1007,A18,'10-ارزیابی اثربخشی'!$Q$8:$Q$1007,"اثربخش معتبر"))</f>
        <v>0</v>
      </c>
      <c r="T18" s="3" t="str">
        <f t="shared" si="0"/>
        <v>مسئول، موعد یا معیار ناقص</v>
      </c>
    </row>
    <row r="19" spans="1:20" ht="36" customHeight="1">
      <c r="A19" s="1" t="s">
        <v>992</v>
      </c>
      <c r="B19" s="1" t="s">
        <v>987</v>
      </c>
      <c r="C19" s="1" t="s">
        <v>77</v>
      </c>
      <c r="D19" s="1" t="s">
        <v>80</v>
      </c>
      <c r="E19" s="1" t="s">
        <v>83</v>
      </c>
      <c r="F19" s="1" t="s">
        <v>379</v>
      </c>
      <c r="G19" s="1" t="s">
        <v>988</v>
      </c>
      <c r="H19" s="1" t="s">
        <v>991</v>
      </c>
      <c r="I19" s="1">
        <v>21</v>
      </c>
      <c r="J19" s="4"/>
      <c r="K19" s="1" t="s">
        <v>714</v>
      </c>
      <c r="L19" s="1" t="s">
        <v>1103</v>
      </c>
      <c r="M19" s="1" t="s">
        <v>989</v>
      </c>
      <c r="N19" s="1"/>
      <c r="O19" s="4"/>
      <c r="P19" s="1"/>
      <c r="Q19" s="3" t="str">
        <f>IF(A19="","",IF(NOT(AND(COUNTIFS('08-برنامه اقدامات'!$A$8:$A$1007,A19)=1,AND(COUNTIFS('17-جلسات و دوره‌ها'!$A$8:$A$1007,E19)=1,IFERROR(INDEX('17-جلسات و دوره‌ها'!$B$8:$B$1007,MATCH(E19,'17-جلسات و دوره‌ها'!$A$8:$A$1007,0)),"")=C19,IFERROR(INDEX('17-جلسات و دوره‌ها'!$C$8:$C$1007,MATCH(E19,'17-جلسات و دوره‌ها'!$A$8:$A$1007,0)),"")=D19),COUNTIFS('07-تصمیمات و مصوبات'!$A$8:$A$1007,B19)=1,IFERROR(INDEX('07-تصمیمات و مصوبات'!$B$8:$B$1007,MATCH(B19,'07-تصمیمات و مصوبات'!$A$8:$A$1007,0)),"")=E19)),"رابطه تصمیم نامعتبر",IF(OR(G19="",H19="",NOT(ISNUMBER(J19)),M19=""),"مسئول، موعد یا معیار ناقص",IF(OR(IFERROR(INDEX('07-تصمیمات و مصوبات'!$L$8:$L$1007,MATCH(B19,'07-تصمیمات و مصوبات'!$A$8:$A$1007,0)),"")&lt;&gt;"تصویب",IFERROR(INDEX('07-تصمیمات و مصوبات'!$V$8:$V$1007,MATCH(B19,'07-تصمیمات و مصوبات'!$A$8:$A$1007,0)),"")="",IFERROR(INDEX('07-تصمیمات و مصوبات'!$Z$8:$Z$1007,MATCH(B19,'07-تصمیمات و مصوبات'!$A$8:$A$1007,0)),"")&lt;&gt;"معتبر"),"مصوبه مادر تأیید نشده",IF(AND(L19="انجام شد",OR(NOT(AND(COUNTIFS('14-مستندات و پیوست‌ها'!$A$8:$A$1007,N19)=1,IFERROR(INDEX('14-مستندات و پیوست‌ها'!$B$8:$B$1007,MATCH(N19,'14-مستندات و پیوست‌ها'!$A$8:$A$1007,0)),"")=C19,OR(IFERROR(INDEX('14-مستندات و پیوست‌ها'!$H$8:$H$1007,MATCH(N19,'14-مستندات و پیوست‌ها'!$A$8:$A$1007,0)),"")="دریافت شده",IFERROR(INDEX('14-مستندات و پیوست‌ها'!$H$8:$H$1007,MATCH(N19,'14-مستندات و پیوست‌ها'!$A$8:$A$1007,0)),"")="فرضی"))),NOT(ISNUMBER(O19)),P19="")),"شاهد تکمیل ناقص","معتبر")))))</f>
        <v>مسئول، موعد یا معیار ناقص</v>
      </c>
      <c r="R19" s="3" t="str">
        <f>IF(A19="","",IF(NOT(ISNUMBER(J19)),"موعد ثبت نشده",IF(L19="انجام شد","اجرا گزارش شده",IF(J19&lt;'01-تنظیمات'!$B$6,"معوق","در مهلت"))))</f>
        <v>موعد ثبت نشده</v>
      </c>
      <c r="S19" s="3">
        <f>IF(A19="","",COUNTIFS('10-ارزیابی اثربخشی'!$C$8:$C$1007,A19,'10-ارزیابی اثربخشی'!$Q$8:$Q$1007,"اثربخش معتبر"))</f>
        <v>0</v>
      </c>
      <c r="T19" s="3" t="str">
        <f t="shared" si="0"/>
        <v>مسئول، موعد یا معیار ناقص</v>
      </c>
    </row>
    <row r="20" spans="1:20" ht="36" customHeight="1">
      <c r="A20" s="1" t="s">
        <v>998</v>
      </c>
      <c r="B20" s="1" t="s">
        <v>993</v>
      </c>
      <c r="C20" s="1" t="s">
        <v>77</v>
      </c>
      <c r="D20" s="1" t="s">
        <v>80</v>
      </c>
      <c r="E20" s="1" t="s">
        <v>83</v>
      </c>
      <c r="F20" s="1" t="s">
        <v>379</v>
      </c>
      <c r="G20" s="1" t="s">
        <v>994</v>
      </c>
      <c r="H20" s="1" t="s">
        <v>997</v>
      </c>
      <c r="I20" s="1">
        <v>30</v>
      </c>
      <c r="J20" s="4"/>
      <c r="K20" s="1" t="s">
        <v>726</v>
      </c>
      <c r="L20" s="1" t="s">
        <v>1103</v>
      </c>
      <c r="M20" s="1" t="s">
        <v>995</v>
      </c>
      <c r="N20" s="1"/>
      <c r="O20" s="4"/>
      <c r="P20" s="1"/>
      <c r="Q20" s="3" t="str">
        <f>IF(A20="","",IF(NOT(AND(COUNTIFS('08-برنامه اقدامات'!$A$8:$A$1007,A20)=1,AND(COUNTIFS('17-جلسات و دوره‌ها'!$A$8:$A$1007,E20)=1,IFERROR(INDEX('17-جلسات و دوره‌ها'!$B$8:$B$1007,MATCH(E20,'17-جلسات و دوره‌ها'!$A$8:$A$1007,0)),"")=C20,IFERROR(INDEX('17-جلسات و دوره‌ها'!$C$8:$C$1007,MATCH(E20,'17-جلسات و دوره‌ها'!$A$8:$A$1007,0)),"")=D20),COUNTIFS('07-تصمیمات و مصوبات'!$A$8:$A$1007,B20)=1,IFERROR(INDEX('07-تصمیمات و مصوبات'!$B$8:$B$1007,MATCH(B20,'07-تصمیمات و مصوبات'!$A$8:$A$1007,0)),"")=E20)),"رابطه تصمیم نامعتبر",IF(OR(G20="",H20="",NOT(ISNUMBER(J20)),M20=""),"مسئول، موعد یا معیار ناقص",IF(OR(IFERROR(INDEX('07-تصمیمات و مصوبات'!$L$8:$L$1007,MATCH(B20,'07-تصمیمات و مصوبات'!$A$8:$A$1007,0)),"")&lt;&gt;"تصویب",IFERROR(INDEX('07-تصمیمات و مصوبات'!$V$8:$V$1007,MATCH(B20,'07-تصمیمات و مصوبات'!$A$8:$A$1007,0)),"")="",IFERROR(INDEX('07-تصمیمات و مصوبات'!$Z$8:$Z$1007,MATCH(B20,'07-تصمیمات و مصوبات'!$A$8:$A$1007,0)),"")&lt;&gt;"معتبر"),"مصوبه مادر تأیید نشده",IF(AND(L20="انجام شد",OR(NOT(AND(COUNTIFS('14-مستندات و پیوست‌ها'!$A$8:$A$1007,N20)=1,IFERROR(INDEX('14-مستندات و پیوست‌ها'!$B$8:$B$1007,MATCH(N20,'14-مستندات و پیوست‌ها'!$A$8:$A$1007,0)),"")=C20,OR(IFERROR(INDEX('14-مستندات و پیوست‌ها'!$H$8:$H$1007,MATCH(N20,'14-مستندات و پیوست‌ها'!$A$8:$A$1007,0)),"")="دریافت شده",IFERROR(INDEX('14-مستندات و پیوست‌ها'!$H$8:$H$1007,MATCH(N20,'14-مستندات و پیوست‌ها'!$A$8:$A$1007,0)),"")="فرضی"))),NOT(ISNUMBER(O20)),P20="")),"شاهد تکمیل ناقص","معتبر")))))</f>
        <v>مسئول، موعد یا معیار ناقص</v>
      </c>
      <c r="R20" s="3" t="str">
        <f>IF(A20="","",IF(NOT(ISNUMBER(J20)),"موعد ثبت نشده",IF(L20="انجام شد","اجرا گزارش شده",IF(J20&lt;'01-تنظیمات'!$B$6,"معوق","در مهلت"))))</f>
        <v>موعد ثبت نشده</v>
      </c>
      <c r="S20" s="3">
        <f>IF(A20="","",COUNTIFS('10-ارزیابی اثربخشی'!$C$8:$C$1007,A20,'10-ارزیابی اثربخشی'!$Q$8:$Q$1007,"اثربخش معتبر"))</f>
        <v>0</v>
      </c>
      <c r="T20" s="3" t="str">
        <f t="shared" si="0"/>
        <v>مسئول، موعد یا معیار ناقص</v>
      </c>
    </row>
    <row r="21" spans="1:20" ht="36" customHeight="1">
      <c r="A21" s="1" t="s">
        <v>1004</v>
      </c>
      <c r="B21" s="1" t="s">
        <v>999</v>
      </c>
      <c r="C21" s="1" t="s">
        <v>77</v>
      </c>
      <c r="D21" s="1" t="s">
        <v>80</v>
      </c>
      <c r="E21" s="1" t="s">
        <v>83</v>
      </c>
      <c r="F21" s="1" t="s">
        <v>379</v>
      </c>
      <c r="G21" s="1" t="s">
        <v>1000</v>
      </c>
      <c r="H21" s="1" t="s">
        <v>1003</v>
      </c>
      <c r="I21" s="1">
        <v>21</v>
      </c>
      <c r="J21" s="4"/>
      <c r="K21" s="1" t="s">
        <v>714</v>
      </c>
      <c r="L21" s="1" t="s">
        <v>1103</v>
      </c>
      <c r="M21" s="1" t="s">
        <v>1001</v>
      </c>
      <c r="N21" s="1"/>
      <c r="O21" s="4"/>
      <c r="P21" s="1"/>
      <c r="Q21" s="3" t="str">
        <f>IF(A21="","",IF(NOT(AND(COUNTIFS('08-برنامه اقدامات'!$A$8:$A$1007,A21)=1,AND(COUNTIFS('17-جلسات و دوره‌ها'!$A$8:$A$1007,E21)=1,IFERROR(INDEX('17-جلسات و دوره‌ها'!$B$8:$B$1007,MATCH(E21,'17-جلسات و دوره‌ها'!$A$8:$A$1007,0)),"")=C21,IFERROR(INDEX('17-جلسات و دوره‌ها'!$C$8:$C$1007,MATCH(E21,'17-جلسات و دوره‌ها'!$A$8:$A$1007,0)),"")=D21),COUNTIFS('07-تصمیمات و مصوبات'!$A$8:$A$1007,B21)=1,IFERROR(INDEX('07-تصمیمات و مصوبات'!$B$8:$B$1007,MATCH(B21,'07-تصمیمات و مصوبات'!$A$8:$A$1007,0)),"")=E21)),"رابطه تصمیم نامعتبر",IF(OR(G21="",H21="",NOT(ISNUMBER(J21)),M21=""),"مسئول، موعد یا معیار ناقص",IF(OR(IFERROR(INDEX('07-تصمیمات و مصوبات'!$L$8:$L$1007,MATCH(B21,'07-تصمیمات و مصوبات'!$A$8:$A$1007,0)),"")&lt;&gt;"تصویب",IFERROR(INDEX('07-تصمیمات و مصوبات'!$V$8:$V$1007,MATCH(B21,'07-تصمیمات و مصوبات'!$A$8:$A$1007,0)),"")="",IFERROR(INDEX('07-تصمیمات و مصوبات'!$Z$8:$Z$1007,MATCH(B21,'07-تصمیمات و مصوبات'!$A$8:$A$1007,0)),"")&lt;&gt;"معتبر"),"مصوبه مادر تأیید نشده",IF(AND(L21="انجام شد",OR(NOT(AND(COUNTIFS('14-مستندات و پیوست‌ها'!$A$8:$A$1007,N21)=1,IFERROR(INDEX('14-مستندات و پیوست‌ها'!$B$8:$B$1007,MATCH(N21,'14-مستندات و پیوست‌ها'!$A$8:$A$1007,0)),"")=C21,OR(IFERROR(INDEX('14-مستندات و پیوست‌ها'!$H$8:$H$1007,MATCH(N21,'14-مستندات و پیوست‌ها'!$A$8:$A$1007,0)),"")="دریافت شده",IFERROR(INDEX('14-مستندات و پیوست‌ها'!$H$8:$H$1007,MATCH(N21,'14-مستندات و پیوست‌ها'!$A$8:$A$1007,0)),"")="فرضی"))),NOT(ISNUMBER(O21)),P21="")),"شاهد تکمیل ناقص","معتبر")))))</f>
        <v>مسئول، موعد یا معیار ناقص</v>
      </c>
      <c r="R21" s="3" t="str">
        <f>IF(A21="","",IF(NOT(ISNUMBER(J21)),"موعد ثبت نشده",IF(L21="انجام شد","اجرا گزارش شده",IF(J21&lt;'01-تنظیمات'!$B$6,"معوق","در مهلت"))))</f>
        <v>موعد ثبت نشده</v>
      </c>
      <c r="S21" s="3">
        <f>IF(A21="","",COUNTIFS('10-ارزیابی اثربخشی'!$C$8:$C$1007,A21,'10-ارزیابی اثربخشی'!$Q$8:$Q$1007,"اثربخش معتبر"))</f>
        <v>0</v>
      </c>
      <c r="T21" s="3" t="str">
        <f t="shared" si="0"/>
        <v>مسئول، موعد یا معیار ناقص</v>
      </c>
    </row>
    <row r="22" spans="1:20" ht="36" customHeight="1">
      <c r="A22" s="1" t="s">
        <v>1010</v>
      </c>
      <c r="B22" s="1" t="s">
        <v>1005</v>
      </c>
      <c r="C22" s="1" t="s">
        <v>77</v>
      </c>
      <c r="D22" s="1" t="s">
        <v>80</v>
      </c>
      <c r="E22" s="1" t="s">
        <v>83</v>
      </c>
      <c r="F22" s="1" t="s">
        <v>379</v>
      </c>
      <c r="G22" s="1" t="s">
        <v>1006</v>
      </c>
      <c r="H22" s="1" t="s">
        <v>1009</v>
      </c>
      <c r="I22" s="1">
        <v>21</v>
      </c>
      <c r="J22" s="4"/>
      <c r="K22" s="1" t="s">
        <v>726</v>
      </c>
      <c r="L22" s="1" t="s">
        <v>1103</v>
      </c>
      <c r="M22" s="1" t="s">
        <v>1007</v>
      </c>
      <c r="N22" s="1"/>
      <c r="O22" s="4"/>
      <c r="P22" s="1"/>
      <c r="Q22" s="3" t="str">
        <f>IF(A22="","",IF(NOT(AND(COUNTIFS('08-برنامه اقدامات'!$A$8:$A$1007,A22)=1,AND(COUNTIFS('17-جلسات و دوره‌ها'!$A$8:$A$1007,E22)=1,IFERROR(INDEX('17-جلسات و دوره‌ها'!$B$8:$B$1007,MATCH(E22,'17-جلسات و دوره‌ها'!$A$8:$A$1007,0)),"")=C22,IFERROR(INDEX('17-جلسات و دوره‌ها'!$C$8:$C$1007,MATCH(E22,'17-جلسات و دوره‌ها'!$A$8:$A$1007,0)),"")=D22),COUNTIFS('07-تصمیمات و مصوبات'!$A$8:$A$1007,B22)=1,IFERROR(INDEX('07-تصمیمات و مصوبات'!$B$8:$B$1007,MATCH(B22,'07-تصمیمات و مصوبات'!$A$8:$A$1007,0)),"")=E22)),"رابطه تصمیم نامعتبر",IF(OR(G22="",H22="",NOT(ISNUMBER(J22)),M22=""),"مسئول، موعد یا معیار ناقص",IF(OR(IFERROR(INDEX('07-تصمیمات و مصوبات'!$L$8:$L$1007,MATCH(B22,'07-تصمیمات و مصوبات'!$A$8:$A$1007,0)),"")&lt;&gt;"تصویب",IFERROR(INDEX('07-تصمیمات و مصوبات'!$V$8:$V$1007,MATCH(B22,'07-تصمیمات و مصوبات'!$A$8:$A$1007,0)),"")="",IFERROR(INDEX('07-تصمیمات و مصوبات'!$Z$8:$Z$1007,MATCH(B22,'07-تصمیمات و مصوبات'!$A$8:$A$1007,0)),"")&lt;&gt;"معتبر"),"مصوبه مادر تأیید نشده",IF(AND(L22="انجام شد",OR(NOT(AND(COUNTIFS('14-مستندات و پیوست‌ها'!$A$8:$A$1007,N22)=1,IFERROR(INDEX('14-مستندات و پیوست‌ها'!$B$8:$B$1007,MATCH(N22,'14-مستندات و پیوست‌ها'!$A$8:$A$1007,0)),"")=C22,OR(IFERROR(INDEX('14-مستندات و پیوست‌ها'!$H$8:$H$1007,MATCH(N22,'14-مستندات و پیوست‌ها'!$A$8:$A$1007,0)),"")="دریافت شده",IFERROR(INDEX('14-مستندات و پیوست‌ها'!$H$8:$H$1007,MATCH(N22,'14-مستندات و پیوست‌ها'!$A$8:$A$1007,0)),"")="فرضی"))),NOT(ISNUMBER(O22)),P22="")),"شاهد تکمیل ناقص","معتبر")))))</f>
        <v>مسئول، موعد یا معیار ناقص</v>
      </c>
      <c r="R22" s="3" t="str">
        <f>IF(A22="","",IF(NOT(ISNUMBER(J22)),"موعد ثبت نشده",IF(L22="انجام شد","اجرا گزارش شده",IF(J22&lt;'01-تنظیمات'!$B$6,"معوق","در مهلت"))))</f>
        <v>موعد ثبت نشده</v>
      </c>
      <c r="S22" s="3">
        <f>IF(A22="","",COUNTIFS('10-ارزیابی اثربخشی'!$C$8:$C$1007,A22,'10-ارزیابی اثربخشی'!$Q$8:$Q$1007,"اثربخش معتبر"))</f>
        <v>0</v>
      </c>
      <c r="T22" s="3" t="str">
        <f t="shared" si="0"/>
        <v>مسئول، موعد یا معیار ناقص</v>
      </c>
    </row>
    <row r="23" spans="1:20" ht="36" customHeight="1">
      <c r="A23" s="1" t="s">
        <v>1016</v>
      </c>
      <c r="B23" s="1" t="s">
        <v>1011</v>
      </c>
      <c r="C23" s="1" t="s">
        <v>77</v>
      </c>
      <c r="D23" s="1" t="s">
        <v>80</v>
      </c>
      <c r="E23" s="1" t="s">
        <v>83</v>
      </c>
      <c r="F23" s="1" t="s">
        <v>379</v>
      </c>
      <c r="G23" s="1" t="s">
        <v>1012</v>
      </c>
      <c r="H23" s="1" t="s">
        <v>1015</v>
      </c>
      <c r="I23" s="1">
        <v>45</v>
      </c>
      <c r="J23" s="4"/>
      <c r="K23" s="1" t="s">
        <v>726</v>
      </c>
      <c r="L23" s="1" t="s">
        <v>1103</v>
      </c>
      <c r="M23" s="1" t="s">
        <v>1013</v>
      </c>
      <c r="N23" s="1"/>
      <c r="O23" s="4"/>
      <c r="P23" s="1"/>
      <c r="Q23" s="3" t="str">
        <f>IF(A23="","",IF(NOT(AND(COUNTIFS('08-برنامه اقدامات'!$A$8:$A$1007,A23)=1,AND(COUNTIFS('17-جلسات و دوره‌ها'!$A$8:$A$1007,E23)=1,IFERROR(INDEX('17-جلسات و دوره‌ها'!$B$8:$B$1007,MATCH(E23,'17-جلسات و دوره‌ها'!$A$8:$A$1007,0)),"")=C23,IFERROR(INDEX('17-جلسات و دوره‌ها'!$C$8:$C$1007,MATCH(E23,'17-جلسات و دوره‌ها'!$A$8:$A$1007,0)),"")=D23),COUNTIFS('07-تصمیمات و مصوبات'!$A$8:$A$1007,B23)=1,IFERROR(INDEX('07-تصمیمات و مصوبات'!$B$8:$B$1007,MATCH(B23,'07-تصمیمات و مصوبات'!$A$8:$A$1007,0)),"")=E23)),"رابطه تصمیم نامعتبر",IF(OR(G23="",H23="",NOT(ISNUMBER(J23)),M23=""),"مسئول، موعد یا معیار ناقص",IF(OR(IFERROR(INDEX('07-تصمیمات و مصوبات'!$L$8:$L$1007,MATCH(B23,'07-تصمیمات و مصوبات'!$A$8:$A$1007,0)),"")&lt;&gt;"تصویب",IFERROR(INDEX('07-تصمیمات و مصوبات'!$V$8:$V$1007,MATCH(B23,'07-تصمیمات و مصوبات'!$A$8:$A$1007,0)),"")="",IFERROR(INDEX('07-تصمیمات و مصوبات'!$Z$8:$Z$1007,MATCH(B23,'07-تصمیمات و مصوبات'!$A$8:$A$1007,0)),"")&lt;&gt;"معتبر"),"مصوبه مادر تأیید نشده",IF(AND(L23="انجام شد",OR(NOT(AND(COUNTIFS('14-مستندات و پیوست‌ها'!$A$8:$A$1007,N23)=1,IFERROR(INDEX('14-مستندات و پیوست‌ها'!$B$8:$B$1007,MATCH(N23,'14-مستندات و پیوست‌ها'!$A$8:$A$1007,0)),"")=C23,OR(IFERROR(INDEX('14-مستندات و پیوست‌ها'!$H$8:$H$1007,MATCH(N23,'14-مستندات و پیوست‌ها'!$A$8:$A$1007,0)),"")="دریافت شده",IFERROR(INDEX('14-مستندات و پیوست‌ها'!$H$8:$H$1007,MATCH(N23,'14-مستندات و پیوست‌ها'!$A$8:$A$1007,0)),"")="فرضی"))),NOT(ISNUMBER(O23)),P23="")),"شاهد تکمیل ناقص","معتبر")))))</f>
        <v>مسئول، موعد یا معیار ناقص</v>
      </c>
      <c r="R23" s="3" t="str">
        <f>IF(A23="","",IF(NOT(ISNUMBER(J23)),"موعد ثبت نشده",IF(L23="انجام شد","اجرا گزارش شده",IF(J23&lt;'01-تنظیمات'!$B$6,"معوق","در مهلت"))))</f>
        <v>موعد ثبت نشده</v>
      </c>
      <c r="S23" s="3">
        <f>IF(A23="","",COUNTIFS('10-ارزیابی اثربخشی'!$C$8:$C$1007,A23,'10-ارزیابی اثربخشی'!$Q$8:$Q$1007,"اثربخش معتبر"))</f>
        <v>0</v>
      </c>
      <c r="T23" s="3" t="str">
        <f t="shared" si="0"/>
        <v>مسئول، موعد یا معیار ناقص</v>
      </c>
    </row>
    <row r="24" spans="1:20" ht="36" customHeight="1">
      <c r="A24" s="1" t="s">
        <v>1022</v>
      </c>
      <c r="B24" s="1" t="s">
        <v>1017</v>
      </c>
      <c r="C24" s="1" t="s">
        <v>77</v>
      </c>
      <c r="D24" s="1" t="s">
        <v>80</v>
      </c>
      <c r="E24" s="1" t="s">
        <v>83</v>
      </c>
      <c r="F24" s="1" t="s">
        <v>379</v>
      </c>
      <c r="G24" s="1" t="s">
        <v>1018</v>
      </c>
      <c r="H24" s="1" t="s">
        <v>1021</v>
      </c>
      <c r="I24" s="1">
        <v>21</v>
      </c>
      <c r="J24" s="4"/>
      <c r="K24" s="1" t="s">
        <v>726</v>
      </c>
      <c r="L24" s="1" t="s">
        <v>1103</v>
      </c>
      <c r="M24" s="1" t="s">
        <v>1019</v>
      </c>
      <c r="N24" s="1"/>
      <c r="O24" s="4"/>
      <c r="P24" s="1"/>
      <c r="Q24" s="3" t="str">
        <f>IF(A24="","",IF(NOT(AND(COUNTIFS('08-برنامه اقدامات'!$A$8:$A$1007,A24)=1,AND(COUNTIFS('17-جلسات و دوره‌ها'!$A$8:$A$1007,E24)=1,IFERROR(INDEX('17-جلسات و دوره‌ها'!$B$8:$B$1007,MATCH(E24,'17-جلسات و دوره‌ها'!$A$8:$A$1007,0)),"")=C24,IFERROR(INDEX('17-جلسات و دوره‌ها'!$C$8:$C$1007,MATCH(E24,'17-جلسات و دوره‌ها'!$A$8:$A$1007,0)),"")=D24),COUNTIFS('07-تصمیمات و مصوبات'!$A$8:$A$1007,B24)=1,IFERROR(INDEX('07-تصمیمات و مصوبات'!$B$8:$B$1007,MATCH(B24,'07-تصمیمات و مصوبات'!$A$8:$A$1007,0)),"")=E24)),"رابطه تصمیم نامعتبر",IF(OR(G24="",H24="",NOT(ISNUMBER(J24)),M24=""),"مسئول، موعد یا معیار ناقص",IF(OR(IFERROR(INDEX('07-تصمیمات و مصوبات'!$L$8:$L$1007,MATCH(B24,'07-تصمیمات و مصوبات'!$A$8:$A$1007,0)),"")&lt;&gt;"تصویب",IFERROR(INDEX('07-تصمیمات و مصوبات'!$V$8:$V$1007,MATCH(B24,'07-تصمیمات و مصوبات'!$A$8:$A$1007,0)),"")="",IFERROR(INDEX('07-تصمیمات و مصوبات'!$Z$8:$Z$1007,MATCH(B24,'07-تصمیمات و مصوبات'!$A$8:$A$1007,0)),"")&lt;&gt;"معتبر"),"مصوبه مادر تأیید نشده",IF(AND(L24="انجام شد",OR(NOT(AND(COUNTIFS('14-مستندات و پیوست‌ها'!$A$8:$A$1007,N24)=1,IFERROR(INDEX('14-مستندات و پیوست‌ها'!$B$8:$B$1007,MATCH(N24,'14-مستندات و پیوست‌ها'!$A$8:$A$1007,0)),"")=C24,OR(IFERROR(INDEX('14-مستندات و پیوست‌ها'!$H$8:$H$1007,MATCH(N24,'14-مستندات و پیوست‌ها'!$A$8:$A$1007,0)),"")="دریافت شده",IFERROR(INDEX('14-مستندات و پیوست‌ها'!$H$8:$H$1007,MATCH(N24,'14-مستندات و پیوست‌ها'!$A$8:$A$1007,0)),"")="فرضی"))),NOT(ISNUMBER(O24)),P24="")),"شاهد تکمیل ناقص","معتبر")))))</f>
        <v>مسئول، موعد یا معیار ناقص</v>
      </c>
      <c r="R24" s="3" t="str">
        <f>IF(A24="","",IF(NOT(ISNUMBER(J24)),"موعد ثبت نشده",IF(L24="انجام شد","اجرا گزارش شده",IF(J24&lt;'01-تنظیمات'!$B$6,"معوق","در مهلت"))))</f>
        <v>موعد ثبت نشده</v>
      </c>
      <c r="S24" s="3">
        <f>IF(A24="","",COUNTIFS('10-ارزیابی اثربخشی'!$C$8:$C$1007,A24,'10-ارزیابی اثربخشی'!$Q$8:$Q$1007,"اثربخش معتبر"))</f>
        <v>0</v>
      </c>
      <c r="T24" s="3" t="str">
        <f t="shared" si="0"/>
        <v>مسئول، موعد یا معیار ناقص</v>
      </c>
    </row>
    <row r="25" spans="1:20" ht="36" customHeight="1">
      <c r="A25" s="1" t="s">
        <v>1028</v>
      </c>
      <c r="B25" s="1" t="s">
        <v>1023</v>
      </c>
      <c r="C25" s="1" t="s">
        <v>77</v>
      </c>
      <c r="D25" s="1" t="s">
        <v>80</v>
      </c>
      <c r="E25" s="1" t="s">
        <v>83</v>
      </c>
      <c r="F25" s="1" t="s">
        <v>379</v>
      </c>
      <c r="G25" s="1" t="s">
        <v>1024</v>
      </c>
      <c r="H25" s="1" t="s">
        <v>1027</v>
      </c>
      <c r="I25" s="1">
        <v>30</v>
      </c>
      <c r="J25" s="4"/>
      <c r="K25" s="1" t="s">
        <v>714</v>
      </c>
      <c r="L25" s="1" t="s">
        <v>1103</v>
      </c>
      <c r="M25" s="1" t="s">
        <v>1025</v>
      </c>
      <c r="N25" s="1"/>
      <c r="O25" s="4"/>
      <c r="P25" s="1"/>
      <c r="Q25" s="3" t="str">
        <f>IF(A25="","",IF(NOT(AND(COUNTIFS('08-برنامه اقدامات'!$A$8:$A$1007,A25)=1,AND(COUNTIFS('17-جلسات و دوره‌ها'!$A$8:$A$1007,E25)=1,IFERROR(INDEX('17-جلسات و دوره‌ها'!$B$8:$B$1007,MATCH(E25,'17-جلسات و دوره‌ها'!$A$8:$A$1007,0)),"")=C25,IFERROR(INDEX('17-جلسات و دوره‌ها'!$C$8:$C$1007,MATCH(E25,'17-جلسات و دوره‌ها'!$A$8:$A$1007,0)),"")=D25),COUNTIFS('07-تصمیمات و مصوبات'!$A$8:$A$1007,B25)=1,IFERROR(INDEX('07-تصمیمات و مصوبات'!$B$8:$B$1007,MATCH(B25,'07-تصمیمات و مصوبات'!$A$8:$A$1007,0)),"")=E25)),"رابطه تصمیم نامعتبر",IF(OR(G25="",H25="",NOT(ISNUMBER(J25)),M25=""),"مسئول، موعد یا معیار ناقص",IF(OR(IFERROR(INDEX('07-تصمیمات و مصوبات'!$L$8:$L$1007,MATCH(B25,'07-تصمیمات و مصوبات'!$A$8:$A$1007,0)),"")&lt;&gt;"تصویب",IFERROR(INDEX('07-تصمیمات و مصوبات'!$V$8:$V$1007,MATCH(B25,'07-تصمیمات و مصوبات'!$A$8:$A$1007,0)),"")="",IFERROR(INDEX('07-تصمیمات و مصوبات'!$Z$8:$Z$1007,MATCH(B25,'07-تصمیمات و مصوبات'!$A$8:$A$1007,0)),"")&lt;&gt;"معتبر"),"مصوبه مادر تأیید نشده",IF(AND(L25="انجام شد",OR(NOT(AND(COUNTIFS('14-مستندات و پیوست‌ها'!$A$8:$A$1007,N25)=1,IFERROR(INDEX('14-مستندات و پیوست‌ها'!$B$8:$B$1007,MATCH(N25,'14-مستندات و پیوست‌ها'!$A$8:$A$1007,0)),"")=C25,OR(IFERROR(INDEX('14-مستندات و پیوست‌ها'!$H$8:$H$1007,MATCH(N25,'14-مستندات و پیوست‌ها'!$A$8:$A$1007,0)),"")="دریافت شده",IFERROR(INDEX('14-مستندات و پیوست‌ها'!$H$8:$H$1007,MATCH(N25,'14-مستندات و پیوست‌ها'!$A$8:$A$1007,0)),"")="فرضی"))),NOT(ISNUMBER(O25)),P25="")),"شاهد تکمیل ناقص","معتبر")))))</f>
        <v>مسئول، موعد یا معیار ناقص</v>
      </c>
      <c r="R25" s="3" t="str">
        <f>IF(A25="","",IF(NOT(ISNUMBER(J25)),"موعد ثبت نشده",IF(L25="انجام شد","اجرا گزارش شده",IF(J25&lt;'01-تنظیمات'!$B$6,"معوق","در مهلت"))))</f>
        <v>موعد ثبت نشده</v>
      </c>
      <c r="S25" s="3">
        <f>IF(A25="","",COUNTIFS('10-ارزیابی اثربخشی'!$C$8:$C$1007,A25,'10-ارزیابی اثربخشی'!$Q$8:$Q$1007,"اثربخش معتبر"))</f>
        <v>0</v>
      </c>
      <c r="T25" s="3" t="str">
        <f t="shared" si="0"/>
        <v>مسئول، موعد یا معیار ناقص</v>
      </c>
    </row>
    <row r="26" spans="1:20" ht="36" customHeight="1">
      <c r="A26" s="1" t="s">
        <v>1034</v>
      </c>
      <c r="B26" s="1" t="s">
        <v>1029</v>
      </c>
      <c r="C26" s="1" t="s">
        <v>77</v>
      </c>
      <c r="D26" s="1" t="s">
        <v>80</v>
      </c>
      <c r="E26" s="1" t="s">
        <v>83</v>
      </c>
      <c r="F26" s="1" t="s">
        <v>379</v>
      </c>
      <c r="G26" s="1" t="s">
        <v>1030</v>
      </c>
      <c r="H26" s="1" t="s">
        <v>1033</v>
      </c>
      <c r="I26" s="1">
        <v>21</v>
      </c>
      <c r="J26" s="4"/>
      <c r="K26" s="1" t="s">
        <v>726</v>
      </c>
      <c r="L26" s="1" t="s">
        <v>1103</v>
      </c>
      <c r="M26" s="1" t="s">
        <v>1031</v>
      </c>
      <c r="N26" s="1"/>
      <c r="O26" s="4"/>
      <c r="P26" s="1"/>
      <c r="Q26" s="3" t="str">
        <f>IF(A26="","",IF(NOT(AND(COUNTIFS('08-برنامه اقدامات'!$A$8:$A$1007,A26)=1,AND(COUNTIFS('17-جلسات و دوره‌ها'!$A$8:$A$1007,E26)=1,IFERROR(INDEX('17-جلسات و دوره‌ها'!$B$8:$B$1007,MATCH(E26,'17-جلسات و دوره‌ها'!$A$8:$A$1007,0)),"")=C26,IFERROR(INDEX('17-جلسات و دوره‌ها'!$C$8:$C$1007,MATCH(E26,'17-جلسات و دوره‌ها'!$A$8:$A$1007,0)),"")=D26),COUNTIFS('07-تصمیمات و مصوبات'!$A$8:$A$1007,B26)=1,IFERROR(INDEX('07-تصمیمات و مصوبات'!$B$8:$B$1007,MATCH(B26,'07-تصمیمات و مصوبات'!$A$8:$A$1007,0)),"")=E26)),"رابطه تصمیم نامعتبر",IF(OR(G26="",H26="",NOT(ISNUMBER(J26)),M26=""),"مسئول، موعد یا معیار ناقص",IF(OR(IFERROR(INDEX('07-تصمیمات و مصوبات'!$L$8:$L$1007,MATCH(B26,'07-تصمیمات و مصوبات'!$A$8:$A$1007,0)),"")&lt;&gt;"تصویب",IFERROR(INDEX('07-تصمیمات و مصوبات'!$V$8:$V$1007,MATCH(B26,'07-تصمیمات و مصوبات'!$A$8:$A$1007,0)),"")="",IFERROR(INDEX('07-تصمیمات و مصوبات'!$Z$8:$Z$1007,MATCH(B26,'07-تصمیمات و مصوبات'!$A$8:$A$1007,0)),"")&lt;&gt;"معتبر"),"مصوبه مادر تأیید نشده",IF(AND(L26="انجام شد",OR(NOT(AND(COUNTIFS('14-مستندات و پیوست‌ها'!$A$8:$A$1007,N26)=1,IFERROR(INDEX('14-مستندات و پیوست‌ها'!$B$8:$B$1007,MATCH(N26,'14-مستندات و پیوست‌ها'!$A$8:$A$1007,0)),"")=C26,OR(IFERROR(INDEX('14-مستندات و پیوست‌ها'!$H$8:$H$1007,MATCH(N26,'14-مستندات و پیوست‌ها'!$A$8:$A$1007,0)),"")="دریافت شده",IFERROR(INDEX('14-مستندات و پیوست‌ها'!$H$8:$H$1007,MATCH(N26,'14-مستندات و پیوست‌ها'!$A$8:$A$1007,0)),"")="فرضی"))),NOT(ISNUMBER(O26)),P26="")),"شاهد تکمیل ناقص","معتبر")))))</f>
        <v>مسئول، موعد یا معیار ناقص</v>
      </c>
      <c r="R26" s="3" t="str">
        <f>IF(A26="","",IF(NOT(ISNUMBER(J26)),"موعد ثبت نشده",IF(L26="انجام شد","اجرا گزارش شده",IF(J26&lt;'01-تنظیمات'!$B$6,"معوق","در مهلت"))))</f>
        <v>موعد ثبت نشده</v>
      </c>
      <c r="S26" s="3">
        <f>IF(A26="","",COUNTIFS('10-ارزیابی اثربخشی'!$C$8:$C$1007,A26,'10-ارزیابی اثربخشی'!$Q$8:$Q$1007,"اثربخش معتبر"))</f>
        <v>0</v>
      </c>
      <c r="T26" s="3" t="str">
        <f t="shared" si="0"/>
        <v>مسئول، موعد یا معیار ناقص</v>
      </c>
    </row>
    <row r="27" spans="1:20" ht="36" customHeight="1">
      <c r="A27" s="1" t="s">
        <v>1040</v>
      </c>
      <c r="B27" s="1" t="s">
        <v>1035</v>
      </c>
      <c r="C27" s="1" t="s">
        <v>77</v>
      </c>
      <c r="D27" s="1" t="s">
        <v>80</v>
      </c>
      <c r="E27" s="1" t="s">
        <v>83</v>
      </c>
      <c r="F27" s="1" t="s">
        <v>379</v>
      </c>
      <c r="G27" s="1" t="s">
        <v>1036</v>
      </c>
      <c r="H27" s="1" t="s">
        <v>1039</v>
      </c>
      <c r="I27" s="1">
        <v>30</v>
      </c>
      <c r="J27" s="4"/>
      <c r="K27" s="1" t="s">
        <v>726</v>
      </c>
      <c r="L27" s="1" t="s">
        <v>1103</v>
      </c>
      <c r="M27" s="1" t="s">
        <v>1037</v>
      </c>
      <c r="N27" s="1"/>
      <c r="O27" s="4"/>
      <c r="P27" s="1"/>
      <c r="Q27" s="3" t="str">
        <f>IF(A27="","",IF(NOT(AND(COUNTIFS('08-برنامه اقدامات'!$A$8:$A$1007,A27)=1,AND(COUNTIFS('17-جلسات و دوره‌ها'!$A$8:$A$1007,E27)=1,IFERROR(INDEX('17-جلسات و دوره‌ها'!$B$8:$B$1007,MATCH(E27,'17-جلسات و دوره‌ها'!$A$8:$A$1007,0)),"")=C27,IFERROR(INDEX('17-جلسات و دوره‌ها'!$C$8:$C$1007,MATCH(E27,'17-جلسات و دوره‌ها'!$A$8:$A$1007,0)),"")=D27),COUNTIFS('07-تصمیمات و مصوبات'!$A$8:$A$1007,B27)=1,IFERROR(INDEX('07-تصمیمات و مصوبات'!$B$8:$B$1007,MATCH(B27,'07-تصمیمات و مصوبات'!$A$8:$A$1007,0)),"")=E27)),"رابطه تصمیم نامعتبر",IF(OR(G27="",H27="",NOT(ISNUMBER(J27)),M27=""),"مسئول، موعد یا معیار ناقص",IF(OR(IFERROR(INDEX('07-تصمیمات و مصوبات'!$L$8:$L$1007,MATCH(B27,'07-تصمیمات و مصوبات'!$A$8:$A$1007,0)),"")&lt;&gt;"تصویب",IFERROR(INDEX('07-تصمیمات و مصوبات'!$V$8:$V$1007,MATCH(B27,'07-تصمیمات و مصوبات'!$A$8:$A$1007,0)),"")="",IFERROR(INDEX('07-تصمیمات و مصوبات'!$Z$8:$Z$1007,MATCH(B27,'07-تصمیمات و مصوبات'!$A$8:$A$1007,0)),"")&lt;&gt;"معتبر"),"مصوبه مادر تأیید نشده",IF(AND(L27="انجام شد",OR(NOT(AND(COUNTIFS('14-مستندات و پیوست‌ها'!$A$8:$A$1007,N27)=1,IFERROR(INDEX('14-مستندات و پیوست‌ها'!$B$8:$B$1007,MATCH(N27,'14-مستندات و پیوست‌ها'!$A$8:$A$1007,0)),"")=C27,OR(IFERROR(INDEX('14-مستندات و پیوست‌ها'!$H$8:$H$1007,MATCH(N27,'14-مستندات و پیوست‌ها'!$A$8:$A$1007,0)),"")="دریافت شده",IFERROR(INDEX('14-مستندات و پیوست‌ها'!$H$8:$H$1007,MATCH(N27,'14-مستندات و پیوست‌ها'!$A$8:$A$1007,0)),"")="فرضی"))),NOT(ISNUMBER(O27)),P27="")),"شاهد تکمیل ناقص","معتبر")))))</f>
        <v>مسئول، موعد یا معیار ناقص</v>
      </c>
      <c r="R27" s="3" t="str">
        <f>IF(A27="","",IF(NOT(ISNUMBER(J27)),"موعد ثبت نشده",IF(L27="انجام شد","اجرا گزارش شده",IF(J27&lt;'01-تنظیمات'!$B$6,"معوق","در مهلت"))))</f>
        <v>موعد ثبت نشده</v>
      </c>
      <c r="S27" s="3">
        <f>IF(A27="","",COUNTIFS('10-ارزیابی اثربخشی'!$C$8:$C$1007,A27,'10-ارزیابی اثربخشی'!$Q$8:$Q$1007,"اثربخش معتبر"))</f>
        <v>0</v>
      </c>
      <c r="T27" s="3" t="str">
        <f t="shared" si="0"/>
        <v>مسئول، موعد یا معیار ناقص</v>
      </c>
    </row>
    <row r="28" spans="1:20" ht="36" customHeight="1">
      <c r="A28" s="1" t="s">
        <v>1046</v>
      </c>
      <c r="B28" s="1" t="s">
        <v>1041</v>
      </c>
      <c r="C28" s="1" t="s">
        <v>77</v>
      </c>
      <c r="D28" s="1" t="s">
        <v>80</v>
      </c>
      <c r="E28" s="1" t="s">
        <v>83</v>
      </c>
      <c r="F28" s="1" t="s">
        <v>379</v>
      </c>
      <c r="G28" s="1" t="s">
        <v>1042</v>
      </c>
      <c r="H28" s="1" t="s">
        <v>1045</v>
      </c>
      <c r="I28" s="1">
        <v>21</v>
      </c>
      <c r="J28" s="4"/>
      <c r="K28" s="1" t="s">
        <v>726</v>
      </c>
      <c r="L28" s="1" t="s">
        <v>1103</v>
      </c>
      <c r="M28" s="1" t="s">
        <v>1043</v>
      </c>
      <c r="N28" s="1"/>
      <c r="O28" s="4"/>
      <c r="P28" s="1"/>
      <c r="Q28" s="3" t="str">
        <f>IF(A28="","",IF(NOT(AND(COUNTIFS('08-برنامه اقدامات'!$A$8:$A$1007,A28)=1,AND(COUNTIFS('17-جلسات و دوره‌ها'!$A$8:$A$1007,E28)=1,IFERROR(INDEX('17-جلسات و دوره‌ها'!$B$8:$B$1007,MATCH(E28,'17-جلسات و دوره‌ها'!$A$8:$A$1007,0)),"")=C28,IFERROR(INDEX('17-جلسات و دوره‌ها'!$C$8:$C$1007,MATCH(E28,'17-جلسات و دوره‌ها'!$A$8:$A$1007,0)),"")=D28),COUNTIFS('07-تصمیمات و مصوبات'!$A$8:$A$1007,B28)=1,IFERROR(INDEX('07-تصمیمات و مصوبات'!$B$8:$B$1007,MATCH(B28,'07-تصمیمات و مصوبات'!$A$8:$A$1007,0)),"")=E28)),"رابطه تصمیم نامعتبر",IF(OR(G28="",H28="",NOT(ISNUMBER(J28)),M28=""),"مسئول، موعد یا معیار ناقص",IF(OR(IFERROR(INDEX('07-تصمیمات و مصوبات'!$L$8:$L$1007,MATCH(B28,'07-تصمیمات و مصوبات'!$A$8:$A$1007,0)),"")&lt;&gt;"تصویب",IFERROR(INDEX('07-تصمیمات و مصوبات'!$V$8:$V$1007,MATCH(B28,'07-تصمیمات و مصوبات'!$A$8:$A$1007,0)),"")="",IFERROR(INDEX('07-تصمیمات و مصوبات'!$Z$8:$Z$1007,MATCH(B28,'07-تصمیمات و مصوبات'!$A$8:$A$1007,0)),"")&lt;&gt;"معتبر"),"مصوبه مادر تأیید نشده",IF(AND(L28="انجام شد",OR(NOT(AND(COUNTIFS('14-مستندات و پیوست‌ها'!$A$8:$A$1007,N28)=1,IFERROR(INDEX('14-مستندات و پیوست‌ها'!$B$8:$B$1007,MATCH(N28,'14-مستندات و پیوست‌ها'!$A$8:$A$1007,0)),"")=C28,OR(IFERROR(INDEX('14-مستندات و پیوست‌ها'!$H$8:$H$1007,MATCH(N28,'14-مستندات و پیوست‌ها'!$A$8:$A$1007,0)),"")="دریافت شده",IFERROR(INDEX('14-مستندات و پیوست‌ها'!$H$8:$H$1007,MATCH(N28,'14-مستندات و پیوست‌ها'!$A$8:$A$1007,0)),"")="فرضی"))),NOT(ISNUMBER(O28)),P28="")),"شاهد تکمیل ناقص","معتبر")))))</f>
        <v>مسئول، موعد یا معیار ناقص</v>
      </c>
      <c r="R28" s="3" t="str">
        <f>IF(A28="","",IF(NOT(ISNUMBER(J28)),"موعد ثبت نشده",IF(L28="انجام شد","اجرا گزارش شده",IF(J28&lt;'01-تنظیمات'!$B$6,"معوق","در مهلت"))))</f>
        <v>موعد ثبت نشده</v>
      </c>
      <c r="S28" s="3">
        <f>IF(A28="","",COUNTIFS('10-ارزیابی اثربخشی'!$C$8:$C$1007,A28,'10-ارزیابی اثربخشی'!$Q$8:$Q$1007,"اثربخش معتبر"))</f>
        <v>0</v>
      </c>
      <c r="T28" s="3" t="str">
        <f t="shared" si="0"/>
        <v>مسئول، موعد یا معیار ناقص</v>
      </c>
    </row>
    <row r="29" spans="1:20" ht="36" customHeight="1">
      <c r="A29" s="1" t="s">
        <v>1059</v>
      </c>
      <c r="B29" s="1" t="s">
        <v>1047</v>
      </c>
      <c r="C29" s="1" t="s">
        <v>99</v>
      </c>
      <c r="D29" s="1" t="s">
        <v>529</v>
      </c>
      <c r="E29" s="1" t="s">
        <v>530</v>
      </c>
      <c r="F29" s="1" t="s">
        <v>531</v>
      </c>
      <c r="G29" s="1" t="s">
        <v>1104</v>
      </c>
      <c r="H29" s="1" t="s">
        <v>1054</v>
      </c>
      <c r="I29" s="1">
        <v>15</v>
      </c>
      <c r="J29" s="4">
        <v>46312</v>
      </c>
      <c r="K29" s="1" t="s">
        <v>714</v>
      </c>
      <c r="L29" s="1" t="s">
        <v>1105</v>
      </c>
      <c r="M29" s="1" t="s">
        <v>1106</v>
      </c>
      <c r="N29" s="1"/>
      <c r="O29" s="4"/>
      <c r="P29" s="1"/>
      <c r="Q29" s="3" t="str">
        <f>IF(A29="","",IF(NOT(AND(COUNTIFS('08-برنامه اقدامات'!$A$8:$A$1007,A29)=1,AND(COUNTIFS('17-جلسات و دوره‌ها'!$A$8:$A$1007,E29)=1,IFERROR(INDEX('17-جلسات و دوره‌ها'!$B$8:$B$1007,MATCH(E29,'17-جلسات و دوره‌ها'!$A$8:$A$1007,0)),"")=C29,IFERROR(INDEX('17-جلسات و دوره‌ها'!$C$8:$C$1007,MATCH(E29,'17-جلسات و دوره‌ها'!$A$8:$A$1007,0)),"")=D29),COUNTIFS('07-تصمیمات و مصوبات'!$A$8:$A$1007,B29)=1,IFERROR(INDEX('07-تصمیمات و مصوبات'!$B$8:$B$1007,MATCH(B29,'07-تصمیمات و مصوبات'!$A$8:$A$1007,0)),"")=E29)),"رابطه تصمیم نامعتبر",IF(OR(G29="",H29="",NOT(ISNUMBER(J29)),M29=""),"مسئول، موعد یا معیار ناقص",IF(OR(IFERROR(INDEX('07-تصمیمات و مصوبات'!$L$8:$L$1007,MATCH(B29,'07-تصمیمات و مصوبات'!$A$8:$A$1007,0)),"")&lt;&gt;"تصویب",IFERROR(INDEX('07-تصمیمات و مصوبات'!$V$8:$V$1007,MATCH(B29,'07-تصمیمات و مصوبات'!$A$8:$A$1007,0)),"")="",IFERROR(INDEX('07-تصمیمات و مصوبات'!$Z$8:$Z$1007,MATCH(B29,'07-تصمیمات و مصوبات'!$A$8:$A$1007,0)),"")&lt;&gt;"معتبر"),"مصوبه مادر تأیید نشده",IF(AND(L29="انجام شد",OR(NOT(AND(COUNTIFS('14-مستندات و پیوست‌ها'!$A$8:$A$1007,N29)=1,IFERROR(INDEX('14-مستندات و پیوست‌ها'!$B$8:$B$1007,MATCH(N29,'14-مستندات و پیوست‌ها'!$A$8:$A$1007,0)),"")=C29,OR(IFERROR(INDEX('14-مستندات و پیوست‌ها'!$H$8:$H$1007,MATCH(N29,'14-مستندات و پیوست‌ها'!$A$8:$A$1007,0)),"")="دریافت شده",IFERROR(INDEX('14-مستندات و پیوست‌ها'!$H$8:$H$1007,MATCH(N29,'14-مستندات و پیوست‌ها'!$A$8:$A$1007,0)),"")="فرضی"))),NOT(ISNUMBER(O29)),P29="")),"شاهد تکمیل ناقص","معتبر")))))</f>
        <v>مصوبه مادر تأیید نشده</v>
      </c>
      <c r="R29" s="3" t="str">
        <f>IF(A29="","",IF(NOT(ISNUMBER(J29)),"موعد ثبت نشده",IF(L29="انجام شد","اجرا گزارش شده",IF(J29&lt;'01-تنظیمات'!$B$6,"معوق","در مهلت"))))</f>
        <v>معوق</v>
      </c>
      <c r="S29" s="3">
        <f>IF(A29="","",COUNTIFS('10-ارزیابی اثربخشی'!$C$8:$C$1007,A29,'10-ارزیابی اثربخشی'!$Q$8:$Q$1007,"اثربخش معتبر"))</f>
        <v>0</v>
      </c>
      <c r="T29" s="3" t="str">
        <f t="shared" si="0"/>
        <v>مصوبه مادر تأیید نشده</v>
      </c>
    </row>
    <row r="30" spans="1:20" ht="36" customHeight="1">
      <c r="A30" s="1" t="s">
        <v>1065</v>
      </c>
      <c r="B30" s="1" t="s">
        <v>1061</v>
      </c>
      <c r="C30" s="1" t="s">
        <v>99</v>
      </c>
      <c r="D30" s="1" t="s">
        <v>529</v>
      </c>
      <c r="E30" s="1" t="s">
        <v>530</v>
      </c>
      <c r="F30" s="1" t="s">
        <v>531</v>
      </c>
      <c r="G30" s="1" t="s">
        <v>1107</v>
      </c>
      <c r="H30" s="1" t="s">
        <v>1054</v>
      </c>
      <c r="I30" s="1">
        <v>15</v>
      </c>
      <c r="J30" s="4">
        <v>46312</v>
      </c>
      <c r="K30" s="1" t="s">
        <v>714</v>
      </c>
      <c r="L30" s="1" t="s">
        <v>1105</v>
      </c>
      <c r="M30" s="1" t="s">
        <v>1106</v>
      </c>
      <c r="N30" s="1"/>
      <c r="O30" s="4"/>
      <c r="P30" s="1"/>
      <c r="Q30" s="3" t="str">
        <f>IF(A30="","",IF(NOT(AND(COUNTIFS('08-برنامه اقدامات'!$A$8:$A$1007,A30)=1,AND(COUNTIFS('17-جلسات و دوره‌ها'!$A$8:$A$1007,E30)=1,IFERROR(INDEX('17-جلسات و دوره‌ها'!$B$8:$B$1007,MATCH(E30,'17-جلسات و دوره‌ها'!$A$8:$A$1007,0)),"")=C30,IFERROR(INDEX('17-جلسات و دوره‌ها'!$C$8:$C$1007,MATCH(E30,'17-جلسات و دوره‌ها'!$A$8:$A$1007,0)),"")=D30),COUNTIFS('07-تصمیمات و مصوبات'!$A$8:$A$1007,B30)=1,IFERROR(INDEX('07-تصمیمات و مصوبات'!$B$8:$B$1007,MATCH(B30,'07-تصمیمات و مصوبات'!$A$8:$A$1007,0)),"")=E30)),"رابطه تصمیم نامعتبر",IF(OR(G30="",H30="",NOT(ISNUMBER(J30)),M30=""),"مسئول، موعد یا معیار ناقص",IF(OR(IFERROR(INDEX('07-تصمیمات و مصوبات'!$L$8:$L$1007,MATCH(B30,'07-تصمیمات و مصوبات'!$A$8:$A$1007,0)),"")&lt;&gt;"تصویب",IFERROR(INDEX('07-تصمیمات و مصوبات'!$V$8:$V$1007,MATCH(B30,'07-تصمیمات و مصوبات'!$A$8:$A$1007,0)),"")="",IFERROR(INDEX('07-تصمیمات و مصوبات'!$Z$8:$Z$1007,MATCH(B30,'07-تصمیمات و مصوبات'!$A$8:$A$1007,0)),"")&lt;&gt;"معتبر"),"مصوبه مادر تأیید نشده",IF(AND(L30="انجام شد",OR(NOT(AND(COUNTIFS('14-مستندات و پیوست‌ها'!$A$8:$A$1007,N30)=1,IFERROR(INDEX('14-مستندات و پیوست‌ها'!$B$8:$B$1007,MATCH(N30,'14-مستندات و پیوست‌ها'!$A$8:$A$1007,0)),"")=C30,OR(IFERROR(INDEX('14-مستندات و پیوست‌ها'!$H$8:$H$1007,MATCH(N30,'14-مستندات و پیوست‌ها'!$A$8:$A$1007,0)),"")="دریافت شده",IFERROR(INDEX('14-مستندات و پیوست‌ها'!$H$8:$H$1007,MATCH(N30,'14-مستندات و پیوست‌ها'!$A$8:$A$1007,0)),"")="فرضی"))),NOT(ISNUMBER(O30)),P30="")),"شاهد تکمیل ناقص","معتبر")))))</f>
        <v>معتبر</v>
      </c>
      <c r="R30" s="3" t="str">
        <f>IF(A30="","",IF(NOT(ISNUMBER(J30)),"موعد ثبت نشده",IF(L30="انجام شد","اجرا گزارش شده",IF(J30&lt;'01-تنظیمات'!$B$6,"معوق","در مهلت"))))</f>
        <v>معوق</v>
      </c>
      <c r="S30" s="3">
        <f>IF(A30="","",COUNTIFS('10-ارزیابی اثربخشی'!$C$8:$C$1007,A30,'10-ارزیابی اثربخشی'!$Q$8:$Q$1007,"اثربخش معتبر"))</f>
        <v>0</v>
      </c>
      <c r="T30" s="3" t="str">
        <f t="shared" si="0"/>
        <v>معوق</v>
      </c>
    </row>
    <row r="31" spans="1:20" ht="36" customHeight="1">
      <c r="A31" s="1" t="s">
        <v>1069</v>
      </c>
      <c r="B31" s="1" t="s">
        <v>1066</v>
      </c>
      <c r="C31" s="1" t="s">
        <v>99</v>
      </c>
      <c r="D31" s="1" t="s">
        <v>529</v>
      </c>
      <c r="E31" s="1" t="s">
        <v>530</v>
      </c>
      <c r="F31" s="1" t="s">
        <v>531</v>
      </c>
      <c r="G31" s="1" t="s">
        <v>1108</v>
      </c>
      <c r="H31" s="1" t="s">
        <v>1054</v>
      </c>
      <c r="I31" s="1">
        <v>15</v>
      </c>
      <c r="J31" s="4">
        <v>46312</v>
      </c>
      <c r="K31" s="1" t="s">
        <v>714</v>
      </c>
      <c r="L31" s="1" t="s">
        <v>1105</v>
      </c>
      <c r="M31" s="1" t="s">
        <v>1106</v>
      </c>
      <c r="N31" s="1"/>
      <c r="O31" s="4"/>
      <c r="P31" s="1"/>
      <c r="Q31" s="3" t="str">
        <f>IF(A31="","",IF(NOT(AND(COUNTIFS('08-برنامه اقدامات'!$A$8:$A$1007,A31)=1,AND(COUNTIFS('17-جلسات و دوره‌ها'!$A$8:$A$1007,E31)=1,IFERROR(INDEX('17-جلسات و دوره‌ها'!$B$8:$B$1007,MATCH(E31,'17-جلسات و دوره‌ها'!$A$8:$A$1007,0)),"")=C31,IFERROR(INDEX('17-جلسات و دوره‌ها'!$C$8:$C$1007,MATCH(E31,'17-جلسات و دوره‌ها'!$A$8:$A$1007,0)),"")=D31),COUNTIFS('07-تصمیمات و مصوبات'!$A$8:$A$1007,B31)=1,IFERROR(INDEX('07-تصمیمات و مصوبات'!$B$8:$B$1007,MATCH(B31,'07-تصمیمات و مصوبات'!$A$8:$A$1007,0)),"")=E31)),"رابطه تصمیم نامعتبر",IF(OR(G31="",H31="",NOT(ISNUMBER(J31)),M31=""),"مسئول، موعد یا معیار ناقص",IF(OR(IFERROR(INDEX('07-تصمیمات و مصوبات'!$L$8:$L$1007,MATCH(B31,'07-تصمیمات و مصوبات'!$A$8:$A$1007,0)),"")&lt;&gt;"تصویب",IFERROR(INDEX('07-تصمیمات و مصوبات'!$V$8:$V$1007,MATCH(B31,'07-تصمیمات و مصوبات'!$A$8:$A$1007,0)),"")="",IFERROR(INDEX('07-تصمیمات و مصوبات'!$Z$8:$Z$1007,MATCH(B31,'07-تصمیمات و مصوبات'!$A$8:$A$1007,0)),"")&lt;&gt;"معتبر"),"مصوبه مادر تأیید نشده",IF(AND(L31="انجام شد",OR(NOT(AND(COUNTIFS('14-مستندات و پیوست‌ها'!$A$8:$A$1007,N31)=1,IFERROR(INDEX('14-مستندات و پیوست‌ها'!$B$8:$B$1007,MATCH(N31,'14-مستندات و پیوست‌ها'!$A$8:$A$1007,0)),"")=C31,OR(IFERROR(INDEX('14-مستندات و پیوست‌ها'!$H$8:$H$1007,MATCH(N31,'14-مستندات و پیوست‌ها'!$A$8:$A$1007,0)),"")="دریافت شده",IFERROR(INDEX('14-مستندات و پیوست‌ها'!$H$8:$H$1007,MATCH(N31,'14-مستندات و پیوست‌ها'!$A$8:$A$1007,0)),"")="فرضی"))),NOT(ISNUMBER(O31)),P31="")),"شاهد تکمیل ناقص","معتبر")))))</f>
        <v>معتبر</v>
      </c>
      <c r="R31" s="3" t="str">
        <f>IF(A31="","",IF(NOT(ISNUMBER(J31)),"موعد ثبت نشده",IF(L31="انجام شد","اجرا گزارش شده",IF(J31&lt;'01-تنظیمات'!$B$6,"معوق","در مهلت"))))</f>
        <v>معوق</v>
      </c>
      <c r="S31" s="3">
        <f>IF(A31="","",COUNTIFS('10-ارزیابی اثربخشی'!$C$8:$C$1007,A31,'10-ارزیابی اثربخشی'!$Q$8:$Q$1007,"اثربخش معتبر"))</f>
        <v>0</v>
      </c>
      <c r="T31" s="3" t="str">
        <f t="shared" si="0"/>
        <v>معوق</v>
      </c>
    </row>
    <row r="32" spans="1:20" ht="36" customHeight="1">
      <c r="A32" s="1" t="s">
        <v>1074</v>
      </c>
      <c r="B32" s="1" t="s">
        <v>1070</v>
      </c>
      <c r="C32" s="1" t="s">
        <v>99</v>
      </c>
      <c r="D32" s="1" t="s">
        <v>529</v>
      </c>
      <c r="E32" s="1" t="s">
        <v>530</v>
      </c>
      <c r="F32" s="1" t="s">
        <v>531</v>
      </c>
      <c r="G32" s="1" t="s">
        <v>1109</v>
      </c>
      <c r="H32" s="1" t="s">
        <v>1054</v>
      </c>
      <c r="I32" s="1">
        <v>15</v>
      </c>
      <c r="J32" s="4">
        <v>46312</v>
      </c>
      <c r="K32" s="1" t="s">
        <v>714</v>
      </c>
      <c r="L32" s="1" t="s">
        <v>1105</v>
      </c>
      <c r="M32" s="1" t="s">
        <v>1106</v>
      </c>
      <c r="N32" s="1"/>
      <c r="O32" s="4"/>
      <c r="P32" s="1"/>
      <c r="Q32" s="3" t="str">
        <f>IF(A32="","",IF(NOT(AND(COUNTIFS('08-برنامه اقدامات'!$A$8:$A$1007,A32)=1,AND(COUNTIFS('17-جلسات و دوره‌ها'!$A$8:$A$1007,E32)=1,IFERROR(INDEX('17-جلسات و دوره‌ها'!$B$8:$B$1007,MATCH(E32,'17-جلسات و دوره‌ها'!$A$8:$A$1007,0)),"")=C32,IFERROR(INDEX('17-جلسات و دوره‌ها'!$C$8:$C$1007,MATCH(E32,'17-جلسات و دوره‌ها'!$A$8:$A$1007,0)),"")=D32),COUNTIFS('07-تصمیمات و مصوبات'!$A$8:$A$1007,B32)=1,IFERROR(INDEX('07-تصمیمات و مصوبات'!$B$8:$B$1007,MATCH(B32,'07-تصمیمات و مصوبات'!$A$8:$A$1007,0)),"")=E32)),"رابطه تصمیم نامعتبر",IF(OR(G32="",H32="",NOT(ISNUMBER(J32)),M32=""),"مسئول، موعد یا معیار ناقص",IF(OR(IFERROR(INDEX('07-تصمیمات و مصوبات'!$L$8:$L$1007,MATCH(B32,'07-تصمیمات و مصوبات'!$A$8:$A$1007,0)),"")&lt;&gt;"تصویب",IFERROR(INDEX('07-تصمیمات و مصوبات'!$V$8:$V$1007,MATCH(B32,'07-تصمیمات و مصوبات'!$A$8:$A$1007,0)),"")="",IFERROR(INDEX('07-تصمیمات و مصوبات'!$Z$8:$Z$1007,MATCH(B32,'07-تصمیمات و مصوبات'!$A$8:$A$1007,0)),"")&lt;&gt;"معتبر"),"مصوبه مادر تأیید نشده",IF(AND(L32="انجام شد",OR(NOT(AND(COUNTIFS('14-مستندات و پیوست‌ها'!$A$8:$A$1007,N32)=1,IFERROR(INDEX('14-مستندات و پیوست‌ها'!$B$8:$B$1007,MATCH(N32,'14-مستندات و پیوست‌ها'!$A$8:$A$1007,0)),"")=C32,OR(IFERROR(INDEX('14-مستندات و پیوست‌ها'!$H$8:$H$1007,MATCH(N32,'14-مستندات و پیوست‌ها'!$A$8:$A$1007,0)),"")="دریافت شده",IFERROR(INDEX('14-مستندات و پیوست‌ها'!$H$8:$H$1007,MATCH(N32,'14-مستندات و پیوست‌ها'!$A$8:$A$1007,0)),"")="فرضی"))),NOT(ISNUMBER(O32)),P32="")),"شاهد تکمیل ناقص","معتبر")))))</f>
        <v>معتبر</v>
      </c>
      <c r="R32" s="3" t="str">
        <f>IF(A32="","",IF(NOT(ISNUMBER(J32)),"موعد ثبت نشده",IF(L32="انجام شد","اجرا گزارش شده",IF(J32&lt;'01-تنظیمات'!$B$6,"معوق","در مهلت"))))</f>
        <v>معوق</v>
      </c>
      <c r="S32" s="3">
        <f>IF(A32="","",COUNTIFS('10-ارزیابی اثربخشی'!$C$8:$C$1007,A32,'10-ارزیابی اثربخشی'!$Q$8:$Q$1007,"اثربخش معتبر"))</f>
        <v>0</v>
      </c>
      <c r="T32" s="3" t="str">
        <f t="shared" si="0"/>
        <v>معوق</v>
      </c>
    </row>
    <row r="33" spans="1:20" ht="36" customHeight="1">
      <c r="A33" s="1" t="s">
        <v>1082</v>
      </c>
      <c r="B33" s="1" t="s">
        <v>1080</v>
      </c>
      <c r="C33" s="1" t="s">
        <v>99</v>
      </c>
      <c r="D33" s="1" t="s">
        <v>529</v>
      </c>
      <c r="E33" s="1" t="s">
        <v>530</v>
      </c>
      <c r="F33" s="1" t="s">
        <v>531</v>
      </c>
      <c r="G33" s="1" t="s">
        <v>1110</v>
      </c>
      <c r="H33" s="1" t="s">
        <v>1054</v>
      </c>
      <c r="I33" s="1">
        <v>15</v>
      </c>
      <c r="J33" s="4">
        <v>46312</v>
      </c>
      <c r="K33" s="1" t="s">
        <v>714</v>
      </c>
      <c r="L33" s="1" t="s">
        <v>1111</v>
      </c>
      <c r="M33" s="1" t="s">
        <v>1106</v>
      </c>
      <c r="N33" s="1" t="s">
        <v>534</v>
      </c>
      <c r="O33" s="4">
        <v>46311</v>
      </c>
      <c r="P33" s="1" t="s">
        <v>1112</v>
      </c>
      <c r="Q33" s="3" t="str">
        <f>IF(A33="","",IF(NOT(AND(COUNTIFS('08-برنامه اقدامات'!$A$8:$A$1007,A33)=1,AND(COUNTIFS('17-جلسات و دوره‌ها'!$A$8:$A$1007,E33)=1,IFERROR(INDEX('17-جلسات و دوره‌ها'!$B$8:$B$1007,MATCH(E33,'17-جلسات و دوره‌ها'!$A$8:$A$1007,0)),"")=C33,IFERROR(INDEX('17-جلسات و دوره‌ها'!$C$8:$C$1007,MATCH(E33,'17-جلسات و دوره‌ها'!$A$8:$A$1007,0)),"")=D33),COUNTIFS('07-تصمیمات و مصوبات'!$A$8:$A$1007,B33)=1,IFERROR(INDEX('07-تصمیمات و مصوبات'!$B$8:$B$1007,MATCH(B33,'07-تصمیمات و مصوبات'!$A$8:$A$1007,0)),"")=E33)),"رابطه تصمیم نامعتبر",IF(OR(G33="",H33="",NOT(ISNUMBER(J33)),M33=""),"مسئول، موعد یا معیار ناقص",IF(OR(IFERROR(INDEX('07-تصمیمات و مصوبات'!$L$8:$L$1007,MATCH(B33,'07-تصمیمات و مصوبات'!$A$8:$A$1007,0)),"")&lt;&gt;"تصویب",IFERROR(INDEX('07-تصمیمات و مصوبات'!$V$8:$V$1007,MATCH(B33,'07-تصمیمات و مصوبات'!$A$8:$A$1007,0)),"")="",IFERROR(INDEX('07-تصمیمات و مصوبات'!$Z$8:$Z$1007,MATCH(B33,'07-تصمیمات و مصوبات'!$A$8:$A$1007,0)),"")&lt;&gt;"معتبر"),"مصوبه مادر تأیید نشده",IF(AND(L33="انجام شد",OR(NOT(AND(COUNTIFS('14-مستندات و پیوست‌ها'!$A$8:$A$1007,N33)=1,IFERROR(INDEX('14-مستندات و پیوست‌ها'!$B$8:$B$1007,MATCH(N33,'14-مستندات و پیوست‌ها'!$A$8:$A$1007,0)),"")=C33,OR(IFERROR(INDEX('14-مستندات و پیوست‌ها'!$H$8:$H$1007,MATCH(N33,'14-مستندات و پیوست‌ها'!$A$8:$A$1007,0)),"")="دریافت شده",IFERROR(INDEX('14-مستندات و پیوست‌ها'!$H$8:$H$1007,MATCH(N33,'14-مستندات و پیوست‌ها'!$A$8:$A$1007,0)),"")="فرضی"))),NOT(ISNUMBER(O33)),P33="")),"شاهد تکمیل ناقص","معتبر")))))</f>
        <v>معتبر</v>
      </c>
      <c r="R33" s="3" t="str">
        <f>IF(A33="","",IF(NOT(ISNUMBER(J33)),"موعد ثبت نشده",IF(L33="انجام شد","اجرا گزارش شده",IF(J33&lt;'01-تنظیمات'!$B$6,"معوق","در مهلت"))))</f>
        <v>اجرا گزارش شده</v>
      </c>
      <c r="S33" s="3">
        <f>IF(A33="","",COUNTIFS('10-ارزیابی اثربخشی'!$C$8:$C$1007,A33,'10-ارزیابی اثربخشی'!$Q$8:$Q$1007,"اثربخش معتبر"))</f>
        <v>0</v>
      </c>
      <c r="T33" s="3" t="str">
        <f t="shared" si="0"/>
        <v>اجراشده؛ اثربخشی تأیید نشده</v>
      </c>
    </row>
    <row r="34" spans="1:20" ht="36" customHeight="1">
      <c r="A34" s="1"/>
      <c r="B34" s="1"/>
      <c r="C34" s="1"/>
      <c r="D34" s="1"/>
      <c r="E34" s="1"/>
      <c r="F34" s="1"/>
      <c r="G34" s="1"/>
      <c r="H34" s="1"/>
      <c r="I34" s="1"/>
      <c r="J34" s="4"/>
      <c r="K34" s="1"/>
      <c r="L34" s="1"/>
      <c r="M34" s="1"/>
      <c r="N34" s="1"/>
      <c r="O34" s="4"/>
      <c r="P34" s="1"/>
      <c r="Q34" s="3" t="str">
        <f>IF(A34="","",IF(NOT(AND(COUNTIFS('08-برنامه اقدامات'!$A$8:$A$1007,A34)=1,AND(COUNTIFS('17-جلسات و دوره‌ها'!$A$8:$A$1007,E34)=1,IFERROR(INDEX('17-جلسات و دوره‌ها'!$B$8:$B$1007,MATCH(E34,'17-جلسات و دوره‌ها'!$A$8:$A$1007,0)),"")=C34,IFERROR(INDEX('17-جلسات و دوره‌ها'!$C$8:$C$1007,MATCH(E34,'17-جلسات و دوره‌ها'!$A$8:$A$1007,0)),"")=D34),COUNTIFS('07-تصمیمات و مصوبات'!$A$8:$A$1007,B34)=1,IFERROR(INDEX('07-تصمیمات و مصوبات'!$B$8:$B$1007,MATCH(B34,'07-تصمیمات و مصوبات'!$A$8:$A$1007,0)),"")=E34)),"رابطه تصمیم نامعتبر",IF(OR(G34="",H34="",NOT(ISNUMBER(J34)),M34=""),"مسئول، موعد یا معیار ناقص",IF(OR(IFERROR(INDEX('07-تصمیمات و مصوبات'!$L$8:$L$1007,MATCH(B34,'07-تصمیمات و مصوبات'!$A$8:$A$1007,0)),"")&lt;&gt;"تصویب",IFERROR(INDEX('07-تصمیمات و مصوبات'!$V$8:$V$1007,MATCH(B34,'07-تصمیمات و مصوبات'!$A$8:$A$1007,0)),"")="",IFERROR(INDEX('07-تصمیمات و مصوبات'!$Z$8:$Z$1007,MATCH(B34,'07-تصمیمات و مصوبات'!$A$8:$A$1007,0)),"")&lt;&gt;"معتبر"),"مصوبه مادر تأیید نشده",IF(AND(L34="انجام شد",OR(NOT(AND(COUNTIFS('14-مستندات و پیوست‌ها'!$A$8:$A$1007,N34)=1,IFERROR(INDEX('14-مستندات و پیوست‌ها'!$B$8:$B$1007,MATCH(N34,'14-مستندات و پیوست‌ها'!$A$8:$A$1007,0)),"")=C34,OR(IFERROR(INDEX('14-مستندات و پیوست‌ها'!$H$8:$H$1007,MATCH(N34,'14-مستندات و پیوست‌ها'!$A$8:$A$1007,0)),"")="دریافت شده",IFERROR(INDEX('14-مستندات و پیوست‌ها'!$H$8:$H$1007,MATCH(N34,'14-مستندات و پیوست‌ها'!$A$8:$A$1007,0)),"")="فرضی"))),NOT(ISNUMBER(O34)),P34="")),"شاهد تکمیل ناقص","معتبر")))))</f>
        <v/>
      </c>
      <c r="R34" s="3" t="str">
        <f>IF(A34="","",IF(NOT(ISNUMBER(J34)),"موعد ثبت نشده",IF(L34="انجام شد","اجرا گزارش شده",IF(J34&lt;'01-تنظیمات'!$B$6,"معوق","در مهلت"))))</f>
        <v/>
      </c>
      <c r="S34" s="3" t="str">
        <f>IF(A34="","",COUNTIFS('10-ارزیابی اثربخشی'!$C$8:$C$1007,A34,'10-ارزیابی اثربخشی'!$Q$8:$Q$1007,"اثربخش معتبر"))</f>
        <v/>
      </c>
      <c r="T34" s="3" t="str">
        <f t="shared" si="0"/>
        <v/>
      </c>
    </row>
    <row r="35" spans="1:20" ht="36" customHeight="1">
      <c r="A35" s="1"/>
      <c r="B35" s="1"/>
      <c r="C35" s="1"/>
      <c r="D35" s="1"/>
      <c r="E35" s="1"/>
      <c r="F35" s="1"/>
      <c r="G35" s="1"/>
      <c r="H35" s="1"/>
      <c r="I35" s="1"/>
      <c r="J35" s="4"/>
      <c r="K35" s="1"/>
      <c r="L35" s="1"/>
      <c r="M35" s="1"/>
      <c r="N35" s="1"/>
      <c r="O35" s="4"/>
      <c r="P35" s="1"/>
      <c r="Q35" s="3" t="str">
        <f>IF(A35="","",IF(NOT(AND(COUNTIFS('08-برنامه اقدامات'!$A$8:$A$1007,A35)=1,AND(COUNTIFS('17-جلسات و دوره‌ها'!$A$8:$A$1007,E35)=1,IFERROR(INDEX('17-جلسات و دوره‌ها'!$B$8:$B$1007,MATCH(E35,'17-جلسات و دوره‌ها'!$A$8:$A$1007,0)),"")=C35,IFERROR(INDEX('17-جلسات و دوره‌ها'!$C$8:$C$1007,MATCH(E35,'17-جلسات و دوره‌ها'!$A$8:$A$1007,0)),"")=D35),COUNTIFS('07-تصمیمات و مصوبات'!$A$8:$A$1007,B35)=1,IFERROR(INDEX('07-تصمیمات و مصوبات'!$B$8:$B$1007,MATCH(B35,'07-تصمیمات و مصوبات'!$A$8:$A$1007,0)),"")=E35)),"رابطه تصمیم نامعتبر",IF(OR(G35="",H35="",NOT(ISNUMBER(J35)),M35=""),"مسئول، موعد یا معیار ناقص",IF(OR(IFERROR(INDEX('07-تصمیمات و مصوبات'!$L$8:$L$1007,MATCH(B35,'07-تصمیمات و مصوبات'!$A$8:$A$1007,0)),"")&lt;&gt;"تصویب",IFERROR(INDEX('07-تصمیمات و مصوبات'!$V$8:$V$1007,MATCH(B35,'07-تصمیمات و مصوبات'!$A$8:$A$1007,0)),"")="",IFERROR(INDEX('07-تصمیمات و مصوبات'!$Z$8:$Z$1007,MATCH(B35,'07-تصمیمات و مصوبات'!$A$8:$A$1007,0)),"")&lt;&gt;"معتبر"),"مصوبه مادر تأیید نشده",IF(AND(L35="انجام شد",OR(NOT(AND(COUNTIFS('14-مستندات و پیوست‌ها'!$A$8:$A$1007,N35)=1,IFERROR(INDEX('14-مستندات و پیوست‌ها'!$B$8:$B$1007,MATCH(N35,'14-مستندات و پیوست‌ها'!$A$8:$A$1007,0)),"")=C35,OR(IFERROR(INDEX('14-مستندات و پیوست‌ها'!$H$8:$H$1007,MATCH(N35,'14-مستندات و پیوست‌ها'!$A$8:$A$1007,0)),"")="دریافت شده",IFERROR(INDEX('14-مستندات و پیوست‌ها'!$H$8:$H$1007,MATCH(N35,'14-مستندات و پیوست‌ها'!$A$8:$A$1007,0)),"")="فرضی"))),NOT(ISNUMBER(O35)),P35="")),"شاهد تکمیل ناقص","معتبر")))))</f>
        <v/>
      </c>
      <c r="R35" s="3" t="str">
        <f>IF(A35="","",IF(NOT(ISNUMBER(J35)),"موعد ثبت نشده",IF(L35="انجام شد","اجرا گزارش شده",IF(J35&lt;'01-تنظیمات'!$B$6,"معوق","در مهلت"))))</f>
        <v/>
      </c>
      <c r="S35" s="3" t="str">
        <f>IF(A35="","",COUNTIFS('10-ارزیابی اثربخشی'!$C$8:$C$1007,A35,'10-ارزیابی اثربخشی'!$Q$8:$Q$1007,"اثربخش معتبر"))</f>
        <v/>
      </c>
      <c r="T35" s="3" t="str">
        <f t="shared" si="0"/>
        <v/>
      </c>
    </row>
    <row r="36" spans="1:20" ht="36" customHeight="1">
      <c r="A36" s="1"/>
      <c r="B36" s="1"/>
      <c r="C36" s="1"/>
      <c r="D36" s="1"/>
      <c r="E36" s="1"/>
      <c r="F36" s="1"/>
      <c r="G36" s="1"/>
      <c r="H36" s="1"/>
      <c r="I36" s="1"/>
      <c r="J36" s="4"/>
      <c r="K36" s="1"/>
      <c r="L36" s="1"/>
      <c r="M36" s="1"/>
      <c r="N36" s="1"/>
      <c r="O36" s="4"/>
      <c r="P36" s="1"/>
      <c r="Q36" s="3" t="str">
        <f>IF(A36="","",IF(NOT(AND(COUNTIFS('08-برنامه اقدامات'!$A$8:$A$1007,A36)=1,AND(COUNTIFS('17-جلسات و دوره‌ها'!$A$8:$A$1007,E36)=1,IFERROR(INDEX('17-جلسات و دوره‌ها'!$B$8:$B$1007,MATCH(E36,'17-جلسات و دوره‌ها'!$A$8:$A$1007,0)),"")=C36,IFERROR(INDEX('17-جلسات و دوره‌ها'!$C$8:$C$1007,MATCH(E36,'17-جلسات و دوره‌ها'!$A$8:$A$1007,0)),"")=D36),COUNTIFS('07-تصمیمات و مصوبات'!$A$8:$A$1007,B36)=1,IFERROR(INDEX('07-تصمیمات و مصوبات'!$B$8:$B$1007,MATCH(B36,'07-تصمیمات و مصوبات'!$A$8:$A$1007,0)),"")=E36)),"رابطه تصمیم نامعتبر",IF(OR(G36="",H36="",NOT(ISNUMBER(J36)),M36=""),"مسئول، موعد یا معیار ناقص",IF(OR(IFERROR(INDEX('07-تصمیمات و مصوبات'!$L$8:$L$1007,MATCH(B36,'07-تصمیمات و مصوبات'!$A$8:$A$1007,0)),"")&lt;&gt;"تصویب",IFERROR(INDEX('07-تصمیمات و مصوبات'!$V$8:$V$1007,MATCH(B36,'07-تصمیمات و مصوبات'!$A$8:$A$1007,0)),"")="",IFERROR(INDEX('07-تصمیمات و مصوبات'!$Z$8:$Z$1007,MATCH(B36,'07-تصمیمات و مصوبات'!$A$8:$A$1007,0)),"")&lt;&gt;"معتبر"),"مصوبه مادر تأیید نشده",IF(AND(L36="انجام شد",OR(NOT(AND(COUNTIFS('14-مستندات و پیوست‌ها'!$A$8:$A$1007,N36)=1,IFERROR(INDEX('14-مستندات و پیوست‌ها'!$B$8:$B$1007,MATCH(N36,'14-مستندات و پیوست‌ها'!$A$8:$A$1007,0)),"")=C36,OR(IFERROR(INDEX('14-مستندات و پیوست‌ها'!$H$8:$H$1007,MATCH(N36,'14-مستندات و پیوست‌ها'!$A$8:$A$1007,0)),"")="دریافت شده",IFERROR(INDEX('14-مستندات و پیوست‌ها'!$H$8:$H$1007,MATCH(N36,'14-مستندات و پیوست‌ها'!$A$8:$A$1007,0)),"")="فرضی"))),NOT(ISNUMBER(O36)),P36="")),"شاهد تکمیل ناقص","معتبر")))))</f>
        <v/>
      </c>
      <c r="R36" s="3" t="str">
        <f>IF(A36="","",IF(NOT(ISNUMBER(J36)),"موعد ثبت نشده",IF(L36="انجام شد","اجرا گزارش شده",IF(J36&lt;'01-تنظیمات'!$B$6,"معوق","در مهلت"))))</f>
        <v/>
      </c>
      <c r="S36" s="3" t="str">
        <f>IF(A36="","",COUNTIFS('10-ارزیابی اثربخشی'!$C$8:$C$1007,A36,'10-ارزیابی اثربخشی'!$Q$8:$Q$1007,"اثربخش معتبر"))</f>
        <v/>
      </c>
      <c r="T36" s="3" t="str">
        <f t="shared" si="0"/>
        <v/>
      </c>
    </row>
    <row r="37" spans="1:20" ht="36" customHeight="1">
      <c r="A37" s="1"/>
      <c r="B37" s="1"/>
      <c r="C37" s="1"/>
      <c r="D37" s="1"/>
      <c r="E37" s="1"/>
      <c r="F37" s="1"/>
      <c r="G37" s="1"/>
      <c r="H37" s="1"/>
      <c r="I37" s="1"/>
      <c r="J37" s="4"/>
      <c r="K37" s="1"/>
      <c r="L37" s="1"/>
      <c r="M37" s="1"/>
      <c r="N37" s="1"/>
      <c r="O37" s="4"/>
      <c r="P37" s="1"/>
      <c r="Q37" s="3" t="str">
        <f>IF(A37="","",IF(NOT(AND(COUNTIFS('08-برنامه اقدامات'!$A$8:$A$1007,A37)=1,AND(COUNTIFS('17-جلسات و دوره‌ها'!$A$8:$A$1007,E37)=1,IFERROR(INDEX('17-جلسات و دوره‌ها'!$B$8:$B$1007,MATCH(E37,'17-جلسات و دوره‌ها'!$A$8:$A$1007,0)),"")=C37,IFERROR(INDEX('17-جلسات و دوره‌ها'!$C$8:$C$1007,MATCH(E37,'17-جلسات و دوره‌ها'!$A$8:$A$1007,0)),"")=D37),COUNTIFS('07-تصمیمات و مصوبات'!$A$8:$A$1007,B37)=1,IFERROR(INDEX('07-تصمیمات و مصوبات'!$B$8:$B$1007,MATCH(B37,'07-تصمیمات و مصوبات'!$A$8:$A$1007,0)),"")=E37)),"رابطه تصمیم نامعتبر",IF(OR(G37="",H37="",NOT(ISNUMBER(J37)),M37=""),"مسئول، موعد یا معیار ناقص",IF(OR(IFERROR(INDEX('07-تصمیمات و مصوبات'!$L$8:$L$1007,MATCH(B37,'07-تصمیمات و مصوبات'!$A$8:$A$1007,0)),"")&lt;&gt;"تصویب",IFERROR(INDEX('07-تصمیمات و مصوبات'!$V$8:$V$1007,MATCH(B37,'07-تصمیمات و مصوبات'!$A$8:$A$1007,0)),"")="",IFERROR(INDEX('07-تصمیمات و مصوبات'!$Z$8:$Z$1007,MATCH(B37,'07-تصمیمات و مصوبات'!$A$8:$A$1007,0)),"")&lt;&gt;"معتبر"),"مصوبه مادر تأیید نشده",IF(AND(L37="انجام شد",OR(NOT(AND(COUNTIFS('14-مستندات و پیوست‌ها'!$A$8:$A$1007,N37)=1,IFERROR(INDEX('14-مستندات و پیوست‌ها'!$B$8:$B$1007,MATCH(N37,'14-مستندات و پیوست‌ها'!$A$8:$A$1007,0)),"")=C37,OR(IFERROR(INDEX('14-مستندات و پیوست‌ها'!$H$8:$H$1007,MATCH(N37,'14-مستندات و پیوست‌ها'!$A$8:$A$1007,0)),"")="دریافت شده",IFERROR(INDEX('14-مستندات و پیوست‌ها'!$H$8:$H$1007,MATCH(N37,'14-مستندات و پیوست‌ها'!$A$8:$A$1007,0)),"")="فرضی"))),NOT(ISNUMBER(O37)),P37="")),"شاهد تکمیل ناقص","معتبر")))))</f>
        <v/>
      </c>
      <c r="R37" s="3" t="str">
        <f>IF(A37="","",IF(NOT(ISNUMBER(J37)),"موعد ثبت نشده",IF(L37="انجام شد","اجرا گزارش شده",IF(J37&lt;'01-تنظیمات'!$B$6,"معوق","در مهلت"))))</f>
        <v/>
      </c>
      <c r="S37" s="3" t="str">
        <f>IF(A37="","",COUNTIFS('10-ارزیابی اثربخشی'!$C$8:$C$1007,A37,'10-ارزیابی اثربخشی'!$Q$8:$Q$1007,"اثربخش معتبر"))</f>
        <v/>
      </c>
      <c r="T37" s="3" t="str">
        <f t="shared" si="0"/>
        <v/>
      </c>
    </row>
    <row r="38" spans="1:20" ht="36" customHeight="1">
      <c r="A38" s="1"/>
      <c r="B38" s="1"/>
      <c r="C38" s="1"/>
      <c r="D38" s="1"/>
      <c r="E38" s="1"/>
      <c r="F38" s="1"/>
      <c r="G38" s="1"/>
      <c r="H38" s="1"/>
      <c r="I38" s="1"/>
      <c r="J38" s="4"/>
      <c r="K38" s="1"/>
      <c r="L38" s="1"/>
      <c r="M38" s="1"/>
      <c r="N38" s="1"/>
      <c r="O38" s="4"/>
      <c r="P38" s="1"/>
      <c r="Q38" s="3" t="str">
        <f>IF(A38="","",IF(NOT(AND(COUNTIFS('08-برنامه اقدامات'!$A$8:$A$1007,A38)=1,AND(COUNTIFS('17-جلسات و دوره‌ها'!$A$8:$A$1007,E38)=1,IFERROR(INDEX('17-جلسات و دوره‌ها'!$B$8:$B$1007,MATCH(E38,'17-جلسات و دوره‌ها'!$A$8:$A$1007,0)),"")=C38,IFERROR(INDEX('17-جلسات و دوره‌ها'!$C$8:$C$1007,MATCH(E38,'17-جلسات و دوره‌ها'!$A$8:$A$1007,0)),"")=D38),COUNTIFS('07-تصمیمات و مصوبات'!$A$8:$A$1007,B38)=1,IFERROR(INDEX('07-تصمیمات و مصوبات'!$B$8:$B$1007,MATCH(B38,'07-تصمیمات و مصوبات'!$A$8:$A$1007,0)),"")=E38)),"رابطه تصمیم نامعتبر",IF(OR(G38="",H38="",NOT(ISNUMBER(J38)),M38=""),"مسئول، موعد یا معیار ناقص",IF(OR(IFERROR(INDEX('07-تصمیمات و مصوبات'!$L$8:$L$1007,MATCH(B38,'07-تصمیمات و مصوبات'!$A$8:$A$1007,0)),"")&lt;&gt;"تصویب",IFERROR(INDEX('07-تصمیمات و مصوبات'!$V$8:$V$1007,MATCH(B38,'07-تصمیمات و مصوبات'!$A$8:$A$1007,0)),"")="",IFERROR(INDEX('07-تصمیمات و مصوبات'!$Z$8:$Z$1007,MATCH(B38,'07-تصمیمات و مصوبات'!$A$8:$A$1007,0)),"")&lt;&gt;"معتبر"),"مصوبه مادر تأیید نشده",IF(AND(L38="انجام شد",OR(NOT(AND(COUNTIFS('14-مستندات و پیوست‌ها'!$A$8:$A$1007,N38)=1,IFERROR(INDEX('14-مستندات و پیوست‌ها'!$B$8:$B$1007,MATCH(N38,'14-مستندات و پیوست‌ها'!$A$8:$A$1007,0)),"")=C38,OR(IFERROR(INDEX('14-مستندات و پیوست‌ها'!$H$8:$H$1007,MATCH(N38,'14-مستندات و پیوست‌ها'!$A$8:$A$1007,0)),"")="دریافت شده",IFERROR(INDEX('14-مستندات و پیوست‌ها'!$H$8:$H$1007,MATCH(N38,'14-مستندات و پیوست‌ها'!$A$8:$A$1007,0)),"")="فرضی"))),NOT(ISNUMBER(O38)),P38="")),"شاهد تکمیل ناقص","معتبر")))))</f>
        <v/>
      </c>
      <c r="R38" s="3" t="str">
        <f>IF(A38="","",IF(NOT(ISNUMBER(J38)),"موعد ثبت نشده",IF(L38="انجام شد","اجرا گزارش شده",IF(J38&lt;'01-تنظیمات'!$B$6,"معوق","در مهلت"))))</f>
        <v/>
      </c>
      <c r="S38" s="3" t="str">
        <f>IF(A38="","",COUNTIFS('10-ارزیابی اثربخشی'!$C$8:$C$1007,A38,'10-ارزیابی اثربخشی'!$Q$8:$Q$1007,"اثربخش معتبر"))</f>
        <v/>
      </c>
      <c r="T38" s="3" t="str">
        <f t="shared" si="0"/>
        <v/>
      </c>
    </row>
    <row r="39" spans="1:20" ht="36" customHeight="1">
      <c r="A39" s="1"/>
      <c r="B39" s="1"/>
      <c r="C39" s="1"/>
      <c r="D39" s="1"/>
      <c r="E39" s="1"/>
      <c r="F39" s="1"/>
      <c r="G39" s="1"/>
      <c r="H39" s="1"/>
      <c r="I39" s="1"/>
      <c r="J39" s="4"/>
      <c r="K39" s="1"/>
      <c r="L39" s="1"/>
      <c r="M39" s="1"/>
      <c r="N39" s="1"/>
      <c r="O39" s="4"/>
      <c r="P39" s="1"/>
      <c r="Q39" s="3" t="str">
        <f>IF(A39="","",IF(NOT(AND(COUNTIFS('08-برنامه اقدامات'!$A$8:$A$1007,A39)=1,AND(COUNTIFS('17-جلسات و دوره‌ها'!$A$8:$A$1007,E39)=1,IFERROR(INDEX('17-جلسات و دوره‌ها'!$B$8:$B$1007,MATCH(E39,'17-جلسات و دوره‌ها'!$A$8:$A$1007,0)),"")=C39,IFERROR(INDEX('17-جلسات و دوره‌ها'!$C$8:$C$1007,MATCH(E39,'17-جلسات و دوره‌ها'!$A$8:$A$1007,0)),"")=D39),COUNTIFS('07-تصمیمات و مصوبات'!$A$8:$A$1007,B39)=1,IFERROR(INDEX('07-تصمیمات و مصوبات'!$B$8:$B$1007,MATCH(B39,'07-تصمیمات و مصوبات'!$A$8:$A$1007,0)),"")=E39)),"رابطه تصمیم نامعتبر",IF(OR(G39="",H39="",NOT(ISNUMBER(J39)),M39=""),"مسئول، موعد یا معیار ناقص",IF(OR(IFERROR(INDEX('07-تصمیمات و مصوبات'!$L$8:$L$1007,MATCH(B39,'07-تصمیمات و مصوبات'!$A$8:$A$1007,0)),"")&lt;&gt;"تصویب",IFERROR(INDEX('07-تصمیمات و مصوبات'!$V$8:$V$1007,MATCH(B39,'07-تصمیمات و مصوبات'!$A$8:$A$1007,0)),"")="",IFERROR(INDEX('07-تصمیمات و مصوبات'!$Z$8:$Z$1007,MATCH(B39,'07-تصمیمات و مصوبات'!$A$8:$A$1007,0)),"")&lt;&gt;"معتبر"),"مصوبه مادر تأیید نشده",IF(AND(L39="انجام شد",OR(NOT(AND(COUNTIFS('14-مستندات و پیوست‌ها'!$A$8:$A$1007,N39)=1,IFERROR(INDEX('14-مستندات و پیوست‌ها'!$B$8:$B$1007,MATCH(N39,'14-مستندات و پیوست‌ها'!$A$8:$A$1007,0)),"")=C39,OR(IFERROR(INDEX('14-مستندات و پیوست‌ها'!$H$8:$H$1007,MATCH(N39,'14-مستندات و پیوست‌ها'!$A$8:$A$1007,0)),"")="دریافت شده",IFERROR(INDEX('14-مستندات و پیوست‌ها'!$H$8:$H$1007,MATCH(N39,'14-مستندات و پیوست‌ها'!$A$8:$A$1007,0)),"")="فرضی"))),NOT(ISNUMBER(O39)),P39="")),"شاهد تکمیل ناقص","معتبر")))))</f>
        <v/>
      </c>
      <c r="R39" s="3" t="str">
        <f>IF(A39="","",IF(NOT(ISNUMBER(J39)),"موعد ثبت نشده",IF(L39="انجام شد","اجرا گزارش شده",IF(J39&lt;'01-تنظیمات'!$B$6,"معوق","در مهلت"))))</f>
        <v/>
      </c>
      <c r="S39" s="3" t="str">
        <f>IF(A39="","",COUNTIFS('10-ارزیابی اثربخشی'!$C$8:$C$1007,A39,'10-ارزیابی اثربخشی'!$Q$8:$Q$1007,"اثربخش معتبر"))</f>
        <v/>
      </c>
      <c r="T39" s="3" t="str">
        <f t="shared" si="0"/>
        <v/>
      </c>
    </row>
    <row r="40" spans="1:20" ht="36" customHeight="1">
      <c r="A40" s="1"/>
      <c r="B40" s="1"/>
      <c r="C40" s="1"/>
      <c r="D40" s="1"/>
      <c r="E40" s="1"/>
      <c r="F40" s="1"/>
      <c r="G40" s="1"/>
      <c r="H40" s="1"/>
      <c r="I40" s="1"/>
      <c r="J40" s="4"/>
      <c r="K40" s="1"/>
      <c r="L40" s="1"/>
      <c r="M40" s="1"/>
      <c r="N40" s="1"/>
      <c r="O40" s="4"/>
      <c r="P40" s="1"/>
      <c r="Q40" s="3" t="str">
        <f>IF(A40="","",IF(NOT(AND(COUNTIFS('08-برنامه اقدامات'!$A$8:$A$1007,A40)=1,AND(COUNTIFS('17-جلسات و دوره‌ها'!$A$8:$A$1007,E40)=1,IFERROR(INDEX('17-جلسات و دوره‌ها'!$B$8:$B$1007,MATCH(E40,'17-جلسات و دوره‌ها'!$A$8:$A$1007,0)),"")=C40,IFERROR(INDEX('17-جلسات و دوره‌ها'!$C$8:$C$1007,MATCH(E40,'17-جلسات و دوره‌ها'!$A$8:$A$1007,0)),"")=D40),COUNTIFS('07-تصمیمات و مصوبات'!$A$8:$A$1007,B40)=1,IFERROR(INDEX('07-تصمیمات و مصوبات'!$B$8:$B$1007,MATCH(B40,'07-تصمیمات و مصوبات'!$A$8:$A$1007,0)),"")=E40)),"رابطه تصمیم نامعتبر",IF(OR(G40="",H40="",NOT(ISNUMBER(J40)),M40=""),"مسئول، موعد یا معیار ناقص",IF(OR(IFERROR(INDEX('07-تصمیمات و مصوبات'!$L$8:$L$1007,MATCH(B40,'07-تصمیمات و مصوبات'!$A$8:$A$1007,0)),"")&lt;&gt;"تصویب",IFERROR(INDEX('07-تصمیمات و مصوبات'!$V$8:$V$1007,MATCH(B40,'07-تصمیمات و مصوبات'!$A$8:$A$1007,0)),"")="",IFERROR(INDEX('07-تصمیمات و مصوبات'!$Z$8:$Z$1007,MATCH(B40,'07-تصمیمات و مصوبات'!$A$8:$A$1007,0)),"")&lt;&gt;"معتبر"),"مصوبه مادر تأیید نشده",IF(AND(L40="انجام شد",OR(NOT(AND(COUNTIFS('14-مستندات و پیوست‌ها'!$A$8:$A$1007,N40)=1,IFERROR(INDEX('14-مستندات و پیوست‌ها'!$B$8:$B$1007,MATCH(N40,'14-مستندات و پیوست‌ها'!$A$8:$A$1007,0)),"")=C40,OR(IFERROR(INDEX('14-مستندات و پیوست‌ها'!$H$8:$H$1007,MATCH(N40,'14-مستندات و پیوست‌ها'!$A$8:$A$1007,0)),"")="دریافت شده",IFERROR(INDEX('14-مستندات و پیوست‌ها'!$H$8:$H$1007,MATCH(N40,'14-مستندات و پیوست‌ها'!$A$8:$A$1007,0)),"")="فرضی"))),NOT(ISNUMBER(O40)),P40="")),"شاهد تکمیل ناقص","معتبر")))))</f>
        <v/>
      </c>
      <c r="R40" s="3" t="str">
        <f>IF(A40="","",IF(NOT(ISNUMBER(J40)),"موعد ثبت نشده",IF(L40="انجام شد","اجرا گزارش شده",IF(J40&lt;'01-تنظیمات'!$B$6,"معوق","در مهلت"))))</f>
        <v/>
      </c>
      <c r="S40" s="3" t="str">
        <f>IF(A40="","",COUNTIFS('10-ارزیابی اثربخشی'!$C$8:$C$1007,A40,'10-ارزیابی اثربخشی'!$Q$8:$Q$1007,"اثربخش معتبر"))</f>
        <v/>
      </c>
      <c r="T40" s="3" t="str">
        <f t="shared" si="0"/>
        <v/>
      </c>
    </row>
    <row r="41" spans="1:20" ht="36" customHeight="1">
      <c r="A41" s="1"/>
      <c r="B41" s="1"/>
      <c r="C41" s="1"/>
      <c r="D41" s="1"/>
      <c r="E41" s="1"/>
      <c r="F41" s="1"/>
      <c r="G41" s="1"/>
      <c r="H41" s="1"/>
      <c r="I41" s="1"/>
      <c r="J41" s="4"/>
      <c r="K41" s="1"/>
      <c r="L41" s="1"/>
      <c r="M41" s="1"/>
      <c r="N41" s="1"/>
      <c r="O41" s="4"/>
      <c r="P41" s="1"/>
      <c r="Q41" s="3" t="str">
        <f>IF(A41="","",IF(NOT(AND(COUNTIFS('08-برنامه اقدامات'!$A$8:$A$1007,A41)=1,AND(COUNTIFS('17-جلسات و دوره‌ها'!$A$8:$A$1007,E41)=1,IFERROR(INDEX('17-جلسات و دوره‌ها'!$B$8:$B$1007,MATCH(E41,'17-جلسات و دوره‌ها'!$A$8:$A$1007,0)),"")=C41,IFERROR(INDEX('17-جلسات و دوره‌ها'!$C$8:$C$1007,MATCH(E41,'17-جلسات و دوره‌ها'!$A$8:$A$1007,0)),"")=D41),COUNTIFS('07-تصمیمات و مصوبات'!$A$8:$A$1007,B41)=1,IFERROR(INDEX('07-تصمیمات و مصوبات'!$B$8:$B$1007,MATCH(B41,'07-تصمیمات و مصوبات'!$A$8:$A$1007,0)),"")=E41)),"رابطه تصمیم نامعتبر",IF(OR(G41="",H41="",NOT(ISNUMBER(J41)),M41=""),"مسئول، موعد یا معیار ناقص",IF(OR(IFERROR(INDEX('07-تصمیمات و مصوبات'!$L$8:$L$1007,MATCH(B41,'07-تصمیمات و مصوبات'!$A$8:$A$1007,0)),"")&lt;&gt;"تصویب",IFERROR(INDEX('07-تصمیمات و مصوبات'!$V$8:$V$1007,MATCH(B41,'07-تصمیمات و مصوبات'!$A$8:$A$1007,0)),"")="",IFERROR(INDEX('07-تصمیمات و مصوبات'!$Z$8:$Z$1007,MATCH(B41,'07-تصمیمات و مصوبات'!$A$8:$A$1007,0)),"")&lt;&gt;"معتبر"),"مصوبه مادر تأیید نشده",IF(AND(L41="انجام شد",OR(NOT(AND(COUNTIFS('14-مستندات و پیوست‌ها'!$A$8:$A$1007,N41)=1,IFERROR(INDEX('14-مستندات و پیوست‌ها'!$B$8:$B$1007,MATCH(N41,'14-مستندات و پیوست‌ها'!$A$8:$A$1007,0)),"")=C41,OR(IFERROR(INDEX('14-مستندات و پیوست‌ها'!$H$8:$H$1007,MATCH(N41,'14-مستندات و پیوست‌ها'!$A$8:$A$1007,0)),"")="دریافت شده",IFERROR(INDEX('14-مستندات و پیوست‌ها'!$H$8:$H$1007,MATCH(N41,'14-مستندات و پیوست‌ها'!$A$8:$A$1007,0)),"")="فرضی"))),NOT(ISNUMBER(O41)),P41="")),"شاهد تکمیل ناقص","معتبر")))))</f>
        <v/>
      </c>
      <c r="R41" s="3" t="str">
        <f>IF(A41="","",IF(NOT(ISNUMBER(J41)),"موعد ثبت نشده",IF(L41="انجام شد","اجرا گزارش شده",IF(J41&lt;'01-تنظیمات'!$B$6,"معوق","در مهلت"))))</f>
        <v/>
      </c>
      <c r="S41" s="3" t="str">
        <f>IF(A41="","",COUNTIFS('10-ارزیابی اثربخشی'!$C$8:$C$1007,A41,'10-ارزیابی اثربخشی'!$Q$8:$Q$1007,"اثربخش معتبر"))</f>
        <v/>
      </c>
      <c r="T41" s="3" t="str">
        <f t="shared" si="0"/>
        <v/>
      </c>
    </row>
  </sheetData>
  <mergeCells count="2">
    <mergeCell ref="A1:T1"/>
    <mergeCell ref="A2:T3"/>
  </mergeCells>
  <conditionalFormatting sqref="A8:A41">
    <cfRule type="duplicateValues" dxfId="54" priority="1"/>
  </conditionalFormatting>
  <conditionalFormatting sqref="P8:P41">
    <cfRule type="containsText" dxfId="53" priority="12" operator="containsText" text="ناقص"/>
  </conditionalFormatting>
  <conditionalFormatting sqref="Q8:Q41">
    <cfRule type="containsText" dxfId="52" priority="2" operator="containsText" text="ناقص"/>
  </conditionalFormatting>
  <conditionalFormatting sqref="R8:R41">
    <cfRule type="containsText" dxfId="51" priority="17" operator="containsText" text="ناقص"/>
  </conditionalFormatting>
  <conditionalFormatting sqref="T8:T41">
    <cfRule type="containsText" dxfId="50" priority="7" operator="containsText" text="ناقص"/>
  </conditionalFormatting>
  <dataValidations count="1">
    <dataValidation type="list" sqref="L8:L41" xr:uid="{00000000-0002-0000-0800-000000000000}">
      <formula1>"شروع نشده,در حال اجرا,انجام شد,متوقف"</formula1>
    </dataValidation>
  </dataValidation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892A5"/>
    <pageSetUpPr fitToPage="1"/>
  </sheetPr>
  <dimension ref="A1:W23"/>
  <sheetViews>
    <sheetView showGridLines="0" rightToLeft="1" zoomScale="85" workbookViewId="0">
      <pane ySplit="7" topLeftCell="A8" activePane="bottomLeft" state="frozen"/>
      <selection pane="bottomLeft" sqref="A1:W1"/>
    </sheetView>
  </sheetViews>
  <sheetFormatPr defaultRowHeight="14.25"/>
  <cols>
    <col min="1" max="2" width="20" customWidth="1"/>
    <col min="3" max="3" width="14" customWidth="1"/>
    <col min="4" max="4" width="16" customWidth="1"/>
    <col min="5" max="5" width="24" customWidth="1"/>
    <col min="6" max="6" width="27" customWidth="1"/>
    <col min="7" max="8" width="50" customWidth="1"/>
    <col min="9" max="9" width="25" customWidth="1"/>
    <col min="10" max="10" width="28" customWidth="1"/>
    <col min="11" max="11" width="17" customWidth="1"/>
    <col min="12" max="12" width="18" customWidth="1"/>
    <col min="13" max="13" width="26" customWidth="1"/>
    <col min="14" max="14" width="18" customWidth="1"/>
    <col min="15" max="15" width="40" customWidth="1"/>
    <col min="16" max="16" width="26" customWidth="1"/>
    <col min="17" max="17" width="28" customWidth="1"/>
    <col min="18" max="18" width="20" customWidth="1"/>
    <col min="19" max="19" width="25" customWidth="1"/>
    <col min="20" max="20" width="45" customWidth="1"/>
    <col min="21" max="22" width="40" customWidth="1"/>
    <col min="23" max="23" width="45" customWidth="1"/>
  </cols>
  <sheetData>
    <row r="1" spans="1:23" ht="33.950000000000003" customHeight="1">
      <c r="A1" s="7" t="s">
        <v>1113</v>
      </c>
      <c r="B1" s="7"/>
      <c r="C1" s="7"/>
      <c r="D1" s="7"/>
      <c r="E1" s="7"/>
      <c r="F1" s="7"/>
      <c r="G1" s="7"/>
      <c r="H1" s="7"/>
      <c r="I1" s="7"/>
      <c r="J1" s="7"/>
      <c r="K1" s="7"/>
      <c r="L1" s="7"/>
      <c r="M1" s="7"/>
      <c r="N1" s="7"/>
      <c r="O1" s="7"/>
      <c r="P1" s="7"/>
      <c r="Q1" s="7"/>
      <c r="R1" s="7"/>
      <c r="S1" s="7"/>
      <c r="T1" s="7"/>
      <c r="U1" s="7"/>
      <c r="V1" s="7"/>
      <c r="W1" s="7"/>
    </row>
    <row r="2" spans="1:23" ht="26.1" customHeight="1">
      <c r="A2" s="8" t="s">
        <v>1114</v>
      </c>
      <c r="B2" s="8"/>
      <c r="C2" s="8"/>
      <c r="D2" s="8"/>
      <c r="E2" s="8"/>
      <c r="F2" s="8"/>
      <c r="G2" s="8"/>
      <c r="H2" s="8"/>
      <c r="I2" s="8"/>
      <c r="J2" s="8"/>
      <c r="K2" s="8"/>
      <c r="L2" s="8"/>
      <c r="M2" s="8"/>
      <c r="N2" s="8"/>
      <c r="O2" s="8"/>
      <c r="P2" s="8"/>
      <c r="Q2" s="8"/>
      <c r="R2" s="8"/>
      <c r="S2" s="8"/>
      <c r="T2" s="8"/>
      <c r="U2" s="8"/>
      <c r="V2" s="8"/>
      <c r="W2" s="8"/>
    </row>
    <row r="3" spans="1:23" ht="26.1" customHeight="1">
      <c r="A3" s="8"/>
      <c r="B3" s="8"/>
      <c r="C3" s="8"/>
      <c r="D3" s="8"/>
      <c r="E3" s="8"/>
      <c r="F3" s="8"/>
      <c r="G3" s="8"/>
      <c r="H3" s="8"/>
      <c r="I3" s="8"/>
      <c r="J3" s="8"/>
      <c r="K3" s="8"/>
      <c r="L3" s="8"/>
      <c r="M3" s="8"/>
      <c r="N3" s="8"/>
      <c r="O3" s="8"/>
      <c r="P3" s="8"/>
      <c r="Q3" s="8"/>
      <c r="R3" s="8"/>
      <c r="S3" s="8"/>
      <c r="T3" s="8"/>
      <c r="U3" s="8"/>
      <c r="V3" s="8"/>
      <c r="W3" s="8"/>
    </row>
    <row r="4" spans="1:23">
      <c r="A4" s="1"/>
      <c r="B4" s="1"/>
      <c r="C4" s="1"/>
      <c r="D4" s="1"/>
      <c r="E4" s="1"/>
      <c r="F4" s="1"/>
      <c r="G4" s="1"/>
      <c r="H4" s="1"/>
      <c r="I4" s="1"/>
      <c r="J4" s="1"/>
      <c r="K4" s="1"/>
      <c r="L4" s="1"/>
      <c r="M4" s="1"/>
      <c r="N4" s="1"/>
      <c r="O4" s="1"/>
      <c r="P4" s="1"/>
      <c r="Q4" s="1"/>
      <c r="R4" s="1"/>
      <c r="S4" s="1"/>
      <c r="T4" s="1"/>
      <c r="U4" s="1"/>
      <c r="V4" s="1"/>
      <c r="W4" s="1"/>
    </row>
    <row r="5" spans="1:23">
      <c r="A5" s="1"/>
      <c r="B5" s="1"/>
      <c r="C5" s="1"/>
      <c r="D5" s="1"/>
      <c r="E5" s="1"/>
      <c r="F5" s="1"/>
      <c r="G5" s="1"/>
      <c r="H5" s="1"/>
      <c r="I5" s="1"/>
      <c r="J5" s="1"/>
      <c r="K5" s="1"/>
      <c r="L5" s="1"/>
      <c r="M5" s="1"/>
      <c r="N5" s="1"/>
      <c r="O5" s="1"/>
      <c r="P5" s="1"/>
      <c r="Q5" s="1"/>
      <c r="R5" s="1"/>
      <c r="S5" s="1"/>
      <c r="T5" s="1"/>
      <c r="U5" s="1"/>
      <c r="V5" s="1"/>
      <c r="W5" s="1"/>
    </row>
    <row r="6" spans="1:23">
      <c r="A6" s="1"/>
      <c r="B6" s="1"/>
      <c r="C6" s="1"/>
      <c r="D6" s="1"/>
      <c r="E6" s="1"/>
      <c r="F6" s="1"/>
      <c r="G6" s="1"/>
      <c r="H6" s="1"/>
      <c r="I6" s="1"/>
      <c r="J6" s="1"/>
      <c r="K6" s="1"/>
      <c r="L6" s="1"/>
      <c r="M6" s="1"/>
      <c r="N6" s="1"/>
      <c r="O6" s="1"/>
      <c r="P6" s="1"/>
      <c r="Q6" s="1"/>
      <c r="R6" s="1"/>
      <c r="S6" s="1"/>
      <c r="T6" s="1"/>
      <c r="U6" s="1"/>
      <c r="V6" s="1"/>
      <c r="W6" s="1"/>
    </row>
    <row r="7" spans="1:23" ht="48" customHeight="1">
      <c r="A7" s="2" t="s">
        <v>1115</v>
      </c>
      <c r="B7" s="2" t="s">
        <v>1116</v>
      </c>
      <c r="C7" s="2" t="s">
        <v>364</v>
      </c>
      <c r="D7" s="2" t="s">
        <v>365</v>
      </c>
      <c r="E7" s="2" t="s">
        <v>366</v>
      </c>
      <c r="F7" s="2" t="s">
        <v>94</v>
      </c>
      <c r="G7" s="2" t="s">
        <v>1117</v>
      </c>
      <c r="H7" s="2" t="s">
        <v>1118</v>
      </c>
      <c r="I7" s="2" t="s">
        <v>1119</v>
      </c>
      <c r="J7" s="2" t="s">
        <v>1120</v>
      </c>
      <c r="K7" s="2" t="s">
        <v>708</v>
      </c>
      <c r="L7" s="2" t="s">
        <v>1121</v>
      </c>
      <c r="M7" s="2" t="s">
        <v>1122</v>
      </c>
      <c r="N7" s="2" t="s">
        <v>1123</v>
      </c>
      <c r="O7" s="2" t="s">
        <v>1124</v>
      </c>
      <c r="P7" s="2" t="s">
        <v>911</v>
      </c>
      <c r="Q7" s="2" t="s">
        <v>1125</v>
      </c>
      <c r="R7" s="2" t="s">
        <v>1126</v>
      </c>
      <c r="S7" s="2" t="s">
        <v>1127</v>
      </c>
      <c r="T7" s="2" t="s">
        <v>1128</v>
      </c>
      <c r="U7" s="2" t="s">
        <v>1129</v>
      </c>
      <c r="V7" s="2" t="s">
        <v>1130</v>
      </c>
      <c r="W7" s="2" t="s">
        <v>1131</v>
      </c>
    </row>
    <row r="8" spans="1:23" ht="36" customHeight="1">
      <c r="A8" s="1" t="s">
        <v>1132</v>
      </c>
      <c r="B8" s="1" t="s">
        <v>957</v>
      </c>
      <c r="C8" s="1" t="s">
        <v>77</v>
      </c>
      <c r="D8" s="1" t="s">
        <v>80</v>
      </c>
      <c r="E8" s="1" t="s">
        <v>83</v>
      </c>
      <c r="F8" s="1" t="s">
        <v>379</v>
      </c>
      <c r="G8" s="1" t="s">
        <v>1133</v>
      </c>
      <c r="H8" s="1" t="s">
        <v>1134</v>
      </c>
      <c r="I8" s="1" t="s">
        <v>1135</v>
      </c>
      <c r="J8" s="1" t="s">
        <v>1136</v>
      </c>
      <c r="K8" s="1" t="s">
        <v>714</v>
      </c>
      <c r="L8" s="1"/>
      <c r="M8" s="1"/>
      <c r="N8" s="1"/>
      <c r="O8" s="1" t="s">
        <v>1137</v>
      </c>
      <c r="P8" s="1"/>
      <c r="Q8" s="1" t="s">
        <v>1138</v>
      </c>
      <c r="R8" s="4"/>
      <c r="S8" s="1" t="s">
        <v>385</v>
      </c>
      <c r="T8" s="1" t="s">
        <v>1139</v>
      </c>
      <c r="U8" s="1"/>
      <c r="V8" s="1" t="s">
        <v>386</v>
      </c>
      <c r="W8" s="3" t="str">
        <f>IF(A8="","",IF(NOT(AND(COUNTIFS('09-منابع و تغییرات'!$A$8:$A$1007,A8)=1,AND(COUNTIFS('17-جلسات و دوره‌ها'!$A$8:$A$1007,E8)=1,IFERROR(INDEX('17-جلسات و دوره‌ها'!$B$8:$B$1007,MATCH(E8,'17-جلسات و دوره‌ها'!$A$8:$A$1007,0)),"")=C8,IFERROR(INDEX('17-جلسات و دوره‌ها'!$C$8:$C$1007,MATCH(E8,'17-جلسات و دوره‌ها'!$A$8:$A$1007,0)),"")=D8),COUNTIFS('07-تصمیمات و مصوبات'!$A$8:$A$1007,B8)=1,IFERROR(INDEX('07-تصمیمات و مصوبات'!$B$8:$B$1007,MATCH(B8,'07-تصمیمات و مصوبات'!$A$8:$A$1007,0)),"")=E8)),"رابطه درخواست نامعتبر",IF(M8="","درخواست تعیین تکلیف نشده",IF(AND(OR(M8="رد",M8="تعویق"),OR(U8="",V8="",P8="")),"رد/تعویق؛ دلیل یا ریسک ناقص",IF(AND(M8="تصویب",OR(NOT(ISNUMBER(N8)),O8="",P8="",Q8="",NOT(ISNUMBER(R8)))),"منبع مصوب ناقص","معتبر")))))</f>
        <v>درخواست تعیین تکلیف نشده</v>
      </c>
    </row>
    <row r="9" spans="1:23" ht="36" customHeight="1">
      <c r="A9" s="1" t="s">
        <v>1140</v>
      </c>
      <c r="B9" s="1" t="s">
        <v>1061</v>
      </c>
      <c r="C9" s="1" t="s">
        <v>99</v>
      </c>
      <c r="D9" s="1" t="s">
        <v>529</v>
      </c>
      <c r="E9" s="1" t="s">
        <v>530</v>
      </c>
      <c r="F9" s="1" t="s">
        <v>531</v>
      </c>
      <c r="G9" s="1" t="s">
        <v>1141</v>
      </c>
      <c r="H9" s="1" t="s">
        <v>1142</v>
      </c>
      <c r="I9" s="1" t="s">
        <v>1143</v>
      </c>
      <c r="J9" s="1" t="s">
        <v>1144</v>
      </c>
      <c r="K9" s="1" t="s">
        <v>714</v>
      </c>
      <c r="L9" s="1">
        <v>100</v>
      </c>
      <c r="M9" s="1" t="s">
        <v>837</v>
      </c>
      <c r="N9" s="1">
        <v>1</v>
      </c>
      <c r="O9" s="1" t="s">
        <v>1145</v>
      </c>
      <c r="P9" s="1" t="s">
        <v>541</v>
      </c>
      <c r="Q9" s="1" t="s">
        <v>1146</v>
      </c>
      <c r="R9" s="4">
        <v>46324</v>
      </c>
      <c r="S9" s="1" t="s">
        <v>1147</v>
      </c>
      <c r="T9" s="1" t="s">
        <v>1148</v>
      </c>
      <c r="U9" s="1"/>
      <c r="V9" s="1"/>
      <c r="W9" s="3" t="str">
        <f>IF(A9="","",IF(NOT(AND(COUNTIFS('09-منابع و تغییرات'!$A$8:$A$1007,A9)=1,AND(COUNTIFS('17-جلسات و دوره‌ها'!$A$8:$A$1007,E9)=1,IFERROR(INDEX('17-جلسات و دوره‌ها'!$B$8:$B$1007,MATCH(E9,'17-جلسات و دوره‌ها'!$A$8:$A$1007,0)),"")=C9,IFERROR(INDEX('17-جلسات و دوره‌ها'!$C$8:$C$1007,MATCH(E9,'17-جلسات و دوره‌ها'!$A$8:$A$1007,0)),"")=D9),COUNTIFS('07-تصمیمات و مصوبات'!$A$8:$A$1007,B9)=1,IFERROR(INDEX('07-تصمیمات و مصوبات'!$B$8:$B$1007,MATCH(B9,'07-تصمیمات و مصوبات'!$A$8:$A$1007,0)),"")=E9)),"رابطه درخواست نامعتبر",IF(M9="","درخواست تعیین تکلیف نشده",IF(AND(OR(M9="رد",M9="تعویق"),OR(U9="",V9="",P9="")),"رد/تعویق؛ دلیل یا ریسک ناقص",IF(AND(M9="تصویب",OR(NOT(ISNUMBER(N9)),O9="",P9="",Q9="",NOT(ISNUMBER(R9)))),"منبع مصوب ناقص","معتبر")))))</f>
        <v>معتبر</v>
      </c>
    </row>
    <row r="10" spans="1:23" ht="36" customHeight="1">
      <c r="A10" s="1" t="s">
        <v>1149</v>
      </c>
      <c r="B10" s="1" t="s">
        <v>1070</v>
      </c>
      <c r="C10" s="1" t="s">
        <v>99</v>
      </c>
      <c r="D10" s="1" t="s">
        <v>529</v>
      </c>
      <c r="E10" s="1" t="s">
        <v>530</v>
      </c>
      <c r="F10" s="1" t="s">
        <v>531</v>
      </c>
      <c r="G10" s="1" t="s">
        <v>1150</v>
      </c>
      <c r="H10" s="1" t="s">
        <v>1142</v>
      </c>
      <c r="I10" s="1" t="s">
        <v>1151</v>
      </c>
      <c r="J10" s="1" t="s">
        <v>1144</v>
      </c>
      <c r="K10" s="1" t="s">
        <v>714</v>
      </c>
      <c r="L10" s="1">
        <v>100</v>
      </c>
      <c r="M10" s="1" t="s">
        <v>837</v>
      </c>
      <c r="N10" s="1">
        <v>1</v>
      </c>
      <c r="O10" s="1" t="s">
        <v>1145</v>
      </c>
      <c r="P10" s="1" t="s">
        <v>541</v>
      </c>
      <c r="Q10" s="1" t="s">
        <v>1146</v>
      </c>
      <c r="R10" s="4">
        <v>46324</v>
      </c>
      <c r="S10" s="1" t="s">
        <v>1147</v>
      </c>
      <c r="T10" s="1" t="s">
        <v>1148</v>
      </c>
      <c r="U10" s="1"/>
      <c r="V10" s="1"/>
      <c r="W10" s="3" t="str">
        <f>IF(A10="","",IF(NOT(AND(COUNTIFS('09-منابع و تغییرات'!$A$8:$A$1007,A10)=1,AND(COUNTIFS('17-جلسات و دوره‌ها'!$A$8:$A$1007,E10)=1,IFERROR(INDEX('17-جلسات و دوره‌ها'!$B$8:$B$1007,MATCH(E10,'17-جلسات و دوره‌ها'!$A$8:$A$1007,0)),"")=C10,IFERROR(INDEX('17-جلسات و دوره‌ها'!$C$8:$C$1007,MATCH(E10,'17-جلسات و دوره‌ها'!$A$8:$A$1007,0)),"")=D10),COUNTIFS('07-تصمیمات و مصوبات'!$A$8:$A$1007,B10)=1,IFERROR(INDEX('07-تصمیمات و مصوبات'!$B$8:$B$1007,MATCH(B10,'07-تصمیمات و مصوبات'!$A$8:$A$1007,0)),"")=E10)),"رابطه درخواست نامعتبر",IF(M10="","درخواست تعیین تکلیف نشده",IF(AND(OR(M10="رد",M10="تعویق"),OR(U10="",V10="",P10="")),"رد/تعویق؛ دلیل یا ریسک ناقص",IF(AND(M10="تصویب",OR(NOT(ISNUMBER(N10)),O10="",P10="",Q10="",NOT(ISNUMBER(R10)))),"منبع مصوب ناقص","معتبر")))))</f>
        <v>معتبر</v>
      </c>
    </row>
    <row r="11" spans="1:23" ht="36" customHeight="1">
      <c r="A11" s="1" t="s">
        <v>1152</v>
      </c>
      <c r="B11" s="1" t="s">
        <v>1083</v>
      </c>
      <c r="C11" s="1" t="s">
        <v>99</v>
      </c>
      <c r="D11" s="1" t="s">
        <v>529</v>
      </c>
      <c r="E11" s="1" t="s">
        <v>530</v>
      </c>
      <c r="F11" s="1" t="s">
        <v>531</v>
      </c>
      <c r="G11" s="1" t="s">
        <v>1153</v>
      </c>
      <c r="H11" s="1" t="s">
        <v>1142</v>
      </c>
      <c r="I11" s="1" t="s">
        <v>1143</v>
      </c>
      <c r="J11" s="1" t="s">
        <v>1144</v>
      </c>
      <c r="K11" s="1" t="s">
        <v>714</v>
      </c>
      <c r="L11" s="1">
        <v>100</v>
      </c>
      <c r="M11" s="1" t="s">
        <v>1085</v>
      </c>
      <c r="N11" s="1"/>
      <c r="O11" s="1" t="s">
        <v>1145</v>
      </c>
      <c r="P11" s="1" t="s">
        <v>541</v>
      </c>
      <c r="Q11" s="1" t="s">
        <v>1146</v>
      </c>
      <c r="R11" s="4">
        <v>46324</v>
      </c>
      <c r="S11" s="1" t="s">
        <v>1147</v>
      </c>
      <c r="T11" s="1" t="s">
        <v>1148</v>
      </c>
      <c r="U11" s="1" t="s">
        <v>1154</v>
      </c>
      <c r="V11" s="1"/>
      <c r="W11" s="3" t="str">
        <f>IF(A11="","",IF(NOT(AND(COUNTIFS('09-منابع و تغییرات'!$A$8:$A$1007,A11)=1,AND(COUNTIFS('17-جلسات و دوره‌ها'!$A$8:$A$1007,E11)=1,IFERROR(INDEX('17-جلسات و دوره‌ها'!$B$8:$B$1007,MATCH(E11,'17-جلسات و دوره‌ها'!$A$8:$A$1007,0)),"")=C11,IFERROR(INDEX('17-جلسات و دوره‌ها'!$C$8:$C$1007,MATCH(E11,'17-جلسات و دوره‌ها'!$A$8:$A$1007,0)),"")=D11),COUNTIFS('07-تصمیمات و مصوبات'!$A$8:$A$1007,B11)=1,IFERROR(INDEX('07-تصمیمات و مصوبات'!$B$8:$B$1007,MATCH(B11,'07-تصمیمات و مصوبات'!$A$8:$A$1007,0)),"")=E11)),"رابطه درخواست نامعتبر",IF(M11="","درخواست تعیین تکلیف نشده",IF(AND(OR(M11="رد",M11="تعویق"),OR(U11="",V11="",P11="")),"رد/تعویق؛ دلیل یا ریسک ناقص",IF(AND(M11="تصویب",OR(NOT(ISNUMBER(N11)),O11="",P11="",Q11="",NOT(ISNUMBER(R11)))),"منبع مصوب ناقص","معتبر")))))</f>
        <v>رد/تعویق؛ دلیل یا ریسک ناقص</v>
      </c>
    </row>
    <row r="12" spans="1:23" ht="36" customHeight="1">
      <c r="A12" s="1"/>
      <c r="B12" s="1"/>
      <c r="C12" s="1"/>
      <c r="D12" s="1"/>
      <c r="E12" s="1"/>
      <c r="F12" s="1"/>
      <c r="G12" s="1"/>
      <c r="H12" s="1"/>
      <c r="I12" s="1"/>
      <c r="J12" s="1"/>
      <c r="K12" s="1"/>
      <c r="L12" s="1"/>
      <c r="M12" s="1"/>
      <c r="N12" s="1"/>
      <c r="O12" s="1"/>
      <c r="P12" s="1"/>
      <c r="Q12" s="1"/>
      <c r="R12" s="4"/>
      <c r="S12" s="1"/>
      <c r="T12" s="1"/>
      <c r="U12" s="1"/>
      <c r="V12" s="1"/>
      <c r="W12" s="3" t="str">
        <f>IF(A12="","",IF(NOT(AND(COUNTIFS('09-منابع و تغییرات'!$A$8:$A$1007,A12)=1,AND(COUNTIFS('17-جلسات و دوره‌ها'!$A$8:$A$1007,E12)=1,IFERROR(INDEX('17-جلسات و دوره‌ها'!$B$8:$B$1007,MATCH(E12,'17-جلسات و دوره‌ها'!$A$8:$A$1007,0)),"")=C12,IFERROR(INDEX('17-جلسات و دوره‌ها'!$C$8:$C$1007,MATCH(E12,'17-جلسات و دوره‌ها'!$A$8:$A$1007,0)),"")=D12),COUNTIFS('07-تصمیمات و مصوبات'!$A$8:$A$1007,B12)=1,IFERROR(INDEX('07-تصمیمات و مصوبات'!$B$8:$B$1007,MATCH(B12,'07-تصمیمات و مصوبات'!$A$8:$A$1007,0)),"")=E12)),"رابطه درخواست نامعتبر",IF(M12="","درخواست تعیین تکلیف نشده",IF(AND(OR(M12="رد",M12="تعویق"),OR(U12="",V12="",P12="")),"رد/تعویق؛ دلیل یا ریسک ناقص",IF(AND(M12="تصویب",OR(NOT(ISNUMBER(N12)),O12="",P12="",Q12="",NOT(ISNUMBER(R12)))),"منبع مصوب ناقص","معتبر")))))</f>
        <v/>
      </c>
    </row>
    <row r="13" spans="1:23" ht="36" customHeight="1">
      <c r="A13" s="1"/>
      <c r="B13" s="1"/>
      <c r="C13" s="1"/>
      <c r="D13" s="1"/>
      <c r="E13" s="1"/>
      <c r="F13" s="1"/>
      <c r="G13" s="1"/>
      <c r="H13" s="1"/>
      <c r="I13" s="1"/>
      <c r="J13" s="1"/>
      <c r="K13" s="1"/>
      <c r="L13" s="1"/>
      <c r="M13" s="1"/>
      <c r="N13" s="1"/>
      <c r="O13" s="1"/>
      <c r="P13" s="1"/>
      <c r="Q13" s="1"/>
      <c r="R13" s="4"/>
      <c r="S13" s="1"/>
      <c r="T13" s="1"/>
      <c r="U13" s="1"/>
      <c r="V13" s="1"/>
      <c r="W13" s="3" t="str">
        <f>IF(A13="","",IF(NOT(AND(COUNTIFS('09-منابع و تغییرات'!$A$8:$A$1007,A13)=1,AND(COUNTIFS('17-جلسات و دوره‌ها'!$A$8:$A$1007,E13)=1,IFERROR(INDEX('17-جلسات و دوره‌ها'!$B$8:$B$1007,MATCH(E13,'17-جلسات و دوره‌ها'!$A$8:$A$1007,0)),"")=C13,IFERROR(INDEX('17-جلسات و دوره‌ها'!$C$8:$C$1007,MATCH(E13,'17-جلسات و دوره‌ها'!$A$8:$A$1007,0)),"")=D13),COUNTIFS('07-تصمیمات و مصوبات'!$A$8:$A$1007,B13)=1,IFERROR(INDEX('07-تصمیمات و مصوبات'!$B$8:$B$1007,MATCH(B13,'07-تصمیمات و مصوبات'!$A$8:$A$1007,0)),"")=E13)),"رابطه درخواست نامعتبر",IF(M13="","درخواست تعیین تکلیف نشده",IF(AND(OR(M13="رد",M13="تعویق"),OR(U13="",V13="",P13="")),"رد/تعویق؛ دلیل یا ریسک ناقص",IF(AND(M13="تصویب",OR(NOT(ISNUMBER(N13)),O13="",P13="",Q13="",NOT(ISNUMBER(R13)))),"منبع مصوب ناقص","معتبر")))))</f>
        <v/>
      </c>
    </row>
    <row r="14" spans="1:23" ht="36" customHeight="1">
      <c r="A14" s="1"/>
      <c r="B14" s="1"/>
      <c r="C14" s="1"/>
      <c r="D14" s="1"/>
      <c r="E14" s="1"/>
      <c r="F14" s="1"/>
      <c r="G14" s="1"/>
      <c r="H14" s="1"/>
      <c r="I14" s="1"/>
      <c r="J14" s="1"/>
      <c r="K14" s="1"/>
      <c r="L14" s="1"/>
      <c r="M14" s="1"/>
      <c r="N14" s="1"/>
      <c r="O14" s="1"/>
      <c r="P14" s="1"/>
      <c r="Q14" s="1"/>
      <c r="R14" s="4"/>
      <c r="S14" s="1"/>
      <c r="T14" s="1"/>
      <c r="U14" s="1"/>
      <c r="V14" s="1"/>
      <c r="W14" s="3" t="str">
        <f>IF(A14="","",IF(NOT(AND(COUNTIFS('09-منابع و تغییرات'!$A$8:$A$1007,A14)=1,AND(COUNTIFS('17-جلسات و دوره‌ها'!$A$8:$A$1007,E14)=1,IFERROR(INDEX('17-جلسات و دوره‌ها'!$B$8:$B$1007,MATCH(E14,'17-جلسات و دوره‌ها'!$A$8:$A$1007,0)),"")=C14,IFERROR(INDEX('17-جلسات و دوره‌ها'!$C$8:$C$1007,MATCH(E14,'17-جلسات و دوره‌ها'!$A$8:$A$1007,0)),"")=D14),COUNTIFS('07-تصمیمات و مصوبات'!$A$8:$A$1007,B14)=1,IFERROR(INDEX('07-تصمیمات و مصوبات'!$B$8:$B$1007,MATCH(B14,'07-تصمیمات و مصوبات'!$A$8:$A$1007,0)),"")=E14)),"رابطه درخواست نامعتبر",IF(M14="","درخواست تعیین تکلیف نشده",IF(AND(OR(M14="رد",M14="تعویق"),OR(U14="",V14="",P14="")),"رد/تعویق؛ دلیل یا ریسک ناقص",IF(AND(M14="تصویب",OR(NOT(ISNUMBER(N14)),O14="",P14="",Q14="",NOT(ISNUMBER(R14)))),"منبع مصوب ناقص","معتبر")))))</f>
        <v/>
      </c>
    </row>
    <row r="15" spans="1:23" ht="36" customHeight="1">
      <c r="A15" s="1"/>
      <c r="B15" s="1"/>
      <c r="C15" s="1"/>
      <c r="D15" s="1"/>
      <c r="E15" s="1"/>
      <c r="F15" s="1"/>
      <c r="G15" s="1"/>
      <c r="H15" s="1"/>
      <c r="I15" s="1"/>
      <c r="J15" s="1"/>
      <c r="K15" s="1"/>
      <c r="L15" s="1"/>
      <c r="M15" s="1"/>
      <c r="N15" s="1"/>
      <c r="O15" s="1"/>
      <c r="P15" s="1"/>
      <c r="Q15" s="1"/>
      <c r="R15" s="4"/>
      <c r="S15" s="1"/>
      <c r="T15" s="1"/>
      <c r="U15" s="1"/>
      <c r="V15" s="1"/>
      <c r="W15" s="3" t="str">
        <f>IF(A15="","",IF(NOT(AND(COUNTIFS('09-منابع و تغییرات'!$A$8:$A$1007,A15)=1,AND(COUNTIFS('17-جلسات و دوره‌ها'!$A$8:$A$1007,E15)=1,IFERROR(INDEX('17-جلسات و دوره‌ها'!$B$8:$B$1007,MATCH(E15,'17-جلسات و دوره‌ها'!$A$8:$A$1007,0)),"")=C15,IFERROR(INDEX('17-جلسات و دوره‌ها'!$C$8:$C$1007,MATCH(E15,'17-جلسات و دوره‌ها'!$A$8:$A$1007,0)),"")=D15),COUNTIFS('07-تصمیمات و مصوبات'!$A$8:$A$1007,B15)=1,IFERROR(INDEX('07-تصمیمات و مصوبات'!$B$8:$B$1007,MATCH(B15,'07-تصمیمات و مصوبات'!$A$8:$A$1007,0)),"")=E15)),"رابطه درخواست نامعتبر",IF(M15="","درخواست تعیین تکلیف نشده",IF(AND(OR(M15="رد",M15="تعویق"),OR(U15="",V15="",P15="")),"رد/تعویق؛ دلیل یا ریسک ناقص",IF(AND(M15="تصویب",OR(NOT(ISNUMBER(N15)),O15="",P15="",Q15="",NOT(ISNUMBER(R15)))),"منبع مصوب ناقص","معتبر")))))</f>
        <v/>
      </c>
    </row>
    <row r="16" spans="1:23" ht="36" customHeight="1">
      <c r="A16" s="1"/>
      <c r="B16" s="1"/>
      <c r="C16" s="1"/>
      <c r="D16" s="1"/>
      <c r="E16" s="1"/>
      <c r="F16" s="1"/>
      <c r="G16" s="1"/>
      <c r="H16" s="1"/>
      <c r="I16" s="1"/>
      <c r="J16" s="1"/>
      <c r="K16" s="1"/>
      <c r="L16" s="1"/>
      <c r="M16" s="1"/>
      <c r="N16" s="1"/>
      <c r="O16" s="1"/>
      <c r="P16" s="1"/>
      <c r="Q16" s="1"/>
      <c r="R16" s="4"/>
      <c r="S16" s="1"/>
      <c r="T16" s="1"/>
      <c r="U16" s="1"/>
      <c r="V16" s="1"/>
      <c r="W16" s="3" t="str">
        <f>IF(A16="","",IF(NOT(AND(COUNTIFS('09-منابع و تغییرات'!$A$8:$A$1007,A16)=1,AND(COUNTIFS('17-جلسات و دوره‌ها'!$A$8:$A$1007,E16)=1,IFERROR(INDEX('17-جلسات و دوره‌ها'!$B$8:$B$1007,MATCH(E16,'17-جلسات و دوره‌ها'!$A$8:$A$1007,0)),"")=C16,IFERROR(INDEX('17-جلسات و دوره‌ها'!$C$8:$C$1007,MATCH(E16,'17-جلسات و دوره‌ها'!$A$8:$A$1007,0)),"")=D16),COUNTIFS('07-تصمیمات و مصوبات'!$A$8:$A$1007,B16)=1,IFERROR(INDEX('07-تصمیمات و مصوبات'!$B$8:$B$1007,MATCH(B16,'07-تصمیمات و مصوبات'!$A$8:$A$1007,0)),"")=E16)),"رابطه درخواست نامعتبر",IF(M16="","درخواست تعیین تکلیف نشده",IF(AND(OR(M16="رد",M16="تعویق"),OR(U16="",V16="",P16="")),"رد/تعویق؛ دلیل یا ریسک ناقص",IF(AND(M16="تصویب",OR(NOT(ISNUMBER(N16)),O16="",P16="",Q16="",NOT(ISNUMBER(R16)))),"منبع مصوب ناقص","معتبر")))))</f>
        <v/>
      </c>
    </row>
    <row r="17" spans="1:23" ht="36" customHeight="1">
      <c r="A17" s="1"/>
      <c r="B17" s="1"/>
      <c r="C17" s="1"/>
      <c r="D17" s="1"/>
      <c r="E17" s="1"/>
      <c r="F17" s="1"/>
      <c r="G17" s="1"/>
      <c r="H17" s="1"/>
      <c r="I17" s="1"/>
      <c r="J17" s="1"/>
      <c r="K17" s="1"/>
      <c r="L17" s="1"/>
      <c r="M17" s="1"/>
      <c r="N17" s="1"/>
      <c r="O17" s="1"/>
      <c r="P17" s="1"/>
      <c r="Q17" s="1"/>
      <c r="R17" s="4"/>
      <c r="S17" s="1"/>
      <c r="T17" s="1"/>
      <c r="U17" s="1"/>
      <c r="V17" s="1"/>
      <c r="W17" s="3" t="str">
        <f>IF(A17="","",IF(NOT(AND(COUNTIFS('09-منابع و تغییرات'!$A$8:$A$1007,A17)=1,AND(COUNTIFS('17-جلسات و دوره‌ها'!$A$8:$A$1007,E17)=1,IFERROR(INDEX('17-جلسات و دوره‌ها'!$B$8:$B$1007,MATCH(E17,'17-جلسات و دوره‌ها'!$A$8:$A$1007,0)),"")=C17,IFERROR(INDEX('17-جلسات و دوره‌ها'!$C$8:$C$1007,MATCH(E17,'17-جلسات و دوره‌ها'!$A$8:$A$1007,0)),"")=D17),COUNTIFS('07-تصمیمات و مصوبات'!$A$8:$A$1007,B17)=1,IFERROR(INDEX('07-تصمیمات و مصوبات'!$B$8:$B$1007,MATCH(B17,'07-تصمیمات و مصوبات'!$A$8:$A$1007,0)),"")=E17)),"رابطه درخواست نامعتبر",IF(M17="","درخواست تعیین تکلیف نشده",IF(AND(OR(M17="رد",M17="تعویق"),OR(U17="",V17="",P17="")),"رد/تعویق؛ دلیل یا ریسک ناقص",IF(AND(M17="تصویب",OR(NOT(ISNUMBER(N17)),O17="",P17="",Q17="",NOT(ISNUMBER(R17)))),"منبع مصوب ناقص","معتبر")))))</f>
        <v/>
      </c>
    </row>
    <row r="18" spans="1:23" ht="36" customHeight="1">
      <c r="A18" s="1"/>
      <c r="B18" s="1"/>
      <c r="C18" s="1"/>
      <c r="D18" s="1"/>
      <c r="E18" s="1"/>
      <c r="F18" s="1"/>
      <c r="G18" s="1"/>
      <c r="H18" s="1"/>
      <c r="I18" s="1"/>
      <c r="J18" s="1"/>
      <c r="K18" s="1"/>
      <c r="L18" s="1"/>
      <c r="M18" s="1"/>
      <c r="N18" s="1"/>
      <c r="O18" s="1"/>
      <c r="P18" s="1"/>
      <c r="Q18" s="1"/>
      <c r="R18" s="4"/>
      <c r="S18" s="1"/>
      <c r="T18" s="1"/>
      <c r="U18" s="1"/>
      <c r="V18" s="1"/>
      <c r="W18" s="3" t="str">
        <f>IF(A18="","",IF(NOT(AND(COUNTIFS('09-منابع و تغییرات'!$A$8:$A$1007,A18)=1,AND(COUNTIFS('17-جلسات و دوره‌ها'!$A$8:$A$1007,E18)=1,IFERROR(INDEX('17-جلسات و دوره‌ها'!$B$8:$B$1007,MATCH(E18,'17-جلسات و دوره‌ها'!$A$8:$A$1007,0)),"")=C18,IFERROR(INDEX('17-جلسات و دوره‌ها'!$C$8:$C$1007,MATCH(E18,'17-جلسات و دوره‌ها'!$A$8:$A$1007,0)),"")=D18),COUNTIFS('07-تصمیمات و مصوبات'!$A$8:$A$1007,B18)=1,IFERROR(INDEX('07-تصمیمات و مصوبات'!$B$8:$B$1007,MATCH(B18,'07-تصمیمات و مصوبات'!$A$8:$A$1007,0)),"")=E18)),"رابطه درخواست نامعتبر",IF(M18="","درخواست تعیین تکلیف نشده",IF(AND(OR(M18="رد",M18="تعویق"),OR(U18="",V18="",P18="")),"رد/تعویق؛ دلیل یا ریسک ناقص",IF(AND(M18="تصویب",OR(NOT(ISNUMBER(N18)),O18="",P18="",Q18="",NOT(ISNUMBER(R18)))),"منبع مصوب ناقص","معتبر")))))</f>
        <v/>
      </c>
    </row>
    <row r="19" spans="1:23" ht="36" customHeight="1">
      <c r="A19" s="1"/>
      <c r="B19" s="1"/>
      <c r="C19" s="1"/>
      <c r="D19" s="1"/>
      <c r="E19" s="1"/>
      <c r="F19" s="1"/>
      <c r="G19" s="1"/>
      <c r="H19" s="1"/>
      <c r="I19" s="1"/>
      <c r="J19" s="1"/>
      <c r="K19" s="1"/>
      <c r="L19" s="1"/>
      <c r="M19" s="1"/>
      <c r="N19" s="1"/>
      <c r="O19" s="1"/>
      <c r="P19" s="1"/>
      <c r="Q19" s="1"/>
      <c r="R19" s="4"/>
      <c r="S19" s="1"/>
      <c r="T19" s="1"/>
      <c r="U19" s="1"/>
      <c r="V19" s="1"/>
      <c r="W19" s="3" t="str">
        <f>IF(A19="","",IF(NOT(AND(COUNTIFS('09-منابع و تغییرات'!$A$8:$A$1007,A19)=1,AND(COUNTIFS('17-جلسات و دوره‌ها'!$A$8:$A$1007,E19)=1,IFERROR(INDEX('17-جلسات و دوره‌ها'!$B$8:$B$1007,MATCH(E19,'17-جلسات و دوره‌ها'!$A$8:$A$1007,0)),"")=C19,IFERROR(INDEX('17-جلسات و دوره‌ها'!$C$8:$C$1007,MATCH(E19,'17-جلسات و دوره‌ها'!$A$8:$A$1007,0)),"")=D19),COUNTIFS('07-تصمیمات و مصوبات'!$A$8:$A$1007,B19)=1,IFERROR(INDEX('07-تصمیمات و مصوبات'!$B$8:$B$1007,MATCH(B19,'07-تصمیمات و مصوبات'!$A$8:$A$1007,0)),"")=E19)),"رابطه درخواست نامعتبر",IF(M19="","درخواست تعیین تکلیف نشده",IF(AND(OR(M19="رد",M19="تعویق"),OR(U19="",V19="",P19="")),"رد/تعویق؛ دلیل یا ریسک ناقص",IF(AND(M19="تصویب",OR(NOT(ISNUMBER(N19)),O19="",P19="",Q19="",NOT(ISNUMBER(R19)))),"منبع مصوب ناقص","معتبر")))))</f>
        <v/>
      </c>
    </row>
    <row r="20" spans="1:23" ht="36" customHeight="1">
      <c r="A20" s="1"/>
      <c r="B20" s="1"/>
      <c r="C20" s="1"/>
      <c r="D20" s="1"/>
      <c r="E20" s="1"/>
      <c r="F20" s="1"/>
      <c r="G20" s="1"/>
      <c r="H20" s="1"/>
      <c r="I20" s="1"/>
      <c r="J20" s="1"/>
      <c r="K20" s="1"/>
      <c r="L20" s="1"/>
      <c r="M20" s="1"/>
      <c r="N20" s="1"/>
      <c r="O20" s="1"/>
      <c r="P20" s="1"/>
      <c r="Q20" s="1"/>
      <c r="R20" s="4"/>
      <c r="S20" s="1"/>
      <c r="T20" s="1"/>
      <c r="U20" s="1"/>
      <c r="V20" s="1"/>
      <c r="W20" s="3" t="str">
        <f>IF(A20="","",IF(NOT(AND(COUNTIFS('09-منابع و تغییرات'!$A$8:$A$1007,A20)=1,AND(COUNTIFS('17-جلسات و دوره‌ها'!$A$8:$A$1007,E20)=1,IFERROR(INDEX('17-جلسات و دوره‌ها'!$B$8:$B$1007,MATCH(E20,'17-جلسات و دوره‌ها'!$A$8:$A$1007,0)),"")=C20,IFERROR(INDEX('17-جلسات و دوره‌ها'!$C$8:$C$1007,MATCH(E20,'17-جلسات و دوره‌ها'!$A$8:$A$1007,0)),"")=D20),COUNTIFS('07-تصمیمات و مصوبات'!$A$8:$A$1007,B20)=1,IFERROR(INDEX('07-تصمیمات و مصوبات'!$B$8:$B$1007,MATCH(B20,'07-تصمیمات و مصوبات'!$A$8:$A$1007,0)),"")=E20)),"رابطه درخواست نامعتبر",IF(M20="","درخواست تعیین تکلیف نشده",IF(AND(OR(M20="رد",M20="تعویق"),OR(U20="",V20="",P20="")),"رد/تعویق؛ دلیل یا ریسک ناقص",IF(AND(M20="تصویب",OR(NOT(ISNUMBER(N20)),O20="",P20="",Q20="",NOT(ISNUMBER(R20)))),"منبع مصوب ناقص","معتبر")))))</f>
        <v/>
      </c>
    </row>
    <row r="21" spans="1:23" ht="36" customHeight="1">
      <c r="A21" s="1"/>
      <c r="B21" s="1"/>
      <c r="C21" s="1"/>
      <c r="D21" s="1"/>
      <c r="E21" s="1"/>
      <c r="F21" s="1"/>
      <c r="G21" s="1"/>
      <c r="H21" s="1"/>
      <c r="I21" s="1"/>
      <c r="J21" s="1"/>
      <c r="K21" s="1"/>
      <c r="L21" s="1"/>
      <c r="M21" s="1"/>
      <c r="N21" s="1"/>
      <c r="O21" s="1"/>
      <c r="P21" s="1"/>
      <c r="Q21" s="1"/>
      <c r="R21" s="4"/>
      <c r="S21" s="1"/>
      <c r="T21" s="1"/>
      <c r="U21" s="1"/>
      <c r="V21" s="1"/>
      <c r="W21" s="3" t="str">
        <f>IF(A21="","",IF(NOT(AND(COUNTIFS('09-منابع و تغییرات'!$A$8:$A$1007,A21)=1,AND(COUNTIFS('17-جلسات و دوره‌ها'!$A$8:$A$1007,E21)=1,IFERROR(INDEX('17-جلسات و دوره‌ها'!$B$8:$B$1007,MATCH(E21,'17-جلسات و دوره‌ها'!$A$8:$A$1007,0)),"")=C21,IFERROR(INDEX('17-جلسات و دوره‌ها'!$C$8:$C$1007,MATCH(E21,'17-جلسات و دوره‌ها'!$A$8:$A$1007,0)),"")=D21),COUNTIFS('07-تصمیمات و مصوبات'!$A$8:$A$1007,B21)=1,IFERROR(INDEX('07-تصمیمات و مصوبات'!$B$8:$B$1007,MATCH(B21,'07-تصمیمات و مصوبات'!$A$8:$A$1007,0)),"")=E21)),"رابطه درخواست نامعتبر",IF(M21="","درخواست تعیین تکلیف نشده",IF(AND(OR(M21="رد",M21="تعویق"),OR(U21="",V21="",P21="")),"رد/تعویق؛ دلیل یا ریسک ناقص",IF(AND(M21="تصویب",OR(NOT(ISNUMBER(N21)),O21="",P21="",Q21="",NOT(ISNUMBER(R21)))),"منبع مصوب ناقص","معتبر")))))</f>
        <v/>
      </c>
    </row>
    <row r="22" spans="1:23" ht="36" customHeight="1">
      <c r="A22" s="1"/>
      <c r="B22" s="1"/>
      <c r="C22" s="1"/>
      <c r="D22" s="1"/>
      <c r="E22" s="1"/>
      <c r="F22" s="1"/>
      <c r="G22" s="1"/>
      <c r="H22" s="1"/>
      <c r="I22" s="1"/>
      <c r="J22" s="1"/>
      <c r="K22" s="1"/>
      <c r="L22" s="1"/>
      <c r="M22" s="1"/>
      <c r="N22" s="1"/>
      <c r="O22" s="1"/>
      <c r="P22" s="1"/>
      <c r="Q22" s="1"/>
      <c r="R22" s="4"/>
      <c r="S22" s="1"/>
      <c r="T22" s="1"/>
      <c r="U22" s="1"/>
      <c r="V22" s="1"/>
      <c r="W22" s="3" t="str">
        <f>IF(A22="","",IF(NOT(AND(COUNTIFS('09-منابع و تغییرات'!$A$8:$A$1007,A22)=1,AND(COUNTIFS('17-جلسات و دوره‌ها'!$A$8:$A$1007,E22)=1,IFERROR(INDEX('17-جلسات و دوره‌ها'!$B$8:$B$1007,MATCH(E22,'17-جلسات و دوره‌ها'!$A$8:$A$1007,0)),"")=C22,IFERROR(INDEX('17-جلسات و دوره‌ها'!$C$8:$C$1007,MATCH(E22,'17-جلسات و دوره‌ها'!$A$8:$A$1007,0)),"")=D22),COUNTIFS('07-تصمیمات و مصوبات'!$A$8:$A$1007,B22)=1,IFERROR(INDEX('07-تصمیمات و مصوبات'!$B$8:$B$1007,MATCH(B22,'07-تصمیمات و مصوبات'!$A$8:$A$1007,0)),"")=E22)),"رابطه درخواست نامعتبر",IF(M22="","درخواست تعیین تکلیف نشده",IF(AND(OR(M22="رد",M22="تعویق"),OR(U22="",V22="",P22="")),"رد/تعویق؛ دلیل یا ریسک ناقص",IF(AND(M22="تصویب",OR(NOT(ISNUMBER(N22)),O22="",P22="",Q22="",NOT(ISNUMBER(R22)))),"منبع مصوب ناقص","معتبر")))))</f>
        <v/>
      </c>
    </row>
    <row r="23" spans="1:23" ht="36" customHeight="1">
      <c r="A23" s="1"/>
      <c r="B23" s="1"/>
      <c r="C23" s="1"/>
      <c r="D23" s="1"/>
      <c r="E23" s="1"/>
      <c r="F23" s="1"/>
      <c r="G23" s="1"/>
      <c r="H23" s="1"/>
      <c r="I23" s="1"/>
      <c r="J23" s="1"/>
      <c r="K23" s="1"/>
      <c r="L23" s="1"/>
      <c r="M23" s="1"/>
      <c r="N23" s="1"/>
      <c r="O23" s="1"/>
      <c r="P23" s="1"/>
      <c r="Q23" s="1"/>
      <c r="R23" s="4"/>
      <c r="S23" s="1"/>
      <c r="T23" s="1"/>
      <c r="U23" s="1"/>
      <c r="V23" s="1"/>
      <c r="W23" s="3" t="str">
        <f>IF(A23="","",IF(NOT(AND(COUNTIFS('09-منابع و تغییرات'!$A$8:$A$1007,A23)=1,AND(COUNTIFS('17-جلسات و دوره‌ها'!$A$8:$A$1007,E23)=1,IFERROR(INDEX('17-جلسات و دوره‌ها'!$B$8:$B$1007,MATCH(E23,'17-جلسات و دوره‌ها'!$A$8:$A$1007,0)),"")=C23,IFERROR(INDEX('17-جلسات و دوره‌ها'!$C$8:$C$1007,MATCH(E23,'17-جلسات و دوره‌ها'!$A$8:$A$1007,0)),"")=D23),COUNTIFS('07-تصمیمات و مصوبات'!$A$8:$A$1007,B23)=1,IFERROR(INDEX('07-تصمیمات و مصوبات'!$B$8:$B$1007,MATCH(B23,'07-تصمیمات و مصوبات'!$A$8:$A$1007,0)),"")=E23)),"رابطه درخواست نامعتبر",IF(M23="","درخواست تعیین تکلیف نشده",IF(AND(OR(M23="رد",M23="تعویق"),OR(U23="",V23="",P23="")),"رد/تعویق؛ دلیل یا ریسک ناقص",IF(AND(M23="تصویب",OR(NOT(ISNUMBER(N23)),O23="",P23="",Q23="",NOT(ISNUMBER(R23)))),"منبع مصوب ناقص","معتبر")))))</f>
        <v/>
      </c>
    </row>
  </sheetData>
  <mergeCells count="2">
    <mergeCell ref="A1:W1"/>
    <mergeCell ref="A2:W3"/>
  </mergeCells>
  <conditionalFormatting sqref="A8:A23">
    <cfRule type="duplicateValues" dxfId="49" priority="1"/>
  </conditionalFormatting>
  <conditionalFormatting sqref="W8:W23">
    <cfRule type="containsText" dxfId="48" priority="2" operator="containsText" text="ناقص"/>
  </conditionalFormatting>
  <dataValidations count="1">
    <dataValidation type="list" sqref="M8:M23" xr:uid="{00000000-0002-0000-0900-000000000000}">
      <formula1>"تصویب,رد,تعویق"</formula1>
    </dataValidation>
  </dataValidation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892A5"/>
    <pageSetUpPr fitToPage="1"/>
  </sheetPr>
  <dimension ref="A1:Q23"/>
  <sheetViews>
    <sheetView showGridLines="0" rightToLeft="1" zoomScale="85" workbookViewId="0">
      <pane ySplit="7" topLeftCell="A8" activePane="bottomLeft" state="frozen"/>
      <selection pane="bottomLeft" sqref="A1:Q1"/>
    </sheetView>
  </sheetViews>
  <sheetFormatPr defaultRowHeight="14.25"/>
  <cols>
    <col min="1" max="3" width="20" customWidth="1"/>
    <col min="4" max="4" width="14" customWidth="1"/>
    <col min="5" max="5" width="16" customWidth="1"/>
    <col min="6" max="6" width="24" customWidth="1"/>
    <col min="7" max="7" width="27" customWidth="1"/>
    <col min="8" max="9" width="45" customWidth="1"/>
    <col min="10" max="10" width="26" customWidth="1"/>
    <col min="11" max="11" width="25" customWidth="1"/>
    <col min="12" max="12" width="18" customWidth="1"/>
    <col min="13" max="13" width="40" customWidth="1"/>
    <col min="14" max="14" width="32" customWidth="1"/>
    <col min="15" max="15" width="24" customWidth="1"/>
    <col min="16" max="16" width="40" customWidth="1"/>
    <col min="17" max="17" width="38" customWidth="1"/>
  </cols>
  <sheetData>
    <row r="1" spans="1:17" ht="33.950000000000003" customHeight="1">
      <c r="A1" s="7" t="s">
        <v>1155</v>
      </c>
      <c r="B1" s="7"/>
      <c r="C1" s="7"/>
      <c r="D1" s="7"/>
      <c r="E1" s="7"/>
      <c r="F1" s="7"/>
      <c r="G1" s="7"/>
      <c r="H1" s="7"/>
      <c r="I1" s="7"/>
      <c r="J1" s="7"/>
      <c r="K1" s="7"/>
      <c r="L1" s="7"/>
      <c r="M1" s="7"/>
      <c r="N1" s="7"/>
      <c r="O1" s="7"/>
      <c r="P1" s="7"/>
      <c r="Q1" s="7"/>
    </row>
    <row r="2" spans="1:17" ht="26.1" customHeight="1">
      <c r="A2" s="8" t="s">
        <v>1156</v>
      </c>
      <c r="B2" s="8"/>
      <c r="C2" s="8"/>
      <c r="D2" s="8"/>
      <c r="E2" s="8"/>
      <c r="F2" s="8"/>
      <c r="G2" s="8"/>
      <c r="H2" s="8"/>
      <c r="I2" s="8"/>
      <c r="J2" s="8"/>
      <c r="K2" s="8"/>
      <c r="L2" s="8"/>
      <c r="M2" s="8"/>
      <c r="N2" s="8"/>
      <c r="O2" s="8"/>
      <c r="P2" s="8"/>
      <c r="Q2" s="8"/>
    </row>
    <row r="3" spans="1:17" ht="26.1" customHeight="1">
      <c r="A3" s="8"/>
      <c r="B3" s="8"/>
      <c r="C3" s="8"/>
      <c r="D3" s="8"/>
      <c r="E3" s="8"/>
      <c r="F3" s="8"/>
      <c r="G3" s="8"/>
      <c r="H3" s="8"/>
      <c r="I3" s="8"/>
      <c r="J3" s="8"/>
      <c r="K3" s="8"/>
      <c r="L3" s="8"/>
      <c r="M3" s="8"/>
      <c r="N3" s="8"/>
      <c r="O3" s="8"/>
      <c r="P3" s="8"/>
      <c r="Q3" s="8"/>
    </row>
    <row r="4" spans="1:17">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c r="A6" s="1"/>
      <c r="B6" s="1"/>
      <c r="C6" s="1"/>
      <c r="D6" s="1"/>
      <c r="E6" s="1"/>
      <c r="F6" s="1"/>
      <c r="G6" s="1"/>
      <c r="H6" s="1"/>
      <c r="I6" s="1"/>
      <c r="J6" s="1"/>
      <c r="K6" s="1"/>
      <c r="L6" s="1"/>
      <c r="M6" s="1"/>
      <c r="N6" s="1"/>
      <c r="O6" s="1"/>
      <c r="P6" s="1"/>
      <c r="Q6" s="1"/>
    </row>
    <row r="7" spans="1:17" ht="48" customHeight="1">
      <c r="A7" s="2" t="s">
        <v>1157</v>
      </c>
      <c r="B7" s="2" t="s">
        <v>1116</v>
      </c>
      <c r="C7" s="2" t="s">
        <v>1158</v>
      </c>
      <c r="D7" s="2" t="s">
        <v>364</v>
      </c>
      <c r="E7" s="2" t="s">
        <v>365</v>
      </c>
      <c r="F7" s="2" t="s">
        <v>366</v>
      </c>
      <c r="G7" s="2" t="s">
        <v>94</v>
      </c>
      <c r="H7" s="2" t="s">
        <v>1159</v>
      </c>
      <c r="I7" s="2" t="s">
        <v>1160</v>
      </c>
      <c r="J7" s="2" t="s">
        <v>1161</v>
      </c>
      <c r="K7" s="2" t="s">
        <v>1162</v>
      </c>
      <c r="L7" s="2" t="s">
        <v>1163</v>
      </c>
      <c r="M7" s="2" t="s">
        <v>1164</v>
      </c>
      <c r="N7" s="2" t="s">
        <v>1165</v>
      </c>
      <c r="O7" s="2" t="s">
        <v>1166</v>
      </c>
      <c r="P7" s="2" t="s">
        <v>1167</v>
      </c>
      <c r="Q7" s="2" t="s">
        <v>1168</v>
      </c>
    </row>
    <row r="8" spans="1:17" ht="36" customHeight="1">
      <c r="A8" s="1" t="s">
        <v>1169</v>
      </c>
      <c r="B8" s="1" t="s">
        <v>1080</v>
      </c>
      <c r="C8" s="1" t="s">
        <v>1082</v>
      </c>
      <c r="D8" s="1" t="s">
        <v>99</v>
      </c>
      <c r="E8" s="1" t="s">
        <v>529</v>
      </c>
      <c r="F8" s="1" t="s">
        <v>530</v>
      </c>
      <c r="G8" s="1" t="s">
        <v>531</v>
      </c>
      <c r="H8" s="1" t="s">
        <v>1170</v>
      </c>
      <c r="I8" s="1" t="s">
        <v>1171</v>
      </c>
      <c r="J8" s="1" t="s">
        <v>1111</v>
      </c>
      <c r="K8" s="1" t="s">
        <v>534</v>
      </c>
      <c r="L8" s="4"/>
      <c r="M8" s="1"/>
      <c r="N8" s="1" t="s">
        <v>1172</v>
      </c>
      <c r="O8" s="1"/>
      <c r="P8" s="1" t="s">
        <v>1173</v>
      </c>
      <c r="Q8" s="3" t="str">
        <f>IF(A8="","",IF(NOT(AND(COUNTIFS('10-ارزیابی اثربخشی'!$A$8:$A$1007,A8)=1,AND(COUNTIFS('17-جلسات و دوره‌ها'!$A$8:$A$1007,F8)=1,IFERROR(INDEX('17-جلسات و دوره‌ها'!$B$8:$B$1007,MATCH(F8,'17-جلسات و دوره‌ها'!$A$8:$A$1007,0)),"")=D8,IFERROR(INDEX('17-جلسات و دوره‌ها'!$C$8:$C$1007,MATCH(F8,'17-جلسات و دوره‌ها'!$A$8:$A$1007,0)),"")=E8),COUNTIFS('08-برنامه اقدامات'!$A$8:$A$1007,C8)=1,IFERROR(INDEX('08-برنامه اقدامات'!$B$8:$B$1007,MATCH(C8,'08-برنامه اقدامات'!$A$8:$A$1007,0)),"")=B8,IFERROR(INDEX('08-برنامه اقدامات'!$E$8:$E$1007,MATCH(C8,'08-برنامه اقدامات'!$A$8:$A$1007,0)),"")=F8)),"رابطه ارزیابی نامعتبر",IF(N8&lt;&gt;"اثربخش",IF(N8="","ارزیابی ثبت نشده",N8),IF(AND(IFERROR(INDEX('08-برنامه اقدامات'!$L$8:$L$1007,MATCH(C8,'08-برنامه اقدامات'!$A$8:$A$1007,0)),"")="انجام شد",IFERROR(INDEX('08-برنامه اقدامات'!$Q$8:$Q$1007,MATCH(C8,'08-برنامه اقدامات'!$A$8:$A$1007,0)),"")="معتبر",H8&lt;&gt;"",I8&lt;&gt;"",AND(COUNTIFS('14-مستندات و پیوست‌ها'!$A$8:$A$1007,K8)=1,IFERROR(INDEX('14-مستندات و پیوست‌ها'!$B$8:$B$1007,MATCH(K8,'14-مستندات و پیوست‌ها'!$A$8:$A$1007,0)),"")=D8,OR(IFERROR(INDEX('14-مستندات و پیوست‌ها'!$H$8:$H$1007,MATCH(K8,'14-مستندات و پیوست‌ها'!$A$8:$A$1007,0)),"")="دریافت شده",IFERROR(INDEX('14-مستندات و پیوست‌ها'!$H$8:$H$1007,MATCH(K8,'14-مستندات و پیوست‌ها'!$A$8:$A$1007,0)),"")="فرضی")),ISNUMBER(L8),L8&lt;='01-تنظیمات'!$B$6,L8&gt;=IFERROR(INDEX('08-برنامه اقدامات'!$O$8:$O$1007,MATCH(C8,'08-برنامه اقدامات'!$A$8:$A$1007,0)),""),L8=_xlfn.MAXIFS('10-ارزیابی اثربخشی'!$L$8:$L$1007,'10-ارزیابی اثربخشی'!$C$8:$C$1007,C8),COUNTIFS('10-ارزیابی اثربخشی'!$C$8:$C$1007,C8,'10-ارزیابی اثربخشی'!$L$8:$L$1007,L8)=1,M8&lt;&gt;"",O8&lt;&gt;""),"اثربخش معتبر","ادعای اثربخشی فاقد شاهد"))))</f>
        <v>در انتظار زمان ارزیابی</v>
      </c>
    </row>
    <row r="9" spans="1:17" ht="36" customHeight="1">
      <c r="A9" s="1"/>
      <c r="B9" s="1"/>
      <c r="C9" s="1"/>
      <c r="D9" s="1"/>
      <c r="E9" s="1"/>
      <c r="F9" s="1"/>
      <c r="G9" s="1"/>
      <c r="H9" s="1"/>
      <c r="I9" s="1"/>
      <c r="J9" s="1"/>
      <c r="K9" s="1"/>
      <c r="L9" s="4"/>
      <c r="M9" s="1"/>
      <c r="N9" s="1"/>
      <c r="O9" s="1"/>
      <c r="P9" s="1"/>
      <c r="Q9" s="3" t="str">
        <f>IF(A9="","",IF(NOT(AND(COUNTIFS('10-ارزیابی اثربخشی'!$A$8:$A$1007,A9)=1,AND(COUNTIFS('17-جلسات و دوره‌ها'!$A$8:$A$1007,F9)=1,IFERROR(INDEX('17-جلسات و دوره‌ها'!$B$8:$B$1007,MATCH(F9,'17-جلسات و دوره‌ها'!$A$8:$A$1007,0)),"")=D9,IFERROR(INDEX('17-جلسات و دوره‌ها'!$C$8:$C$1007,MATCH(F9,'17-جلسات و دوره‌ها'!$A$8:$A$1007,0)),"")=E9),COUNTIFS('08-برنامه اقدامات'!$A$8:$A$1007,C9)=1,IFERROR(INDEX('08-برنامه اقدامات'!$B$8:$B$1007,MATCH(C9,'08-برنامه اقدامات'!$A$8:$A$1007,0)),"")=B9,IFERROR(INDEX('08-برنامه اقدامات'!$E$8:$E$1007,MATCH(C9,'08-برنامه اقدامات'!$A$8:$A$1007,0)),"")=F9)),"رابطه ارزیابی نامعتبر",IF(N9&lt;&gt;"اثربخش",IF(N9="","ارزیابی ثبت نشده",N9),IF(AND(IFERROR(INDEX('08-برنامه اقدامات'!$L$8:$L$1007,MATCH(C9,'08-برنامه اقدامات'!$A$8:$A$1007,0)),"")="انجام شد",IFERROR(INDEX('08-برنامه اقدامات'!$Q$8:$Q$1007,MATCH(C9,'08-برنامه اقدامات'!$A$8:$A$1007,0)),"")="معتبر",H9&lt;&gt;"",I9&lt;&gt;"",AND(COUNTIFS('14-مستندات و پیوست‌ها'!$A$8:$A$1007,K9)=1,IFERROR(INDEX('14-مستندات و پیوست‌ها'!$B$8:$B$1007,MATCH(K9,'14-مستندات و پیوست‌ها'!$A$8:$A$1007,0)),"")=D9,OR(IFERROR(INDEX('14-مستندات و پیوست‌ها'!$H$8:$H$1007,MATCH(K9,'14-مستندات و پیوست‌ها'!$A$8:$A$1007,0)),"")="دریافت شده",IFERROR(INDEX('14-مستندات و پیوست‌ها'!$H$8:$H$1007,MATCH(K9,'14-مستندات و پیوست‌ها'!$A$8:$A$1007,0)),"")="فرضی")),ISNUMBER(L9),L9&lt;='01-تنظیمات'!$B$6,L9&gt;=IFERROR(INDEX('08-برنامه اقدامات'!$O$8:$O$1007,MATCH(C9,'08-برنامه اقدامات'!$A$8:$A$1007,0)),""),L9=_xlfn.MAXIFS('10-ارزیابی اثربخشی'!$L$8:$L$1007,'10-ارزیابی اثربخشی'!$C$8:$C$1007,C9),COUNTIFS('10-ارزیابی اثربخشی'!$C$8:$C$1007,C9,'10-ارزیابی اثربخشی'!$L$8:$L$1007,L9)=1,M9&lt;&gt;"",O9&lt;&gt;""),"اثربخش معتبر","ادعای اثربخشی فاقد شاهد"))))</f>
        <v/>
      </c>
    </row>
    <row r="10" spans="1:17" ht="36" customHeight="1">
      <c r="A10" s="1"/>
      <c r="B10" s="1"/>
      <c r="C10" s="1"/>
      <c r="D10" s="1"/>
      <c r="E10" s="1"/>
      <c r="F10" s="1"/>
      <c r="G10" s="1"/>
      <c r="H10" s="1"/>
      <c r="I10" s="1"/>
      <c r="J10" s="1"/>
      <c r="K10" s="1"/>
      <c r="L10" s="4"/>
      <c r="M10" s="1"/>
      <c r="N10" s="1"/>
      <c r="O10" s="1"/>
      <c r="P10" s="1"/>
      <c r="Q10" s="3" t="str">
        <f>IF(A10="","",IF(NOT(AND(COUNTIFS('10-ارزیابی اثربخشی'!$A$8:$A$1007,A10)=1,AND(COUNTIFS('17-جلسات و دوره‌ها'!$A$8:$A$1007,F10)=1,IFERROR(INDEX('17-جلسات و دوره‌ها'!$B$8:$B$1007,MATCH(F10,'17-جلسات و دوره‌ها'!$A$8:$A$1007,0)),"")=D10,IFERROR(INDEX('17-جلسات و دوره‌ها'!$C$8:$C$1007,MATCH(F10,'17-جلسات و دوره‌ها'!$A$8:$A$1007,0)),"")=E10),COUNTIFS('08-برنامه اقدامات'!$A$8:$A$1007,C10)=1,IFERROR(INDEX('08-برنامه اقدامات'!$B$8:$B$1007,MATCH(C10,'08-برنامه اقدامات'!$A$8:$A$1007,0)),"")=B10,IFERROR(INDEX('08-برنامه اقدامات'!$E$8:$E$1007,MATCH(C10,'08-برنامه اقدامات'!$A$8:$A$1007,0)),"")=F10)),"رابطه ارزیابی نامعتبر",IF(N10&lt;&gt;"اثربخش",IF(N10="","ارزیابی ثبت نشده",N10),IF(AND(IFERROR(INDEX('08-برنامه اقدامات'!$L$8:$L$1007,MATCH(C10,'08-برنامه اقدامات'!$A$8:$A$1007,0)),"")="انجام شد",IFERROR(INDEX('08-برنامه اقدامات'!$Q$8:$Q$1007,MATCH(C10,'08-برنامه اقدامات'!$A$8:$A$1007,0)),"")="معتبر",H10&lt;&gt;"",I10&lt;&gt;"",AND(COUNTIFS('14-مستندات و پیوست‌ها'!$A$8:$A$1007,K10)=1,IFERROR(INDEX('14-مستندات و پیوست‌ها'!$B$8:$B$1007,MATCH(K10,'14-مستندات و پیوست‌ها'!$A$8:$A$1007,0)),"")=D10,OR(IFERROR(INDEX('14-مستندات و پیوست‌ها'!$H$8:$H$1007,MATCH(K10,'14-مستندات و پیوست‌ها'!$A$8:$A$1007,0)),"")="دریافت شده",IFERROR(INDEX('14-مستندات و پیوست‌ها'!$H$8:$H$1007,MATCH(K10,'14-مستندات و پیوست‌ها'!$A$8:$A$1007,0)),"")="فرضی")),ISNUMBER(L10),L10&lt;='01-تنظیمات'!$B$6,L10&gt;=IFERROR(INDEX('08-برنامه اقدامات'!$O$8:$O$1007,MATCH(C10,'08-برنامه اقدامات'!$A$8:$A$1007,0)),""),L10=_xlfn.MAXIFS('10-ارزیابی اثربخشی'!$L$8:$L$1007,'10-ارزیابی اثربخشی'!$C$8:$C$1007,C10),COUNTIFS('10-ارزیابی اثربخشی'!$C$8:$C$1007,C10,'10-ارزیابی اثربخشی'!$L$8:$L$1007,L10)=1,M10&lt;&gt;"",O10&lt;&gt;""),"اثربخش معتبر","ادعای اثربخشی فاقد شاهد"))))</f>
        <v/>
      </c>
    </row>
    <row r="11" spans="1:17" ht="36" customHeight="1">
      <c r="A11" s="1"/>
      <c r="B11" s="1"/>
      <c r="C11" s="1"/>
      <c r="D11" s="1"/>
      <c r="E11" s="1"/>
      <c r="F11" s="1"/>
      <c r="G11" s="1"/>
      <c r="H11" s="1"/>
      <c r="I11" s="1"/>
      <c r="J11" s="1"/>
      <c r="K11" s="1"/>
      <c r="L11" s="4"/>
      <c r="M11" s="1"/>
      <c r="N11" s="1"/>
      <c r="O11" s="1"/>
      <c r="P11" s="1"/>
      <c r="Q11" s="3" t="str">
        <f>IF(A11="","",IF(NOT(AND(COUNTIFS('10-ارزیابی اثربخشی'!$A$8:$A$1007,A11)=1,AND(COUNTIFS('17-جلسات و دوره‌ها'!$A$8:$A$1007,F11)=1,IFERROR(INDEX('17-جلسات و دوره‌ها'!$B$8:$B$1007,MATCH(F11,'17-جلسات و دوره‌ها'!$A$8:$A$1007,0)),"")=D11,IFERROR(INDEX('17-جلسات و دوره‌ها'!$C$8:$C$1007,MATCH(F11,'17-جلسات و دوره‌ها'!$A$8:$A$1007,0)),"")=E11),COUNTIFS('08-برنامه اقدامات'!$A$8:$A$1007,C11)=1,IFERROR(INDEX('08-برنامه اقدامات'!$B$8:$B$1007,MATCH(C11,'08-برنامه اقدامات'!$A$8:$A$1007,0)),"")=B11,IFERROR(INDEX('08-برنامه اقدامات'!$E$8:$E$1007,MATCH(C11,'08-برنامه اقدامات'!$A$8:$A$1007,0)),"")=F11)),"رابطه ارزیابی نامعتبر",IF(N11&lt;&gt;"اثربخش",IF(N11="","ارزیابی ثبت نشده",N11),IF(AND(IFERROR(INDEX('08-برنامه اقدامات'!$L$8:$L$1007,MATCH(C11,'08-برنامه اقدامات'!$A$8:$A$1007,0)),"")="انجام شد",IFERROR(INDEX('08-برنامه اقدامات'!$Q$8:$Q$1007,MATCH(C11,'08-برنامه اقدامات'!$A$8:$A$1007,0)),"")="معتبر",H11&lt;&gt;"",I11&lt;&gt;"",AND(COUNTIFS('14-مستندات و پیوست‌ها'!$A$8:$A$1007,K11)=1,IFERROR(INDEX('14-مستندات و پیوست‌ها'!$B$8:$B$1007,MATCH(K11,'14-مستندات و پیوست‌ها'!$A$8:$A$1007,0)),"")=D11,OR(IFERROR(INDEX('14-مستندات و پیوست‌ها'!$H$8:$H$1007,MATCH(K11,'14-مستندات و پیوست‌ها'!$A$8:$A$1007,0)),"")="دریافت شده",IFERROR(INDEX('14-مستندات و پیوست‌ها'!$H$8:$H$1007,MATCH(K11,'14-مستندات و پیوست‌ها'!$A$8:$A$1007,0)),"")="فرضی")),ISNUMBER(L11),L11&lt;='01-تنظیمات'!$B$6,L11&gt;=IFERROR(INDEX('08-برنامه اقدامات'!$O$8:$O$1007,MATCH(C11,'08-برنامه اقدامات'!$A$8:$A$1007,0)),""),L11=_xlfn.MAXIFS('10-ارزیابی اثربخشی'!$L$8:$L$1007,'10-ارزیابی اثربخشی'!$C$8:$C$1007,C11),COUNTIFS('10-ارزیابی اثربخشی'!$C$8:$C$1007,C11,'10-ارزیابی اثربخشی'!$L$8:$L$1007,L11)=1,M11&lt;&gt;"",O11&lt;&gt;""),"اثربخش معتبر","ادعای اثربخشی فاقد شاهد"))))</f>
        <v/>
      </c>
    </row>
    <row r="12" spans="1:17" ht="36" customHeight="1">
      <c r="A12" s="1"/>
      <c r="B12" s="1"/>
      <c r="C12" s="1"/>
      <c r="D12" s="1"/>
      <c r="E12" s="1"/>
      <c r="F12" s="1"/>
      <c r="G12" s="1"/>
      <c r="H12" s="1"/>
      <c r="I12" s="1"/>
      <c r="J12" s="1"/>
      <c r="K12" s="1"/>
      <c r="L12" s="4"/>
      <c r="M12" s="1"/>
      <c r="N12" s="1"/>
      <c r="O12" s="1"/>
      <c r="P12" s="1"/>
      <c r="Q12" s="3" t="str">
        <f>IF(A12="","",IF(NOT(AND(COUNTIFS('10-ارزیابی اثربخشی'!$A$8:$A$1007,A12)=1,AND(COUNTIFS('17-جلسات و دوره‌ها'!$A$8:$A$1007,F12)=1,IFERROR(INDEX('17-جلسات و دوره‌ها'!$B$8:$B$1007,MATCH(F12,'17-جلسات و دوره‌ها'!$A$8:$A$1007,0)),"")=D12,IFERROR(INDEX('17-جلسات و دوره‌ها'!$C$8:$C$1007,MATCH(F12,'17-جلسات و دوره‌ها'!$A$8:$A$1007,0)),"")=E12),COUNTIFS('08-برنامه اقدامات'!$A$8:$A$1007,C12)=1,IFERROR(INDEX('08-برنامه اقدامات'!$B$8:$B$1007,MATCH(C12,'08-برنامه اقدامات'!$A$8:$A$1007,0)),"")=B12,IFERROR(INDEX('08-برنامه اقدامات'!$E$8:$E$1007,MATCH(C12,'08-برنامه اقدامات'!$A$8:$A$1007,0)),"")=F12)),"رابطه ارزیابی نامعتبر",IF(N12&lt;&gt;"اثربخش",IF(N12="","ارزیابی ثبت نشده",N12),IF(AND(IFERROR(INDEX('08-برنامه اقدامات'!$L$8:$L$1007,MATCH(C12,'08-برنامه اقدامات'!$A$8:$A$1007,0)),"")="انجام شد",IFERROR(INDEX('08-برنامه اقدامات'!$Q$8:$Q$1007,MATCH(C12,'08-برنامه اقدامات'!$A$8:$A$1007,0)),"")="معتبر",H12&lt;&gt;"",I12&lt;&gt;"",AND(COUNTIFS('14-مستندات و پیوست‌ها'!$A$8:$A$1007,K12)=1,IFERROR(INDEX('14-مستندات و پیوست‌ها'!$B$8:$B$1007,MATCH(K12,'14-مستندات و پیوست‌ها'!$A$8:$A$1007,0)),"")=D12,OR(IFERROR(INDEX('14-مستندات و پیوست‌ها'!$H$8:$H$1007,MATCH(K12,'14-مستندات و پیوست‌ها'!$A$8:$A$1007,0)),"")="دریافت شده",IFERROR(INDEX('14-مستندات و پیوست‌ها'!$H$8:$H$1007,MATCH(K12,'14-مستندات و پیوست‌ها'!$A$8:$A$1007,0)),"")="فرضی")),ISNUMBER(L12),L12&lt;='01-تنظیمات'!$B$6,L12&gt;=IFERROR(INDEX('08-برنامه اقدامات'!$O$8:$O$1007,MATCH(C12,'08-برنامه اقدامات'!$A$8:$A$1007,0)),""),L12=_xlfn.MAXIFS('10-ارزیابی اثربخشی'!$L$8:$L$1007,'10-ارزیابی اثربخشی'!$C$8:$C$1007,C12),COUNTIFS('10-ارزیابی اثربخشی'!$C$8:$C$1007,C12,'10-ارزیابی اثربخشی'!$L$8:$L$1007,L12)=1,M12&lt;&gt;"",O12&lt;&gt;""),"اثربخش معتبر","ادعای اثربخشی فاقد شاهد"))))</f>
        <v/>
      </c>
    </row>
    <row r="13" spans="1:17" ht="36" customHeight="1">
      <c r="A13" s="1"/>
      <c r="B13" s="1"/>
      <c r="C13" s="1"/>
      <c r="D13" s="1"/>
      <c r="E13" s="1"/>
      <c r="F13" s="1"/>
      <c r="G13" s="1"/>
      <c r="H13" s="1"/>
      <c r="I13" s="1"/>
      <c r="J13" s="1"/>
      <c r="K13" s="1"/>
      <c r="L13" s="4"/>
      <c r="M13" s="1"/>
      <c r="N13" s="1"/>
      <c r="O13" s="1"/>
      <c r="P13" s="1"/>
      <c r="Q13" s="3" t="str">
        <f>IF(A13="","",IF(NOT(AND(COUNTIFS('10-ارزیابی اثربخشی'!$A$8:$A$1007,A13)=1,AND(COUNTIFS('17-جلسات و دوره‌ها'!$A$8:$A$1007,F13)=1,IFERROR(INDEX('17-جلسات و دوره‌ها'!$B$8:$B$1007,MATCH(F13,'17-جلسات و دوره‌ها'!$A$8:$A$1007,0)),"")=D13,IFERROR(INDEX('17-جلسات و دوره‌ها'!$C$8:$C$1007,MATCH(F13,'17-جلسات و دوره‌ها'!$A$8:$A$1007,0)),"")=E13),COUNTIFS('08-برنامه اقدامات'!$A$8:$A$1007,C13)=1,IFERROR(INDEX('08-برنامه اقدامات'!$B$8:$B$1007,MATCH(C13,'08-برنامه اقدامات'!$A$8:$A$1007,0)),"")=B13,IFERROR(INDEX('08-برنامه اقدامات'!$E$8:$E$1007,MATCH(C13,'08-برنامه اقدامات'!$A$8:$A$1007,0)),"")=F13)),"رابطه ارزیابی نامعتبر",IF(N13&lt;&gt;"اثربخش",IF(N13="","ارزیابی ثبت نشده",N13),IF(AND(IFERROR(INDEX('08-برنامه اقدامات'!$L$8:$L$1007,MATCH(C13,'08-برنامه اقدامات'!$A$8:$A$1007,0)),"")="انجام شد",IFERROR(INDEX('08-برنامه اقدامات'!$Q$8:$Q$1007,MATCH(C13,'08-برنامه اقدامات'!$A$8:$A$1007,0)),"")="معتبر",H13&lt;&gt;"",I13&lt;&gt;"",AND(COUNTIFS('14-مستندات و پیوست‌ها'!$A$8:$A$1007,K13)=1,IFERROR(INDEX('14-مستندات و پیوست‌ها'!$B$8:$B$1007,MATCH(K13,'14-مستندات و پیوست‌ها'!$A$8:$A$1007,0)),"")=D13,OR(IFERROR(INDEX('14-مستندات و پیوست‌ها'!$H$8:$H$1007,MATCH(K13,'14-مستندات و پیوست‌ها'!$A$8:$A$1007,0)),"")="دریافت شده",IFERROR(INDEX('14-مستندات و پیوست‌ها'!$H$8:$H$1007,MATCH(K13,'14-مستندات و پیوست‌ها'!$A$8:$A$1007,0)),"")="فرضی")),ISNUMBER(L13),L13&lt;='01-تنظیمات'!$B$6,L13&gt;=IFERROR(INDEX('08-برنامه اقدامات'!$O$8:$O$1007,MATCH(C13,'08-برنامه اقدامات'!$A$8:$A$1007,0)),""),L13=_xlfn.MAXIFS('10-ارزیابی اثربخشی'!$L$8:$L$1007,'10-ارزیابی اثربخشی'!$C$8:$C$1007,C13),COUNTIFS('10-ارزیابی اثربخشی'!$C$8:$C$1007,C13,'10-ارزیابی اثربخشی'!$L$8:$L$1007,L13)=1,M13&lt;&gt;"",O13&lt;&gt;""),"اثربخش معتبر","ادعای اثربخشی فاقد شاهد"))))</f>
        <v/>
      </c>
    </row>
    <row r="14" spans="1:17" ht="36" customHeight="1">
      <c r="A14" s="1"/>
      <c r="B14" s="1"/>
      <c r="C14" s="1"/>
      <c r="D14" s="1"/>
      <c r="E14" s="1"/>
      <c r="F14" s="1"/>
      <c r="G14" s="1"/>
      <c r="H14" s="1"/>
      <c r="I14" s="1"/>
      <c r="J14" s="1"/>
      <c r="K14" s="1"/>
      <c r="L14" s="4"/>
      <c r="M14" s="1"/>
      <c r="N14" s="1"/>
      <c r="O14" s="1"/>
      <c r="P14" s="1"/>
      <c r="Q14" s="3" t="str">
        <f>IF(A14="","",IF(NOT(AND(COUNTIFS('10-ارزیابی اثربخشی'!$A$8:$A$1007,A14)=1,AND(COUNTIFS('17-جلسات و دوره‌ها'!$A$8:$A$1007,F14)=1,IFERROR(INDEX('17-جلسات و دوره‌ها'!$B$8:$B$1007,MATCH(F14,'17-جلسات و دوره‌ها'!$A$8:$A$1007,0)),"")=D14,IFERROR(INDEX('17-جلسات و دوره‌ها'!$C$8:$C$1007,MATCH(F14,'17-جلسات و دوره‌ها'!$A$8:$A$1007,0)),"")=E14),COUNTIFS('08-برنامه اقدامات'!$A$8:$A$1007,C14)=1,IFERROR(INDEX('08-برنامه اقدامات'!$B$8:$B$1007,MATCH(C14,'08-برنامه اقدامات'!$A$8:$A$1007,0)),"")=B14,IFERROR(INDEX('08-برنامه اقدامات'!$E$8:$E$1007,MATCH(C14,'08-برنامه اقدامات'!$A$8:$A$1007,0)),"")=F14)),"رابطه ارزیابی نامعتبر",IF(N14&lt;&gt;"اثربخش",IF(N14="","ارزیابی ثبت نشده",N14),IF(AND(IFERROR(INDEX('08-برنامه اقدامات'!$L$8:$L$1007,MATCH(C14,'08-برنامه اقدامات'!$A$8:$A$1007,0)),"")="انجام شد",IFERROR(INDEX('08-برنامه اقدامات'!$Q$8:$Q$1007,MATCH(C14,'08-برنامه اقدامات'!$A$8:$A$1007,0)),"")="معتبر",H14&lt;&gt;"",I14&lt;&gt;"",AND(COUNTIFS('14-مستندات و پیوست‌ها'!$A$8:$A$1007,K14)=1,IFERROR(INDEX('14-مستندات و پیوست‌ها'!$B$8:$B$1007,MATCH(K14,'14-مستندات و پیوست‌ها'!$A$8:$A$1007,0)),"")=D14,OR(IFERROR(INDEX('14-مستندات و پیوست‌ها'!$H$8:$H$1007,MATCH(K14,'14-مستندات و پیوست‌ها'!$A$8:$A$1007,0)),"")="دریافت شده",IFERROR(INDEX('14-مستندات و پیوست‌ها'!$H$8:$H$1007,MATCH(K14,'14-مستندات و پیوست‌ها'!$A$8:$A$1007,0)),"")="فرضی")),ISNUMBER(L14),L14&lt;='01-تنظیمات'!$B$6,L14&gt;=IFERROR(INDEX('08-برنامه اقدامات'!$O$8:$O$1007,MATCH(C14,'08-برنامه اقدامات'!$A$8:$A$1007,0)),""),L14=_xlfn.MAXIFS('10-ارزیابی اثربخشی'!$L$8:$L$1007,'10-ارزیابی اثربخشی'!$C$8:$C$1007,C14),COUNTIFS('10-ارزیابی اثربخشی'!$C$8:$C$1007,C14,'10-ارزیابی اثربخشی'!$L$8:$L$1007,L14)=1,M14&lt;&gt;"",O14&lt;&gt;""),"اثربخش معتبر","ادعای اثربخشی فاقد شاهد"))))</f>
        <v/>
      </c>
    </row>
    <row r="15" spans="1:17" ht="36" customHeight="1">
      <c r="A15" s="1"/>
      <c r="B15" s="1"/>
      <c r="C15" s="1"/>
      <c r="D15" s="1"/>
      <c r="E15" s="1"/>
      <c r="F15" s="1"/>
      <c r="G15" s="1"/>
      <c r="H15" s="1"/>
      <c r="I15" s="1"/>
      <c r="J15" s="1"/>
      <c r="K15" s="1"/>
      <c r="L15" s="4"/>
      <c r="M15" s="1"/>
      <c r="N15" s="1"/>
      <c r="O15" s="1"/>
      <c r="P15" s="1"/>
      <c r="Q15" s="3" t="str">
        <f>IF(A15="","",IF(NOT(AND(COUNTIFS('10-ارزیابی اثربخشی'!$A$8:$A$1007,A15)=1,AND(COUNTIFS('17-جلسات و دوره‌ها'!$A$8:$A$1007,F15)=1,IFERROR(INDEX('17-جلسات و دوره‌ها'!$B$8:$B$1007,MATCH(F15,'17-جلسات و دوره‌ها'!$A$8:$A$1007,0)),"")=D15,IFERROR(INDEX('17-جلسات و دوره‌ها'!$C$8:$C$1007,MATCH(F15,'17-جلسات و دوره‌ها'!$A$8:$A$1007,0)),"")=E15),COUNTIFS('08-برنامه اقدامات'!$A$8:$A$1007,C15)=1,IFERROR(INDEX('08-برنامه اقدامات'!$B$8:$B$1007,MATCH(C15,'08-برنامه اقدامات'!$A$8:$A$1007,0)),"")=B15,IFERROR(INDEX('08-برنامه اقدامات'!$E$8:$E$1007,MATCH(C15,'08-برنامه اقدامات'!$A$8:$A$1007,0)),"")=F15)),"رابطه ارزیابی نامعتبر",IF(N15&lt;&gt;"اثربخش",IF(N15="","ارزیابی ثبت نشده",N15),IF(AND(IFERROR(INDEX('08-برنامه اقدامات'!$L$8:$L$1007,MATCH(C15,'08-برنامه اقدامات'!$A$8:$A$1007,0)),"")="انجام شد",IFERROR(INDEX('08-برنامه اقدامات'!$Q$8:$Q$1007,MATCH(C15,'08-برنامه اقدامات'!$A$8:$A$1007,0)),"")="معتبر",H15&lt;&gt;"",I15&lt;&gt;"",AND(COUNTIFS('14-مستندات و پیوست‌ها'!$A$8:$A$1007,K15)=1,IFERROR(INDEX('14-مستندات و پیوست‌ها'!$B$8:$B$1007,MATCH(K15,'14-مستندات و پیوست‌ها'!$A$8:$A$1007,0)),"")=D15,OR(IFERROR(INDEX('14-مستندات و پیوست‌ها'!$H$8:$H$1007,MATCH(K15,'14-مستندات و پیوست‌ها'!$A$8:$A$1007,0)),"")="دریافت شده",IFERROR(INDEX('14-مستندات و پیوست‌ها'!$H$8:$H$1007,MATCH(K15,'14-مستندات و پیوست‌ها'!$A$8:$A$1007,0)),"")="فرضی")),ISNUMBER(L15),L15&lt;='01-تنظیمات'!$B$6,L15&gt;=IFERROR(INDEX('08-برنامه اقدامات'!$O$8:$O$1007,MATCH(C15,'08-برنامه اقدامات'!$A$8:$A$1007,0)),""),L15=_xlfn.MAXIFS('10-ارزیابی اثربخشی'!$L$8:$L$1007,'10-ارزیابی اثربخشی'!$C$8:$C$1007,C15),COUNTIFS('10-ارزیابی اثربخشی'!$C$8:$C$1007,C15,'10-ارزیابی اثربخشی'!$L$8:$L$1007,L15)=1,M15&lt;&gt;"",O15&lt;&gt;""),"اثربخش معتبر","ادعای اثربخشی فاقد شاهد"))))</f>
        <v/>
      </c>
    </row>
    <row r="16" spans="1:17" ht="36" customHeight="1">
      <c r="A16" s="1"/>
      <c r="B16" s="1"/>
      <c r="C16" s="1"/>
      <c r="D16" s="1"/>
      <c r="E16" s="1"/>
      <c r="F16" s="1"/>
      <c r="G16" s="1"/>
      <c r="H16" s="1"/>
      <c r="I16" s="1"/>
      <c r="J16" s="1"/>
      <c r="K16" s="1"/>
      <c r="L16" s="4"/>
      <c r="M16" s="1"/>
      <c r="N16" s="1"/>
      <c r="O16" s="1"/>
      <c r="P16" s="1"/>
      <c r="Q16" s="3" t="str">
        <f>IF(A16="","",IF(NOT(AND(COUNTIFS('10-ارزیابی اثربخشی'!$A$8:$A$1007,A16)=1,AND(COUNTIFS('17-جلسات و دوره‌ها'!$A$8:$A$1007,F16)=1,IFERROR(INDEX('17-جلسات و دوره‌ها'!$B$8:$B$1007,MATCH(F16,'17-جلسات و دوره‌ها'!$A$8:$A$1007,0)),"")=D16,IFERROR(INDEX('17-جلسات و دوره‌ها'!$C$8:$C$1007,MATCH(F16,'17-جلسات و دوره‌ها'!$A$8:$A$1007,0)),"")=E16),COUNTIFS('08-برنامه اقدامات'!$A$8:$A$1007,C16)=1,IFERROR(INDEX('08-برنامه اقدامات'!$B$8:$B$1007,MATCH(C16,'08-برنامه اقدامات'!$A$8:$A$1007,0)),"")=B16,IFERROR(INDEX('08-برنامه اقدامات'!$E$8:$E$1007,MATCH(C16,'08-برنامه اقدامات'!$A$8:$A$1007,0)),"")=F16)),"رابطه ارزیابی نامعتبر",IF(N16&lt;&gt;"اثربخش",IF(N16="","ارزیابی ثبت نشده",N16),IF(AND(IFERROR(INDEX('08-برنامه اقدامات'!$L$8:$L$1007,MATCH(C16,'08-برنامه اقدامات'!$A$8:$A$1007,0)),"")="انجام شد",IFERROR(INDEX('08-برنامه اقدامات'!$Q$8:$Q$1007,MATCH(C16,'08-برنامه اقدامات'!$A$8:$A$1007,0)),"")="معتبر",H16&lt;&gt;"",I16&lt;&gt;"",AND(COUNTIFS('14-مستندات و پیوست‌ها'!$A$8:$A$1007,K16)=1,IFERROR(INDEX('14-مستندات و پیوست‌ها'!$B$8:$B$1007,MATCH(K16,'14-مستندات و پیوست‌ها'!$A$8:$A$1007,0)),"")=D16,OR(IFERROR(INDEX('14-مستندات و پیوست‌ها'!$H$8:$H$1007,MATCH(K16,'14-مستندات و پیوست‌ها'!$A$8:$A$1007,0)),"")="دریافت شده",IFERROR(INDEX('14-مستندات و پیوست‌ها'!$H$8:$H$1007,MATCH(K16,'14-مستندات و پیوست‌ها'!$A$8:$A$1007,0)),"")="فرضی")),ISNUMBER(L16),L16&lt;='01-تنظیمات'!$B$6,L16&gt;=IFERROR(INDEX('08-برنامه اقدامات'!$O$8:$O$1007,MATCH(C16,'08-برنامه اقدامات'!$A$8:$A$1007,0)),""),L16=_xlfn.MAXIFS('10-ارزیابی اثربخشی'!$L$8:$L$1007,'10-ارزیابی اثربخشی'!$C$8:$C$1007,C16),COUNTIFS('10-ارزیابی اثربخشی'!$C$8:$C$1007,C16,'10-ارزیابی اثربخشی'!$L$8:$L$1007,L16)=1,M16&lt;&gt;"",O16&lt;&gt;""),"اثربخش معتبر","ادعای اثربخشی فاقد شاهد"))))</f>
        <v/>
      </c>
    </row>
    <row r="17" spans="1:17" ht="36" customHeight="1">
      <c r="A17" s="1"/>
      <c r="B17" s="1"/>
      <c r="C17" s="1"/>
      <c r="D17" s="1"/>
      <c r="E17" s="1"/>
      <c r="F17" s="1"/>
      <c r="G17" s="1"/>
      <c r="H17" s="1"/>
      <c r="I17" s="1"/>
      <c r="J17" s="1"/>
      <c r="K17" s="1"/>
      <c r="L17" s="4"/>
      <c r="M17" s="1"/>
      <c r="N17" s="1"/>
      <c r="O17" s="1"/>
      <c r="P17" s="1"/>
      <c r="Q17" s="3" t="str">
        <f>IF(A17="","",IF(NOT(AND(COUNTIFS('10-ارزیابی اثربخشی'!$A$8:$A$1007,A17)=1,AND(COUNTIFS('17-جلسات و دوره‌ها'!$A$8:$A$1007,F17)=1,IFERROR(INDEX('17-جلسات و دوره‌ها'!$B$8:$B$1007,MATCH(F17,'17-جلسات و دوره‌ها'!$A$8:$A$1007,0)),"")=D17,IFERROR(INDEX('17-جلسات و دوره‌ها'!$C$8:$C$1007,MATCH(F17,'17-جلسات و دوره‌ها'!$A$8:$A$1007,0)),"")=E17),COUNTIFS('08-برنامه اقدامات'!$A$8:$A$1007,C17)=1,IFERROR(INDEX('08-برنامه اقدامات'!$B$8:$B$1007,MATCH(C17,'08-برنامه اقدامات'!$A$8:$A$1007,0)),"")=B17,IFERROR(INDEX('08-برنامه اقدامات'!$E$8:$E$1007,MATCH(C17,'08-برنامه اقدامات'!$A$8:$A$1007,0)),"")=F17)),"رابطه ارزیابی نامعتبر",IF(N17&lt;&gt;"اثربخش",IF(N17="","ارزیابی ثبت نشده",N17),IF(AND(IFERROR(INDEX('08-برنامه اقدامات'!$L$8:$L$1007,MATCH(C17,'08-برنامه اقدامات'!$A$8:$A$1007,0)),"")="انجام شد",IFERROR(INDEX('08-برنامه اقدامات'!$Q$8:$Q$1007,MATCH(C17,'08-برنامه اقدامات'!$A$8:$A$1007,0)),"")="معتبر",H17&lt;&gt;"",I17&lt;&gt;"",AND(COUNTIFS('14-مستندات و پیوست‌ها'!$A$8:$A$1007,K17)=1,IFERROR(INDEX('14-مستندات و پیوست‌ها'!$B$8:$B$1007,MATCH(K17,'14-مستندات و پیوست‌ها'!$A$8:$A$1007,0)),"")=D17,OR(IFERROR(INDEX('14-مستندات و پیوست‌ها'!$H$8:$H$1007,MATCH(K17,'14-مستندات و پیوست‌ها'!$A$8:$A$1007,0)),"")="دریافت شده",IFERROR(INDEX('14-مستندات و پیوست‌ها'!$H$8:$H$1007,MATCH(K17,'14-مستندات و پیوست‌ها'!$A$8:$A$1007,0)),"")="فرضی")),ISNUMBER(L17),L17&lt;='01-تنظیمات'!$B$6,L17&gt;=IFERROR(INDEX('08-برنامه اقدامات'!$O$8:$O$1007,MATCH(C17,'08-برنامه اقدامات'!$A$8:$A$1007,0)),""),L17=_xlfn.MAXIFS('10-ارزیابی اثربخشی'!$L$8:$L$1007,'10-ارزیابی اثربخشی'!$C$8:$C$1007,C17),COUNTIFS('10-ارزیابی اثربخشی'!$C$8:$C$1007,C17,'10-ارزیابی اثربخشی'!$L$8:$L$1007,L17)=1,M17&lt;&gt;"",O17&lt;&gt;""),"اثربخش معتبر","ادعای اثربخشی فاقد شاهد"))))</f>
        <v/>
      </c>
    </row>
    <row r="18" spans="1:17" ht="36" customHeight="1">
      <c r="A18" s="1"/>
      <c r="B18" s="1"/>
      <c r="C18" s="1"/>
      <c r="D18" s="1"/>
      <c r="E18" s="1"/>
      <c r="F18" s="1"/>
      <c r="G18" s="1"/>
      <c r="H18" s="1"/>
      <c r="I18" s="1"/>
      <c r="J18" s="1"/>
      <c r="K18" s="1"/>
      <c r="L18" s="4"/>
      <c r="M18" s="1"/>
      <c r="N18" s="1"/>
      <c r="O18" s="1"/>
      <c r="P18" s="1"/>
      <c r="Q18" s="3" t="str">
        <f>IF(A18="","",IF(NOT(AND(COUNTIFS('10-ارزیابی اثربخشی'!$A$8:$A$1007,A18)=1,AND(COUNTIFS('17-جلسات و دوره‌ها'!$A$8:$A$1007,F18)=1,IFERROR(INDEX('17-جلسات و دوره‌ها'!$B$8:$B$1007,MATCH(F18,'17-جلسات و دوره‌ها'!$A$8:$A$1007,0)),"")=D18,IFERROR(INDEX('17-جلسات و دوره‌ها'!$C$8:$C$1007,MATCH(F18,'17-جلسات و دوره‌ها'!$A$8:$A$1007,0)),"")=E18),COUNTIFS('08-برنامه اقدامات'!$A$8:$A$1007,C18)=1,IFERROR(INDEX('08-برنامه اقدامات'!$B$8:$B$1007,MATCH(C18,'08-برنامه اقدامات'!$A$8:$A$1007,0)),"")=B18,IFERROR(INDEX('08-برنامه اقدامات'!$E$8:$E$1007,MATCH(C18,'08-برنامه اقدامات'!$A$8:$A$1007,0)),"")=F18)),"رابطه ارزیابی نامعتبر",IF(N18&lt;&gt;"اثربخش",IF(N18="","ارزیابی ثبت نشده",N18),IF(AND(IFERROR(INDEX('08-برنامه اقدامات'!$L$8:$L$1007,MATCH(C18,'08-برنامه اقدامات'!$A$8:$A$1007,0)),"")="انجام شد",IFERROR(INDEX('08-برنامه اقدامات'!$Q$8:$Q$1007,MATCH(C18,'08-برنامه اقدامات'!$A$8:$A$1007,0)),"")="معتبر",H18&lt;&gt;"",I18&lt;&gt;"",AND(COUNTIFS('14-مستندات و پیوست‌ها'!$A$8:$A$1007,K18)=1,IFERROR(INDEX('14-مستندات و پیوست‌ها'!$B$8:$B$1007,MATCH(K18,'14-مستندات و پیوست‌ها'!$A$8:$A$1007,0)),"")=D18,OR(IFERROR(INDEX('14-مستندات و پیوست‌ها'!$H$8:$H$1007,MATCH(K18,'14-مستندات و پیوست‌ها'!$A$8:$A$1007,0)),"")="دریافت شده",IFERROR(INDEX('14-مستندات و پیوست‌ها'!$H$8:$H$1007,MATCH(K18,'14-مستندات و پیوست‌ها'!$A$8:$A$1007,0)),"")="فرضی")),ISNUMBER(L18),L18&lt;='01-تنظیمات'!$B$6,L18&gt;=IFERROR(INDEX('08-برنامه اقدامات'!$O$8:$O$1007,MATCH(C18,'08-برنامه اقدامات'!$A$8:$A$1007,0)),""),L18=_xlfn.MAXIFS('10-ارزیابی اثربخشی'!$L$8:$L$1007,'10-ارزیابی اثربخشی'!$C$8:$C$1007,C18),COUNTIFS('10-ارزیابی اثربخشی'!$C$8:$C$1007,C18,'10-ارزیابی اثربخشی'!$L$8:$L$1007,L18)=1,M18&lt;&gt;"",O18&lt;&gt;""),"اثربخش معتبر","ادعای اثربخشی فاقد شاهد"))))</f>
        <v/>
      </c>
    </row>
    <row r="19" spans="1:17" ht="36" customHeight="1">
      <c r="A19" s="1"/>
      <c r="B19" s="1"/>
      <c r="C19" s="1"/>
      <c r="D19" s="1"/>
      <c r="E19" s="1"/>
      <c r="F19" s="1"/>
      <c r="G19" s="1"/>
      <c r="H19" s="1"/>
      <c r="I19" s="1"/>
      <c r="J19" s="1"/>
      <c r="K19" s="1"/>
      <c r="L19" s="4"/>
      <c r="M19" s="1"/>
      <c r="N19" s="1"/>
      <c r="O19" s="1"/>
      <c r="P19" s="1"/>
      <c r="Q19" s="3" t="str">
        <f>IF(A19="","",IF(NOT(AND(COUNTIFS('10-ارزیابی اثربخشی'!$A$8:$A$1007,A19)=1,AND(COUNTIFS('17-جلسات و دوره‌ها'!$A$8:$A$1007,F19)=1,IFERROR(INDEX('17-جلسات و دوره‌ها'!$B$8:$B$1007,MATCH(F19,'17-جلسات و دوره‌ها'!$A$8:$A$1007,0)),"")=D19,IFERROR(INDEX('17-جلسات و دوره‌ها'!$C$8:$C$1007,MATCH(F19,'17-جلسات و دوره‌ها'!$A$8:$A$1007,0)),"")=E19),COUNTIFS('08-برنامه اقدامات'!$A$8:$A$1007,C19)=1,IFERROR(INDEX('08-برنامه اقدامات'!$B$8:$B$1007,MATCH(C19,'08-برنامه اقدامات'!$A$8:$A$1007,0)),"")=B19,IFERROR(INDEX('08-برنامه اقدامات'!$E$8:$E$1007,MATCH(C19,'08-برنامه اقدامات'!$A$8:$A$1007,0)),"")=F19)),"رابطه ارزیابی نامعتبر",IF(N19&lt;&gt;"اثربخش",IF(N19="","ارزیابی ثبت نشده",N19),IF(AND(IFERROR(INDEX('08-برنامه اقدامات'!$L$8:$L$1007,MATCH(C19,'08-برنامه اقدامات'!$A$8:$A$1007,0)),"")="انجام شد",IFERROR(INDEX('08-برنامه اقدامات'!$Q$8:$Q$1007,MATCH(C19,'08-برنامه اقدامات'!$A$8:$A$1007,0)),"")="معتبر",H19&lt;&gt;"",I19&lt;&gt;"",AND(COUNTIFS('14-مستندات و پیوست‌ها'!$A$8:$A$1007,K19)=1,IFERROR(INDEX('14-مستندات و پیوست‌ها'!$B$8:$B$1007,MATCH(K19,'14-مستندات و پیوست‌ها'!$A$8:$A$1007,0)),"")=D19,OR(IFERROR(INDEX('14-مستندات و پیوست‌ها'!$H$8:$H$1007,MATCH(K19,'14-مستندات و پیوست‌ها'!$A$8:$A$1007,0)),"")="دریافت شده",IFERROR(INDEX('14-مستندات و پیوست‌ها'!$H$8:$H$1007,MATCH(K19,'14-مستندات و پیوست‌ها'!$A$8:$A$1007,0)),"")="فرضی")),ISNUMBER(L19),L19&lt;='01-تنظیمات'!$B$6,L19&gt;=IFERROR(INDEX('08-برنامه اقدامات'!$O$8:$O$1007,MATCH(C19,'08-برنامه اقدامات'!$A$8:$A$1007,0)),""),L19=_xlfn.MAXIFS('10-ارزیابی اثربخشی'!$L$8:$L$1007,'10-ارزیابی اثربخشی'!$C$8:$C$1007,C19),COUNTIFS('10-ارزیابی اثربخشی'!$C$8:$C$1007,C19,'10-ارزیابی اثربخشی'!$L$8:$L$1007,L19)=1,M19&lt;&gt;"",O19&lt;&gt;""),"اثربخش معتبر","ادعای اثربخشی فاقد شاهد"))))</f>
        <v/>
      </c>
    </row>
    <row r="20" spans="1:17" ht="36" customHeight="1">
      <c r="A20" s="1"/>
      <c r="B20" s="1"/>
      <c r="C20" s="1"/>
      <c r="D20" s="1"/>
      <c r="E20" s="1"/>
      <c r="F20" s="1"/>
      <c r="G20" s="1"/>
      <c r="H20" s="1"/>
      <c r="I20" s="1"/>
      <c r="J20" s="1"/>
      <c r="K20" s="1"/>
      <c r="L20" s="4"/>
      <c r="M20" s="1"/>
      <c r="N20" s="1"/>
      <c r="O20" s="1"/>
      <c r="P20" s="1"/>
      <c r="Q20" s="3" t="str">
        <f>IF(A20="","",IF(NOT(AND(COUNTIFS('10-ارزیابی اثربخشی'!$A$8:$A$1007,A20)=1,AND(COUNTIFS('17-جلسات و دوره‌ها'!$A$8:$A$1007,F20)=1,IFERROR(INDEX('17-جلسات و دوره‌ها'!$B$8:$B$1007,MATCH(F20,'17-جلسات و دوره‌ها'!$A$8:$A$1007,0)),"")=D20,IFERROR(INDEX('17-جلسات و دوره‌ها'!$C$8:$C$1007,MATCH(F20,'17-جلسات و دوره‌ها'!$A$8:$A$1007,0)),"")=E20),COUNTIFS('08-برنامه اقدامات'!$A$8:$A$1007,C20)=1,IFERROR(INDEX('08-برنامه اقدامات'!$B$8:$B$1007,MATCH(C20,'08-برنامه اقدامات'!$A$8:$A$1007,0)),"")=B20,IFERROR(INDEX('08-برنامه اقدامات'!$E$8:$E$1007,MATCH(C20,'08-برنامه اقدامات'!$A$8:$A$1007,0)),"")=F20)),"رابطه ارزیابی نامعتبر",IF(N20&lt;&gt;"اثربخش",IF(N20="","ارزیابی ثبت نشده",N20),IF(AND(IFERROR(INDEX('08-برنامه اقدامات'!$L$8:$L$1007,MATCH(C20,'08-برنامه اقدامات'!$A$8:$A$1007,0)),"")="انجام شد",IFERROR(INDEX('08-برنامه اقدامات'!$Q$8:$Q$1007,MATCH(C20,'08-برنامه اقدامات'!$A$8:$A$1007,0)),"")="معتبر",H20&lt;&gt;"",I20&lt;&gt;"",AND(COUNTIFS('14-مستندات و پیوست‌ها'!$A$8:$A$1007,K20)=1,IFERROR(INDEX('14-مستندات و پیوست‌ها'!$B$8:$B$1007,MATCH(K20,'14-مستندات و پیوست‌ها'!$A$8:$A$1007,0)),"")=D20,OR(IFERROR(INDEX('14-مستندات و پیوست‌ها'!$H$8:$H$1007,MATCH(K20,'14-مستندات و پیوست‌ها'!$A$8:$A$1007,0)),"")="دریافت شده",IFERROR(INDEX('14-مستندات و پیوست‌ها'!$H$8:$H$1007,MATCH(K20,'14-مستندات و پیوست‌ها'!$A$8:$A$1007,0)),"")="فرضی")),ISNUMBER(L20),L20&lt;='01-تنظیمات'!$B$6,L20&gt;=IFERROR(INDEX('08-برنامه اقدامات'!$O$8:$O$1007,MATCH(C20,'08-برنامه اقدامات'!$A$8:$A$1007,0)),""),L20=_xlfn.MAXIFS('10-ارزیابی اثربخشی'!$L$8:$L$1007,'10-ارزیابی اثربخشی'!$C$8:$C$1007,C20),COUNTIFS('10-ارزیابی اثربخشی'!$C$8:$C$1007,C20,'10-ارزیابی اثربخشی'!$L$8:$L$1007,L20)=1,M20&lt;&gt;"",O20&lt;&gt;""),"اثربخش معتبر","ادعای اثربخشی فاقد شاهد"))))</f>
        <v/>
      </c>
    </row>
    <row r="21" spans="1:17" ht="36" customHeight="1">
      <c r="A21" s="1"/>
      <c r="B21" s="1"/>
      <c r="C21" s="1"/>
      <c r="D21" s="1"/>
      <c r="E21" s="1"/>
      <c r="F21" s="1"/>
      <c r="G21" s="1"/>
      <c r="H21" s="1"/>
      <c r="I21" s="1"/>
      <c r="J21" s="1"/>
      <c r="K21" s="1"/>
      <c r="L21" s="4"/>
      <c r="M21" s="1"/>
      <c r="N21" s="1"/>
      <c r="O21" s="1"/>
      <c r="P21" s="1"/>
      <c r="Q21" s="3" t="str">
        <f>IF(A21="","",IF(NOT(AND(COUNTIFS('10-ارزیابی اثربخشی'!$A$8:$A$1007,A21)=1,AND(COUNTIFS('17-جلسات و دوره‌ها'!$A$8:$A$1007,F21)=1,IFERROR(INDEX('17-جلسات و دوره‌ها'!$B$8:$B$1007,MATCH(F21,'17-جلسات و دوره‌ها'!$A$8:$A$1007,0)),"")=D21,IFERROR(INDEX('17-جلسات و دوره‌ها'!$C$8:$C$1007,MATCH(F21,'17-جلسات و دوره‌ها'!$A$8:$A$1007,0)),"")=E21),COUNTIFS('08-برنامه اقدامات'!$A$8:$A$1007,C21)=1,IFERROR(INDEX('08-برنامه اقدامات'!$B$8:$B$1007,MATCH(C21,'08-برنامه اقدامات'!$A$8:$A$1007,0)),"")=B21,IFERROR(INDEX('08-برنامه اقدامات'!$E$8:$E$1007,MATCH(C21,'08-برنامه اقدامات'!$A$8:$A$1007,0)),"")=F21)),"رابطه ارزیابی نامعتبر",IF(N21&lt;&gt;"اثربخش",IF(N21="","ارزیابی ثبت نشده",N21),IF(AND(IFERROR(INDEX('08-برنامه اقدامات'!$L$8:$L$1007,MATCH(C21,'08-برنامه اقدامات'!$A$8:$A$1007,0)),"")="انجام شد",IFERROR(INDEX('08-برنامه اقدامات'!$Q$8:$Q$1007,MATCH(C21,'08-برنامه اقدامات'!$A$8:$A$1007,0)),"")="معتبر",H21&lt;&gt;"",I21&lt;&gt;"",AND(COUNTIFS('14-مستندات و پیوست‌ها'!$A$8:$A$1007,K21)=1,IFERROR(INDEX('14-مستندات و پیوست‌ها'!$B$8:$B$1007,MATCH(K21,'14-مستندات و پیوست‌ها'!$A$8:$A$1007,0)),"")=D21,OR(IFERROR(INDEX('14-مستندات و پیوست‌ها'!$H$8:$H$1007,MATCH(K21,'14-مستندات و پیوست‌ها'!$A$8:$A$1007,0)),"")="دریافت شده",IFERROR(INDEX('14-مستندات و پیوست‌ها'!$H$8:$H$1007,MATCH(K21,'14-مستندات و پیوست‌ها'!$A$8:$A$1007,0)),"")="فرضی")),ISNUMBER(L21),L21&lt;='01-تنظیمات'!$B$6,L21&gt;=IFERROR(INDEX('08-برنامه اقدامات'!$O$8:$O$1007,MATCH(C21,'08-برنامه اقدامات'!$A$8:$A$1007,0)),""),L21=_xlfn.MAXIFS('10-ارزیابی اثربخشی'!$L$8:$L$1007,'10-ارزیابی اثربخشی'!$C$8:$C$1007,C21),COUNTIFS('10-ارزیابی اثربخشی'!$C$8:$C$1007,C21,'10-ارزیابی اثربخشی'!$L$8:$L$1007,L21)=1,M21&lt;&gt;"",O21&lt;&gt;""),"اثربخش معتبر","ادعای اثربخشی فاقد شاهد"))))</f>
        <v/>
      </c>
    </row>
    <row r="22" spans="1:17" ht="36" customHeight="1">
      <c r="A22" s="1"/>
      <c r="B22" s="1"/>
      <c r="C22" s="1"/>
      <c r="D22" s="1"/>
      <c r="E22" s="1"/>
      <c r="F22" s="1"/>
      <c r="G22" s="1"/>
      <c r="H22" s="1"/>
      <c r="I22" s="1"/>
      <c r="J22" s="1"/>
      <c r="K22" s="1"/>
      <c r="L22" s="4"/>
      <c r="M22" s="1"/>
      <c r="N22" s="1"/>
      <c r="O22" s="1"/>
      <c r="P22" s="1"/>
      <c r="Q22" s="3" t="str">
        <f>IF(A22="","",IF(NOT(AND(COUNTIFS('10-ارزیابی اثربخشی'!$A$8:$A$1007,A22)=1,AND(COUNTIFS('17-جلسات و دوره‌ها'!$A$8:$A$1007,F22)=1,IFERROR(INDEX('17-جلسات و دوره‌ها'!$B$8:$B$1007,MATCH(F22,'17-جلسات و دوره‌ها'!$A$8:$A$1007,0)),"")=D22,IFERROR(INDEX('17-جلسات و دوره‌ها'!$C$8:$C$1007,MATCH(F22,'17-جلسات و دوره‌ها'!$A$8:$A$1007,0)),"")=E22),COUNTIFS('08-برنامه اقدامات'!$A$8:$A$1007,C22)=1,IFERROR(INDEX('08-برنامه اقدامات'!$B$8:$B$1007,MATCH(C22,'08-برنامه اقدامات'!$A$8:$A$1007,0)),"")=B22,IFERROR(INDEX('08-برنامه اقدامات'!$E$8:$E$1007,MATCH(C22,'08-برنامه اقدامات'!$A$8:$A$1007,0)),"")=F22)),"رابطه ارزیابی نامعتبر",IF(N22&lt;&gt;"اثربخش",IF(N22="","ارزیابی ثبت نشده",N22),IF(AND(IFERROR(INDEX('08-برنامه اقدامات'!$L$8:$L$1007,MATCH(C22,'08-برنامه اقدامات'!$A$8:$A$1007,0)),"")="انجام شد",IFERROR(INDEX('08-برنامه اقدامات'!$Q$8:$Q$1007,MATCH(C22,'08-برنامه اقدامات'!$A$8:$A$1007,0)),"")="معتبر",H22&lt;&gt;"",I22&lt;&gt;"",AND(COUNTIFS('14-مستندات و پیوست‌ها'!$A$8:$A$1007,K22)=1,IFERROR(INDEX('14-مستندات و پیوست‌ها'!$B$8:$B$1007,MATCH(K22,'14-مستندات و پیوست‌ها'!$A$8:$A$1007,0)),"")=D22,OR(IFERROR(INDEX('14-مستندات و پیوست‌ها'!$H$8:$H$1007,MATCH(K22,'14-مستندات و پیوست‌ها'!$A$8:$A$1007,0)),"")="دریافت شده",IFERROR(INDEX('14-مستندات و پیوست‌ها'!$H$8:$H$1007,MATCH(K22,'14-مستندات و پیوست‌ها'!$A$8:$A$1007,0)),"")="فرضی")),ISNUMBER(L22),L22&lt;='01-تنظیمات'!$B$6,L22&gt;=IFERROR(INDEX('08-برنامه اقدامات'!$O$8:$O$1007,MATCH(C22,'08-برنامه اقدامات'!$A$8:$A$1007,0)),""),L22=_xlfn.MAXIFS('10-ارزیابی اثربخشی'!$L$8:$L$1007,'10-ارزیابی اثربخشی'!$C$8:$C$1007,C22),COUNTIFS('10-ارزیابی اثربخشی'!$C$8:$C$1007,C22,'10-ارزیابی اثربخشی'!$L$8:$L$1007,L22)=1,M22&lt;&gt;"",O22&lt;&gt;""),"اثربخش معتبر","ادعای اثربخشی فاقد شاهد"))))</f>
        <v/>
      </c>
    </row>
    <row r="23" spans="1:17" ht="36" customHeight="1">
      <c r="A23" s="1"/>
      <c r="B23" s="1"/>
      <c r="C23" s="1"/>
      <c r="D23" s="1"/>
      <c r="E23" s="1"/>
      <c r="F23" s="1"/>
      <c r="G23" s="1"/>
      <c r="H23" s="1"/>
      <c r="I23" s="1"/>
      <c r="J23" s="1"/>
      <c r="K23" s="1"/>
      <c r="L23" s="4"/>
      <c r="M23" s="1"/>
      <c r="N23" s="1"/>
      <c r="O23" s="1"/>
      <c r="P23" s="1"/>
      <c r="Q23" s="3" t="str">
        <f>IF(A23="","",IF(NOT(AND(COUNTIFS('10-ارزیابی اثربخشی'!$A$8:$A$1007,A23)=1,AND(COUNTIFS('17-جلسات و دوره‌ها'!$A$8:$A$1007,F23)=1,IFERROR(INDEX('17-جلسات و دوره‌ها'!$B$8:$B$1007,MATCH(F23,'17-جلسات و دوره‌ها'!$A$8:$A$1007,0)),"")=D23,IFERROR(INDEX('17-جلسات و دوره‌ها'!$C$8:$C$1007,MATCH(F23,'17-جلسات و دوره‌ها'!$A$8:$A$1007,0)),"")=E23),COUNTIFS('08-برنامه اقدامات'!$A$8:$A$1007,C23)=1,IFERROR(INDEX('08-برنامه اقدامات'!$B$8:$B$1007,MATCH(C23,'08-برنامه اقدامات'!$A$8:$A$1007,0)),"")=B23,IFERROR(INDEX('08-برنامه اقدامات'!$E$8:$E$1007,MATCH(C23,'08-برنامه اقدامات'!$A$8:$A$1007,0)),"")=F23)),"رابطه ارزیابی نامعتبر",IF(N23&lt;&gt;"اثربخش",IF(N23="","ارزیابی ثبت نشده",N23),IF(AND(IFERROR(INDEX('08-برنامه اقدامات'!$L$8:$L$1007,MATCH(C23,'08-برنامه اقدامات'!$A$8:$A$1007,0)),"")="انجام شد",IFERROR(INDEX('08-برنامه اقدامات'!$Q$8:$Q$1007,MATCH(C23,'08-برنامه اقدامات'!$A$8:$A$1007,0)),"")="معتبر",H23&lt;&gt;"",I23&lt;&gt;"",AND(COUNTIFS('14-مستندات و پیوست‌ها'!$A$8:$A$1007,K23)=1,IFERROR(INDEX('14-مستندات و پیوست‌ها'!$B$8:$B$1007,MATCH(K23,'14-مستندات و پیوست‌ها'!$A$8:$A$1007,0)),"")=D23,OR(IFERROR(INDEX('14-مستندات و پیوست‌ها'!$H$8:$H$1007,MATCH(K23,'14-مستندات و پیوست‌ها'!$A$8:$A$1007,0)),"")="دریافت شده",IFERROR(INDEX('14-مستندات و پیوست‌ها'!$H$8:$H$1007,MATCH(K23,'14-مستندات و پیوست‌ها'!$A$8:$A$1007,0)),"")="فرضی")),ISNUMBER(L23),L23&lt;='01-تنظیمات'!$B$6,L23&gt;=IFERROR(INDEX('08-برنامه اقدامات'!$O$8:$O$1007,MATCH(C23,'08-برنامه اقدامات'!$A$8:$A$1007,0)),""),L23=_xlfn.MAXIFS('10-ارزیابی اثربخشی'!$L$8:$L$1007,'10-ارزیابی اثربخشی'!$C$8:$C$1007,C23),COUNTIFS('10-ارزیابی اثربخشی'!$C$8:$C$1007,C23,'10-ارزیابی اثربخشی'!$L$8:$L$1007,L23)=1,M23&lt;&gt;"",O23&lt;&gt;""),"اثربخش معتبر","ادعای اثربخشی فاقد شاهد"))))</f>
        <v/>
      </c>
    </row>
  </sheetData>
  <mergeCells count="2">
    <mergeCell ref="A1:Q1"/>
    <mergeCell ref="A2:Q3"/>
  </mergeCells>
  <conditionalFormatting sqref="A8:A23">
    <cfRule type="duplicateValues" dxfId="47" priority="1"/>
  </conditionalFormatting>
  <conditionalFormatting sqref="Q8:Q23">
    <cfRule type="containsText" dxfId="46" priority="2" operator="containsText" text="ناقص"/>
  </conditionalFormatting>
  <dataValidations count="1">
    <dataValidation type="list" sqref="N8:N23" xr:uid="{00000000-0002-0000-0A00-000000000000}">
      <formula1>"اثربخش,غیراثربخش,در انتظار زمان ارزیابی,شواهد ناکافی,نیازمند اقدام تکمیلی"</formula1>
    </dataValidation>
  </dataValidation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43C5B"/>
    <pageSetUpPr fitToPage="1"/>
  </sheetPr>
  <dimension ref="A1:G27"/>
  <sheetViews>
    <sheetView showGridLines="0" rightToLeft="1" zoomScale="85" workbookViewId="0">
      <pane ySplit="7" topLeftCell="A8" activePane="bottomLeft" state="frozen"/>
      <selection pane="bottomLeft" sqref="A1:G1"/>
    </sheetView>
  </sheetViews>
  <sheetFormatPr defaultRowHeight="14.25"/>
  <cols>
    <col min="1" max="1" width="9" customWidth="1"/>
    <col min="2" max="2" width="21" customWidth="1"/>
    <col min="3" max="3" width="37" customWidth="1"/>
    <col min="4" max="4" width="68" customWidth="1"/>
    <col min="5" max="5" width="30" customWidth="1"/>
    <col min="6" max="6" width="18" customWidth="1"/>
    <col min="7" max="7" width="35" customWidth="1"/>
  </cols>
  <sheetData>
    <row r="1" spans="1:7" ht="33.950000000000003" customHeight="1">
      <c r="A1" s="7" t="s">
        <v>1174</v>
      </c>
      <c r="B1" s="7"/>
      <c r="C1" s="7"/>
      <c r="D1" s="7"/>
      <c r="E1" s="7"/>
      <c r="F1" s="7"/>
      <c r="G1" s="7"/>
    </row>
    <row r="2" spans="1:7" ht="26.1" customHeight="1">
      <c r="A2" s="8" t="s">
        <v>1175</v>
      </c>
      <c r="B2" s="8"/>
      <c r="C2" s="8"/>
      <c r="D2" s="8"/>
      <c r="E2" s="8"/>
      <c r="F2" s="8"/>
      <c r="G2" s="8"/>
    </row>
    <row r="3" spans="1:7" ht="26.1" customHeight="1">
      <c r="A3" s="8"/>
      <c r="B3" s="8"/>
      <c r="C3" s="8"/>
      <c r="D3" s="8"/>
      <c r="E3" s="8"/>
      <c r="F3" s="8"/>
      <c r="G3" s="8"/>
    </row>
    <row r="4" spans="1:7">
      <c r="A4" s="9" t="str">
        <f>IF('01-تنظیمات'!$B$7="پیش از جلسه","گزارش پیش از جلسه؛ مصوبه نیست",IF(IFERROR(INDEX('17-جلسات و دوره‌ها'!$M$8:$M$1007,MATCH('01-تنظیمات'!$B$5,'17-جلسات و دوره‌ها'!$A$8:$A$1007,0)),"")="معتبر","گزارش تعیین تکلیف نهایی جلسه","پیش‌نویس پس از جلسه؛ تأیید جلسه ناقص"))&amp;" | "&amp;'01-تنظیمات'!$B$5&amp;" | بخش "&amp;'01-تنظیمات'!$B$8</f>
        <v>گزارش پیش از جلسه؛ مصوبه نیست | MR-NIPCO-BASE | بخش 1</v>
      </c>
      <c r="B4" s="9"/>
      <c r="C4" s="9"/>
      <c r="D4" s="9"/>
      <c r="E4" s="9"/>
      <c r="F4" s="9"/>
      <c r="G4" s="9"/>
    </row>
    <row r="5" spans="1:7">
      <c r="A5" s="9" t="str">
        <f>"مرجع تصویب: "&amp;IFERROR(INDEX('17-جلسات و دوره‌ها'!$J$8:$J$1007,MATCH('01-تنظیمات'!$B$5,'17-جلسات و دوره‌ها'!$A$8:$A$1007,0)),"")&amp;" | تعداد تصمیمات این گزارش: "&amp;COUNT('07-تصمیمات و مصوبات'!$AB$8:$AB$1007)&amp;" | بخش‌ها: "&amp;ROUNDUP(COUNT('07-تصمیمات و مصوبات'!$AB$8:$AB$1007)/20,0)</f>
        <v>مرجع تصویب:  | تعداد تصمیمات این گزارش: 21 | بخش‌ها: 2</v>
      </c>
      <c r="B5" s="9"/>
      <c r="C5" s="9"/>
      <c r="D5" s="9"/>
      <c r="E5" s="9"/>
      <c r="F5" s="9"/>
      <c r="G5" s="9"/>
    </row>
    <row r="6" spans="1:7">
      <c r="A6" s="9" t="str">
        <f>"تاریخ جلسه: "&amp;IF(IFERROR(INDEX('17-جلسات و دوره‌ها'!$E$8:$E$1007,MATCH('01-تنظیمات'!$B$5,'17-جلسات و دوره‌ها'!$A$8:$A$1007,0)),"")=0,"ثبت نشده",TEXT(IFERROR(INDEX('17-جلسات و دوره‌ها'!$E$8:$E$1007,MATCH('01-تنظیمات'!$B$5,'17-جلسات و دوره‌ها'!$A$8:$A$1007,0)),""),"yyyy-mm-dd"))&amp;" | دوره: "&amp;IFERROR(INDEX('17-جلسات و دوره‌ها'!$C$8:$C$1007,MATCH('01-تنظیمات'!$B$5,'17-جلسات و دوره‌ها'!$A$8:$A$1007,0)),"")&amp;" | وضعیت تأیید: "&amp;IFERROR(INDEX('17-جلسات و دوره‌ها'!$M$8:$M$1007,MATCH('01-تنظیمات'!$B$5,'17-جلسات و دوره‌ها'!$A$8:$A$1007,0)),"")</f>
        <v>تاریخ جلسه: ثبت نشده | دوره: P-BASE | وضعیت تأیید: جلسه تصویب نشده</v>
      </c>
      <c r="B6" s="9"/>
      <c r="C6" s="9"/>
      <c r="D6" s="9"/>
      <c r="E6" s="9"/>
      <c r="F6" s="9"/>
      <c r="G6" s="9"/>
    </row>
    <row r="7" spans="1:7" ht="48" customHeight="1">
      <c r="A7" s="2" t="s">
        <v>1176</v>
      </c>
      <c r="B7" s="2" t="s">
        <v>895</v>
      </c>
      <c r="C7" s="2" t="s">
        <v>367</v>
      </c>
      <c r="D7" s="2" t="s">
        <v>1177</v>
      </c>
      <c r="E7" s="2" t="s">
        <v>1091</v>
      </c>
      <c r="F7" s="2" t="s">
        <v>1178</v>
      </c>
      <c r="G7" s="2" t="s">
        <v>95</v>
      </c>
    </row>
    <row r="8" spans="1:7" ht="230.1" customHeight="1">
      <c r="A8" s="1">
        <v>1</v>
      </c>
      <c r="B8" s="3" t="str">
        <f>IFERROR(INDEX('07-تصمیمات و مصوبات'!$A$8:$A$1007,MATCH(A8+('01-تنظیمات'!$B$8-1)*20,'07-تصمیمات و مصوبات'!$AB$8:$AB$1007,0)),"")</f>
        <v>DEC-A01</v>
      </c>
      <c r="C8" s="3" t="str">
        <f>IF(B8="","",IF(IFERROR(INDEX('07-تصمیمات و مصوبات'!$G$8:$G$1007,MATCH(B8,'07-تصمیمات و مصوبات'!$A$8:$A$1007,0)),"")=0,"",IFERROR(INDEX('07-تصمیمات و مصوبات'!$G$8:$G$1007,MATCH(B8,'07-تصمیمات و مصوبات'!$A$8:$A$1007,0)),"")))</f>
        <v>تثبیت دوره، نسخه استاندارد و دامنه سایت‌ها</v>
      </c>
      <c r="D8" s="3" t="str">
        <f>IF(B8="","",IF('01-تنظیمات'!$B$7="پیش از جلسه","تحلیل: "&amp;IFERROR(INDEX('07-تصمیمات و مصوبات'!$H$8:$H$1007,MATCH(B8,'07-تصمیمات و مصوبات'!$A$8:$A$1007,0)),""),"نتیجه مدیریت: "&amp;IFERROR(INDEX('07-تصمیمات و مصوبات'!$J$8:$J$1007,MATCH(B8,'07-تصمیمات و مصوبات'!$A$8:$A$1007,0)),""))&amp;CHAR(10)&amp;"تصمیم/پیشنهاد: "&amp;IFERROR(INDEX('07-تصمیمات و مصوبات'!$K$8:$K$1007,MATCH(B8,'07-تصمیمات و مصوبات'!$A$8:$A$1007,0)),"")&amp;CHAR(10)&amp;"منابع: "&amp;IFERROR(INDEX('07-تصمیمات و مصوبات'!$Q$8:$Q$1007,MATCH(B8,'07-تصمیمات و مصوبات'!$A$8:$A$1007,0)),"")&amp;CHAR(10)&amp;"معیار: "&amp;IFERROR(INDEX('07-تصمیمات و مصوبات'!$S$8:$S$1007,MATCH(B8,'07-تصمیمات و مصوبات'!$A$8:$A$1007,0)),"")&amp;CHAR(10)&amp;"اقدامات مرتبط: "&amp;IFERROR(INDEX('07-تصمیمات و مصوبات'!$U$8:$U$1007,MATCH(B8,'07-تصمیمات و مصوبات'!$A$8:$A$1007,0)),""))</f>
        <v>تحلیل: مشخصات تأییدشده و نسخه گواهینامه‌ها
تصمیم/پیشنهاد: پیشنهاد: تثبیت دوره، نسخه استاندارد و دامنه سایت‌ها
منابع: نیازمند برآورد
معیار: مشخصات تأییدشده و نسخه گواهینامه‌ها
اقدامات مرتبط: ACT-A01</v>
      </c>
      <c r="E8" s="3" t="str">
        <f>IF(B8="","",IF(IFERROR(INDEX('07-تصمیمات و مصوبات'!$O$8:$O$1007,MATCH(B8,'07-تصمیمات و مصوبات'!$A$8:$A$1007,0)),"")=0,"",IFERROR(INDEX('07-تصمیمات و مصوبات'!$O$8:$O$1007,MATCH(B8,'07-تصمیمات و مصوبات'!$A$8:$A$1007,0)),"")))</f>
        <v>تضمین کیفیت / دبیر بازنگری</v>
      </c>
      <c r="F8" s="6" t="str">
        <f>IF(B8="","",IF(IFERROR(INDEX('07-تصمیمات و مصوبات'!$R$8:$R$1007,MATCH(B8,'07-تصمیمات و مصوبات'!$A$8:$A$1007,0)),"")=0,"",IFERROR(INDEX('07-تصمیمات و مصوبات'!$R$8:$R$1007,MATCH(B8,'07-تصمیمات و مصوبات'!$A$8:$A$1007,0)),"")))</f>
        <v/>
      </c>
      <c r="G8" s="3" t="str">
        <f>IF(B8="","",IF(IFERROR(INDEX('07-تصمیمات و مصوبات'!$AA$8:$AA$1007,MATCH(B8,'07-تصمیمات و مصوبات'!$A$8:$A$1007,0)),"")=0,"",IFERROR(INDEX('07-تصمیمات و مصوبات'!$AA$8:$AA$1007,MATCH(B8,'07-تصمیمات و مصوبات'!$A$8:$A$1007,0)),"")))</f>
        <v>پیشنهاد؛ تصویب نشده</v>
      </c>
    </row>
    <row r="9" spans="1:7" ht="230.1" customHeight="1">
      <c r="A9" s="1">
        <v>2</v>
      </c>
      <c r="B9" s="3" t="str">
        <f>IFERROR(INDEX('07-تصمیمات و مصوبات'!$A$8:$A$1007,MATCH(A9+('01-تنظیمات'!$B$8-1)*20,'07-تصمیمات و مصوبات'!$AB$8:$AB$1007,0)),"")</f>
        <v>DEC-A02</v>
      </c>
      <c r="C9" s="3" t="str">
        <f>IF(B9="","",IF(IFERROR(INDEX('07-تصمیمات و مصوبات'!$G$8:$G$1007,MATCH(B9,'07-تصمیمات و مصوبات'!$A$8:$A$1007,0)),"")=0,"",IFERROR(INDEX('07-تصمیمات و مصوبات'!$G$8:$G$1007,MATCH(B9,'07-تصمیمات و مصوبات'!$A$8:$A$1007,0)),"")))</f>
        <v>تطبیق تمام شاخص‌ها با فایل پایش و حل تعارض‌ها</v>
      </c>
      <c r="D9" s="3" t="str">
        <f>IF(B9="","",IF('01-تنظیمات'!$B$7="پیش از جلسه","تحلیل: "&amp;IFERROR(INDEX('07-تصمیمات و مصوبات'!$H$8:$H$1007,MATCH(B9,'07-تصمیمات و مصوبات'!$A$8:$A$1007,0)),""),"نتیجه مدیریت: "&amp;IFERROR(INDEX('07-تصمیمات و مصوبات'!$J$8:$J$1007,MATCH(B9,'07-تصمیمات و مصوبات'!$A$8:$A$1007,0)),""))&amp;CHAR(10)&amp;"تصمیم/پیشنهاد: "&amp;IFERROR(INDEX('07-تصمیمات و مصوبات'!$K$8:$K$1007,MATCH(B9,'07-تصمیمات و مصوبات'!$A$8:$A$1007,0)),"")&amp;CHAR(10)&amp;"منابع: "&amp;IFERROR(INDEX('07-تصمیمات و مصوبات'!$Q$8:$Q$1007,MATCH(B9,'07-تصمیمات و مصوبات'!$A$8:$A$1007,0)),"")&amp;CHAR(10)&amp;"معیار: "&amp;IFERROR(INDEX('07-تصمیمات و مصوبات'!$S$8:$S$1007,MATCH(B9,'07-تصمیمات و مصوبات'!$A$8:$A$1007,0)),"")&amp;CHAR(10)&amp;"اقدامات مرتبط: "&amp;IFERROR(INDEX('07-تصمیمات و مصوبات'!$U$8:$U$1007,MATCH(B9,'07-تصمیمات و مصوبات'!$A$8:$A$1007,0)),""))</f>
        <v>تحلیل: جدول تطبیق امضاشده؛ هر شاخص با منبع و دوره واحد
تصمیم/پیشنهاد: پیشنهاد: تطبیق تمام شاخص‌ها با فایل پایش و حل تعارض‌ها
منابع: نیازمند برآورد
معیار: جدول تطبیق امضاشده؛ هر شاخص با منبع و دوره واحد
اقدامات مرتبط: ACT-A02</v>
      </c>
      <c r="E9" s="3" t="str">
        <f>IF(B9="","",IF(IFERROR(INDEX('07-تصمیمات و مصوبات'!$O$8:$O$1007,MATCH(B9,'07-تصمیمات و مصوبات'!$A$8:$A$1007,0)),"")=0,"",IFERROR(INDEX('07-تصمیمات و مصوبات'!$O$8:$O$1007,MATCH(B9,'07-تصمیمات و مصوبات'!$A$8:$A$1007,0)),"")))</f>
        <v>تضمین کیفیت و مالکان شاخص</v>
      </c>
      <c r="F9" s="6" t="str">
        <f>IF(B9="","",IF(IFERROR(INDEX('07-تصمیمات و مصوبات'!$R$8:$R$1007,MATCH(B9,'07-تصمیمات و مصوبات'!$A$8:$A$1007,0)),"")=0,"",IFERROR(INDEX('07-تصمیمات و مصوبات'!$R$8:$R$1007,MATCH(B9,'07-تصمیمات و مصوبات'!$A$8:$A$1007,0)),"")))</f>
        <v/>
      </c>
      <c r="G9" s="3" t="str">
        <f>IF(B9="","",IF(IFERROR(INDEX('07-تصمیمات و مصوبات'!$AA$8:$AA$1007,MATCH(B9,'07-تصمیمات و مصوبات'!$A$8:$A$1007,0)),"")=0,"",IFERROR(INDEX('07-تصمیمات و مصوبات'!$AA$8:$AA$1007,MATCH(B9,'07-تصمیمات و مصوبات'!$A$8:$A$1007,0)),"")))</f>
        <v>پیشنهاد؛ تصویب نشده</v>
      </c>
    </row>
    <row r="10" spans="1:7" ht="230.1" customHeight="1">
      <c r="A10" s="1">
        <v>3</v>
      </c>
      <c r="B10" s="3" t="str">
        <f>IFERROR(INDEX('07-تصمیمات و مصوبات'!$A$8:$A$1007,MATCH(A10+('01-تنظیمات'!$B$8-1)*20,'07-تصمیمات و مصوبات'!$AB$8:$AB$1007,0)),"")</f>
        <v>DEC-A03</v>
      </c>
      <c r="C10" s="3" t="str">
        <f>IF(B10="","",IF(IFERROR(INDEX('07-تصمیمات و مصوبات'!$G$8:$G$1007,MATCH(B10,'07-تصمیمات و مصوبات'!$A$8:$A$1007,0)),"")=0,"",IFERROR(INDEX('07-تصمیمات و مصوبات'!$G$8:$G$1007,MATCH(B10,'07-تصمیمات و مصوبات'!$A$8:$A$1007,0)),"")))</f>
        <v>تأیید تاریخ و نتایج گزارش پایش HSE</v>
      </c>
      <c r="D10" s="3" t="str">
        <f>IF(B10="","",IF('01-تنظیمات'!$B$7="پیش از جلسه","تحلیل: "&amp;IFERROR(INDEX('07-تصمیمات و مصوبات'!$H$8:$H$1007,MATCH(B10,'07-تصمیمات و مصوبات'!$A$8:$A$1007,0)),""),"نتیجه مدیریت: "&amp;IFERROR(INDEX('07-تصمیمات و مصوبات'!$J$8:$J$1007,MATCH(B10,'07-تصمیمات و مصوبات'!$A$8:$A$1007,0)),""))&amp;CHAR(10)&amp;"تصمیم/پیشنهاد: "&amp;IFERROR(INDEX('07-تصمیمات و مصوبات'!$K$8:$K$1007,MATCH(B10,'07-تصمیمات و مصوبات'!$A$8:$A$1007,0)),"")&amp;CHAR(10)&amp;"منابع: "&amp;IFERROR(INDEX('07-تصمیمات و مصوبات'!$Q$8:$Q$1007,MATCH(B10,'07-تصمیمات و مصوبات'!$A$8:$A$1007,0)),"")&amp;CHAR(10)&amp;"معیار: "&amp;IFERROR(INDEX('07-تصمیمات و مصوبات'!$S$8:$S$1007,MATCH(B10,'07-تصمیمات و مصوبات'!$A$8:$A$1007,0)),"")&amp;CHAR(10)&amp;"اقدامات مرتبط: "&amp;IFERROR(INDEX('07-تصمیمات و مصوبات'!$U$8:$U$1007,MATCH(B10,'07-تصمیمات و مصوبات'!$A$8:$A$1007,0)),""))</f>
        <v>تحلیل: اصل گزارش پایش و فهرست موارد خارج از حدود
تصمیم/پیشنهاد: پیشنهاد: تأیید تاریخ و نتایج گزارش پایش HSE
منابع: نیازمند برآورد
معیار: اصل گزارش پایش و فهرست موارد خارج از حدود
اقدامات مرتبط: ACT-A03</v>
      </c>
      <c r="E10" s="3" t="str">
        <f>IF(B10="","",IF(IFERROR(INDEX('07-تصمیمات و مصوبات'!$O$8:$O$1007,MATCH(B10,'07-تصمیمات و مصوبات'!$A$8:$A$1007,0)),"")=0,"",IFERROR(INDEX('07-تصمیمات و مصوبات'!$O$8:$O$1007,MATCH(B10,'07-تصمیمات و مصوبات'!$A$8:$A$1007,0)),"")))</f>
        <v>مسئول HSE</v>
      </c>
      <c r="F10" s="6" t="str">
        <f>IF(B10="","",IF(IFERROR(INDEX('07-تصمیمات و مصوبات'!$R$8:$R$1007,MATCH(B10,'07-تصمیمات و مصوبات'!$A$8:$A$1007,0)),"")=0,"",IFERROR(INDEX('07-تصمیمات و مصوبات'!$R$8:$R$1007,MATCH(B10,'07-تصمیمات و مصوبات'!$A$8:$A$1007,0)),"")))</f>
        <v/>
      </c>
      <c r="G10" s="3" t="str">
        <f>IF(B10="","",IF(IFERROR(INDEX('07-تصمیمات و مصوبات'!$AA$8:$AA$1007,MATCH(B10,'07-تصمیمات و مصوبات'!$A$8:$A$1007,0)),"")=0,"",IFERROR(INDEX('07-تصمیمات و مصوبات'!$AA$8:$AA$1007,MATCH(B10,'07-تصمیمات و مصوبات'!$A$8:$A$1007,0)),"")))</f>
        <v>پیشنهاد؛ تصویب نشده</v>
      </c>
    </row>
    <row r="11" spans="1:7" ht="230.1" customHeight="1">
      <c r="A11" s="1">
        <v>4</v>
      </c>
      <c r="B11" s="3" t="str">
        <f>IFERROR(INDEX('07-تصمیمات و مصوبات'!$A$8:$A$1007,MATCH(A11+('01-تنظیمات'!$B$8-1)*20,'07-تصمیمات و مصوبات'!$AB$8:$AB$1007,0)),"")</f>
        <v>DEC-A04</v>
      </c>
      <c r="C11" s="3" t="str">
        <f>IF(B11="","",IF(IFERROR(INDEX('07-تصمیمات و مصوبات'!$G$8:$G$1007,MATCH(B11,'07-تصمیمات و مصوبات'!$A$8:$A$1007,0)),"")=0,"",IFERROR(INDEX('07-تصمیمات و مصوبات'!$G$8:$G$1007,MATCH(B11,'07-تصمیمات و مصوبات'!$A$8:$A$1007,0)),"")))</f>
        <v>تکمیل فهرست پیوست‌ها در سیستم تضمین</v>
      </c>
      <c r="D11" s="3" t="str">
        <f>IF(B11="","",IF('01-تنظیمات'!$B$7="پیش از جلسه","تحلیل: "&amp;IFERROR(INDEX('07-تصمیمات و مصوبات'!$H$8:$H$1007,MATCH(B11,'07-تصمیمات و مصوبات'!$A$8:$A$1007,0)),""),"نتیجه مدیریت: "&amp;IFERROR(INDEX('07-تصمیمات و مصوبات'!$J$8:$J$1007,MATCH(B11,'07-تصمیمات و مصوبات'!$A$8:$A$1007,0)),""))&amp;CHAR(10)&amp;"تصمیم/پیشنهاد: "&amp;IFERROR(INDEX('07-تصمیمات و مصوبات'!$K$8:$K$1007,MATCH(B11,'07-تصمیمات و مصوبات'!$A$8:$A$1007,0)),"")&amp;CHAR(10)&amp;"منابع: "&amp;IFERROR(INDEX('07-تصمیمات و مصوبات'!$Q$8:$Q$1007,MATCH(B11,'07-تصمیمات و مصوبات'!$A$8:$A$1007,0)),"")&amp;CHAR(10)&amp;"معیار: "&amp;IFERROR(INDEX('07-تصمیمات و مصوبات'!$S$8:$S$1007,MATCH(B11,'07-تصمیمات و مصوبات'!$A$8:$A$1007,0)),"")&amp;CHAR(10)&amp;"اقدامات مرتبط: "&amp;IFERROR(INDEX('07-تصمیمات و مصوبات'!$U$8:$U$1007,MATCH(B11,'07-تصمیمات و مصوبات'!$A$8:$A$1007,0)),""))</f>
        <v>تحلیل: شناسه، نسخه، تاریخ و مسیر قابل بازیابی برای هر شاهد
تصمیم/پیشنهاد: پیشنهاد: تکمیل فهرست پیوست‌ها در سیستم تضمین
منابع: نیازمند برآورد
معیار: شناسه، نسخه، تاریخ و مسیر قابل بازیابی برای هر شاهد
اقدامات مرتبط: ACT-A04</v>
      </c>
      <c r="E11" s="3" t="str">
        <f>IF(B11="","",IF(IFERROR(INDEX('07-تصمیمات و مصوبات'!$O$8:$O$1007,MATCH(B11,'07-تصمیمات و مصوبات'!$A$8:$A$1007,0)),"")=0,"",IFERROR(INDEX('07-تصمیمات و مصوبات'!$O$8:$O$1007,MATCH(B11,'07-تصمیمات و مصوبات'!$A$8:$A$1007,0)),"")))</f>
        <v>کنترل مستندات</v>
      </c>
      <c r="F11" s="6" t="str">
        <f>IF(B11="","",IF(IFERROR(INDEX('07-تصمیمات و مصوبات'!$R$8:$R$1007,MATCH(B11,'07-تصمیمات و مصوبات'!$A$8:$A$1007,0)),"")=0,"",IFERROR(INDEX('07-تصمیمات و مصوبات'!$R$8:$R$1007,MATCH(B11,'07-تصمیمات و مصوبات'!$A$8:$A$1007,0)),"")))</f>
        <v/>
      </c>
      <c r="G11" s="3" t="str">
        <f>IF(B11="","",IF(IFERROR(INDEX('07-تصمیمات و مصوبات'!$AA$8:$AA$1007,MATCH(B11,'07-تصمیمات و مصوبات'!$A$8:$A$1007,0)),"")=0,"",IFERROR(INDEX('07-تصمیمات و مصوبات'!$AA$8:$AA$1007,MATCH(B11,'07-تصمیمات و مصوبات'!$A$8:$A$1007,0)),"")))</f>
        <v>پیشنهاد؛ تصویب نشده</v>
      </c>
    </row>
    <row r="12" spans="1:7" ht="230.1" customHeight="1">
      <c r="A12" s="1">
        <v>5</v>
      </c>
      <c r="B12" s="3" t="str">
        <f>IFERROR(INDEX('07-تصمیمات و مصوبات'!$A$8:$A$1007,MATCH(A12+('01-تنظیمات'!$B$8-1)*20,'07-تصمیمات و مصوبات'!$AB$8:$AB$1007,0)),"")</f>
        <v>DEC-A05</v>
      </c>
      <c r="C12" s="3" t="str">
        <f>IF(B12="","",IF(IFERROR(INDEX('07-تصمیمات و مصوبات'!$G$8:$G$1007,MATCH(B12,'07-تصمیمات و مصوبات'!$A$8:$A$1007,0)),"")=0,"",IFERROR(INDEX('07-تصمیمات و مصوبات'!$G$8:$G$1007,MATCH(B12,'07-تصمیمات و مصوبات'!$A$8:$A$1007,0)),"")))</f>
        <v>بازطراحی گردش اقدام اصلاحی و ارزیابی اثربخشی</v>
      </c>
      <c r="D12" s="3" t="str">
        <f>IF(B12="","",IF('01-تنظیمات'!$B$7="پیش از جلسه","تحلیل: "&amp;IFERROR(INDEX('07-تصمیمات و مصوبات'!$H$8:$H$1007,MATCH(B12,'07-تصمیمات و مصوبات'!$A$8:$A$1007,0)),""),"نتیجه مدیریت: "&amp;IFERROR(INDEX('07-تصمیمات و مصوبات'!$J$8:$J$1007,MATCH(B12,'07-تصمیمات و مصوبات'!$A$8:$A$1007,0)),""))&amp;CHAR(10)&amp;"تصمیم/پیشنهاد: "&amp;IFERROR(INDEX('07-تصمیمات و مصوبات'!$K$8:$K$1007,MATCH(B12,'07-تصمیمات و مصوبات'!$A$8:$A$1007,0)),"")&amp;CHAR(10)&amp;"منابع: "&amp;IFERROR(INDEX('07-تصمیمات و مصوبات'!$Q$8:$Q$1007,MATCH(B12,'07-تصمیمات و مصوبات'!$A$8:$A$1007,0)),"")&amp;CHAR(10)&amp;"معیار: "&amp;IFERROR(INDEX('07-تصمیمات و مصوبات'!$S$8:$S$1007,MATCH(B12,'07-تصمیمات و مصوبات'!$A$8:$A$1007,0)),"")&amp;CHAR(10)&amp;"اقدامات مرتبط: "&amp;IFERROR(INDEX('07-تصمیمات و مصوبات'!$U$8:$U$1007,MATCH(B12,'07-تصمیمات و مصوبات'!$A$8:$A$1007,0)),""))</f>
        <v>تحلیل: تفکیک اجرا و اثربخشی؛ آزمون گردش کار و نمونه اقدام معتبر
تصمیم/پیشنهاد: پیشنهاد: بازطراحی گردش اقدام اصلاحی و ارزیابی اثربخشی
منابع: نیازمند برآورد
معیار: تفکیک اجرا و اثربخشی؛ آزمون گردش کار و نمونه اقدام معتبر
اقدامات مرتبط: ACT-A05</v>
      </c>
      <c r="E12" s="3" t="str">
        <f>IF(B12="","",IF(IFERROR(INDEX('07-تصمیمات و مصوبات'!$O$8:$O$1007,MATCH(B12,'07-تصمیمات و مصوبات'!$A$8:$A$1007,0)),"")=0,"",IFERROR(INDEX('07-تصمیمات و مصوبات'!$O$8:$O$1007,MATCH(B12,'07-تصمیمات و مصوبات'!$A$8:$A$1007,0)),"")))</f>
        <v>تضمین کیفیت / فناوری اطلاعات</v>
      </c>
      <c r="F12" s="6" t="str">
        <f>IF(B12="","",IF(IFERROR(INDEX('07-تصمیمات و مصوبات'!$R$8:$R$1007,MATCH(B12,'07-تصمیمات و مصوبات'!$A$8:$A$1007,0)),"")=0,"",IFERROR(INDEX('07-تصمیمات و مصوبات'!$R$8:$R$1007,MATCH(B12,'07-تصمیمات و مصوبات'!$A$8:$A$1007,0)),"")))</f>
        <v/>
      </c>
      <c r="G12" s="3" t="str">
        <f>IF(B12="","",IF(IFERROR(INDEX('07-تصمیمات و مصوبات'!$AA$8:$AA$1007,MATCH(B12,'07-تصمیمات و مصوبات'!$A$8:$A$1007,0)),"")=0,"",IFERROR(INDEX('07-تصمیمات و مصوبات'!$AA$8:$AA$1007,MATCH(B12,'07-تصمیمات و مصوبات'!$A$8:$A$1007,0)),"")))</f>
        <v>پیشنهاد؛ تصویب نشده</v>
      </c>
    </row>
    <row r="13" spans="1:7" ht="230.1" customHeight="1">
      <c r="A13" s="1">
        <v>6</v>
      </c>
      <c r="B13" s="3" t="str">
        <f>IFERROR(INDEX('07-تصمیمات و مصوبات'!$A$8:$A$1007,MATCH(A13+('01-تنظیمات'!$B$8-1)*20,'07-تصمیمات و مصوبات'!$AB$8:$AB$1007,0)),"")</f>
        <v>DEC-A06</v>
      </c>
      <c r="C13" s="3" t="str">
        <f>IF(B13="","",IF(IFERROR(INDEX('07-تصمیمات و مصوبات'!$G$8:$G$1007,MATCH(B13,'07-تصمیمات و مصوبات'!$A$8:$A$1007,0)),"")=0,"",IFERROR(INDEX('07-تصمیمات و مصوبات'!$G$8:$G$1007,MATCH(B13,'07-تصمیمات و مصوبات'!$A$8:$A$1007,0)),"")))</f>
        <v>آزمون ردیابی و تعیین دامنه نقص پس از پرس</v>
      </c>
      <c r="D13" s="3" t="str">
        <f>IF(B13="","",IF('01-تنظیمات'!$B$7="پیش از جلسه","تحلیل: "&amp;IFERROR(INDEX('07-تصمیمات و مصوبات'!$H$8:$H$1007,MATCH(B13,'07-تصمیمات و مصوبات'!$A$8:$A$1007,0)),""),"نتیجه مدیریت: "&amp;IFERROR(INDEX('07-تصمیمات و مصوبات'!$J$8:$J$1007,MATCH(B13,'07-تصمیمات و مصوبات'!$A$8:$A$1007,0)),""))&amp;CHAR(10)&amp;"تصمیم/پیشنهاد: "&amp;IFERROR(INDEX('07-تصمیمات و مصوبات'!$K$8:$K$1007,MATCH(B13,'07-تصمیمات و مصوبات'!$A$8:$A$1007,0)),"")&amp;CHAR(10)&amp;"منابع: "&amp;IFERROR(INDEX('07-تصمیمات و مصوبات'!$Q$8:$Q$1007,MATCH(B13,'07-تصمیمات و مصوبات'!$A$8:$A$1007,0)),"")&amp;CHAR(10)&amp;"معیار: "&amp;IFERROR(INDEX('07-تصمیمات و مصوبات'!$S$8:$S$1007,MATCH(B13,'07-تصمیمات و مصوبات'!$A$8:$A$1007,0)),"")&amp;CHAR(10)&amp;"اقدامات مرتبط: "&amp;IFERROR(INDEX('07-تصمیمات و مصوبات'!$U$8:$U$1007,MATCH(B13,'07-تصمیمات و مصوبات'!$A$8:$A$1007,0)),""))</f>
        <v>تحلیل: ردیابی رفت و برگشت نمونه‌های مصوب و بستن شکاف‌ها
تصمیم/پیشنهاد: پیشنهاد: آزمون ردیابی و تعیین دامنه نقص پس از پرس
منابع: نیازمند برآورد
معیار: ردیابی رفت و برگشت نمونه‌های مصوب و بستن شکاف‌ها
اقدامات مرتبط: ACT-A06</v>
      </c>
      <c r="E13" s="3" t="str">
        <f>IF(B13="","",IF(IFERROR(INDEX('07-تصمیمات و مصوبات'!$O$8:$O$1007,MATCH(B13,'07-تصمیمات و مصوبات'!$A$8:$A$1007,0)),"")=0,"",IFERROR(INDEX('07-تصمیمات و مصوبات'!$O$8:$O$1007,MATCH(B13,'07-تصمیمات و مصوبات'!$A$8:$A$1007,0)),"")))</f>
        <v>تولید / کیفیت / مهندسی</v>
      </c>
      <c r="F13" s="6" t="str">
        <f>IF(B13="","",IF(IFERROR(INDEX('07-تصمیمات و مصوبات'!$R$8:$R$1007,MATCH(B13,'07-تصمیمات و مصوبات'!$A$8:$A$1007,0)),"")=0,"",IFERROR(INDEX('07-تصمیمات و مصوبات'!$R$8:$R$1007,MATCH(B13,'07-تصمیمات و مصوبات'!$A$8:$A$1007,0)),"")))</f>
        <v/>
      </c>
      <c r="G13" s="3" t="str">
        <f>IF(B13="","",IF(IFERROR(INDEX('07-تصمیمات و مصوبات'!$AA$8:$AA$1007,MATCH(B13,'07-تصمیمات و مصوبات'!$A$8:$A$1007,0)),"")=0,"",IFERROR(INDEX('07-تصمیمات و مصوبات'!$AA$8:$AA$1007,MATCH(B13,'07-تصمیمات و مصوبات'!$A$8:$A$1007,0)),"")))</f>
        <v>پیشنهاد؛ تصویب نشده</v>
      </c>
    </row>
    <row r="14" spans="1:7" ht="230.1" customHeight="1">
      <c r="A14" s="1">
        <v>7</v>
      </c>
      <c r="B14" s="3" t="str">
        <f>IFERROR(INDEX('07-تصمیمات و مصوبات'!$A$8:$A$1007,MATCH(A14+('01-تنظیمات'!$B$8-1)*20,'07-تصمیمات و مصوبات'!$AB$8:$AB$1007,0)),"")</f>
        <v>DEC-A07</v>
      </c>
      <c r="C14" s="3" t="str">
        <f>IF(B14="","",IF(IFERROR(INDEX('07-تصمیمات و مصوبات'!$G$8:$G$1007,MATCH(B14,'07-تصمیمات و مصوبات'!$A$8:$A$1007,0)),"")=0,"",IFERROR(INDEX('07-تصمیمات و مصوبات'!$G$8:$G$1007,MATCH(B14,'07-تصمیمات و مصوبات'!$A$8:$A$1007,0)),"")))</f>
        <v>تصویب برنامه توسعه فضا و کنترل‌های موقت</v>
      </c>
      <c r="D14" s="3" t="str">
        <f>IF(B14="","",IF('01-تنظیمات'!$B$7="پیش از جلسه","تحلیل: "&amp;IFERROR(INDEX('07-تصمیمات و مصوبات'!$H$8:$H$1007,MATCH(B14,'07-تصمیمات و مصوبات'!$A$8:$A$1007,0)),""),"نتیجه مدیریت: "&amp;IFERROR(INDEX('07-تصمیمات و مصوبات'!$J$8:$J$1007,MATCH(B14,'07-تصمیمات و مصوبات'!$A$8:$A$1007,0)),""))&amp;CHAR(10)&amp;"تصمیم/پیشنهاد: "&amp;IFERROR(INDEX('07-تصمیمات و مصوبات'!$K$8:$K$1007,MATCH(B14,'07-تصمیمات و مصوبات'!$A$8:$A$1007,0)),"")&amp;CHAR(10)&amp;"منابع: "&amp;IFERROR(INDEX('07-تصمیمات و مصوبات'!$Q$8:$Q$1007,MATCH(B14,'07-تصمیمات و مصوبات'!$A$8:$A$1007,0)),"")&amp;CHAR(10)&amp;"معیار: "&amp;IFERROR(INDEX('07-تصمیمات و مصوبات'!$S$8:$S$1007,MATCH(B14,'07-تصمیمات و مصوبات'!$A$8:$A$1007,0)),"")&amp;CHAR(10)&amp;"اقدامات مرتبط: "&amp;IFERROR(INDEX('07-تصمیمات و مصوبات'!$U$8:$U$1007,MATCH(B14,'07-تصمیمات و مصوبات'!$A$8:$A$1007,0)),""))</f>
        <v>تحلیل: برنامه واحد؛ جانمایی، مسیر ایمن و کنترل انبارش تا اجرای طرح
تصمیم/پیشنهاد: پیشنهاد: تصویب برنامه توسعه فضا و کنترل‌های موقت
منابع: نیازمند برآورد
معیار: برنامه واحد؛ جانمایی، مسیر ایمن و کنترل انبارش تا اجرای طرح
اقدامات مرتبط: ACT-A07</v>
      </c>
      <c r="E14" s="3" t="str">
        <f>IF(B14="","",IF(IFERROR(INDEX('07-تصمیمات و مصوبات'!$O$8:$O$1007,MATCH(B14,'07-تصمیمات و مصوبات'!$A$8:$A$1007,0)),"")=0,"",IFERROR(INDEX('07-تصمیمات و مصوبات'!$O$8:$O$1007,MATCH(B14,'07-تصمیمات و مصوبات'!$A$8:$A$1007,0)),"")))</f>
        <v>مدیریت عامل / سایت‌ها / HSE</v>
      </c>
      <c r="F14" s="6" t="str">
        <f>IF(B14="","",IF(IFERROR(INDEX('07-تصمیمات و مصوبات'!$R$8:$R$1007,MATCH(B14,'07-تصمیمات و مصوبات'!$A$8:$A$1007,0)),"")=0,"",IFERROR(INDEX('07-تصمیمات و مصوبات'!$R$8:$R$1007,MATCH(B14,'07-تصمیمات و مصوبات'!$A$8:$A$1007,0)),"")))</f>
        <v/>
      </c>
      <c r="G14" s="3" t="str">
        <f>IF(B14="","",IF(IFERROR(INDEX('07-تصمیمات و مصوبات'!$AA$8:$AA$1007,MATCH(B14,'07-تصمیمات و مصوبات'!$A$8:$A$1007,0)),"")=0,"",IFERROR(INDEX('07-تصمیمات و مصوبات'!$AA$8:$AA$1007,MATCH(B14,'07-تصمیمات و مصوبات'!$A$8:$A$1007,0)),"")))</f>
        <v>پیشنهاد؛ تصویب نشده</v>
      </c>
    </row>
    <row r="15" spans="1:7" ht="230.1" customHeight="1">
      <c r="A15" s="1">
        <v>8</v>
      </c>
      <c r="B15" s="3" t="str">
        <f>IFERROR(INDEX('07-تصمیمات و مصوبات'!$A$8:$A$1007,MATCH(A15+('01-تنظیمات'!$B$8-1)*20,'07-تصمیمات و مصوبات'!$AB$8:$AB$1007,0)),"")</f>
        <v>DEC-A08</v>
      </c>
      <c r="C15" s="3" t="str">
        <f>IF(B15="","",IF(IFERROR(INDEX('07-تصمیمات و مصوبات'!$G$8:$G$1007,MATCH(B15,'07-تصمیمات و مصوبات'!$A$8:$A$1007,0)),"")=0,"",IFERROR(INDEX('07-تصمیمات و مصوبات'!$G$8:$G$1007,MATCH(B15,'07-تصمیمات و مصوبات'!$A$8:$A$1007,0)),"")))</f>
        <v>تطبیق نسبت‌ها و اجزای هزینه کیفیت</v>
      </c>
      <c r="D15" s="3" t="str">
        <f>IF(B15="","",IF('01-تنظیمات'!$B$7="پیش از جلسه","تحلیل: "&amp;IFERROR(INDEX('07-تصمیمات و مصوبات'!$H$8:$H$1007,MATCH(B15,'07-تصمیمات و مصوبات'!$A$8:$A$1007,0)),""),"نتیجه مدیریت: "&amp;IFERROR(INDEX('07-تصمیمات و مصوبات'!$J$8:$J$1007,MATCH(B15,'07-تصمیمات و مصوبات'!$A$8:$A$1007,0)),""))&amp;CHAR(10)&amp;"تصمیم/پیشنهاد: "&amp;IFERROR(INDEX('07-تصمیمات و مصوبات'!$K$8:$K$1007,MATCH(B15,'07-تصمیمات و مصوبات'!$A$8:$A$1007,0)),"")&amp;CHAR(10)&amp;"منابع: "&amp;IFERROR(INDEX('07-تصمیمات و مصوبات'!$Q$8:$Q$1007,MATCH(B15,'07-تصمیمات و مصوبات'!$A$8:$A$1007,0)),"")&amp;CHAR(10)&amp;"معیار: "&amp;IFERROR(INDEX('07-تصمیمات و مصوبات'!$S$8:$S$1007,MATCH(B15,'07-تصمیمات و مصوبات'!$A$8:$A$1007,0)),"")&amp;CHAR(10)&amp;"اقدامات مرتبط: "&amp;IFERROR(INDEX('07-تصمیمات و مصوبات'!$U$8:$U$1007,MATCH(B15,'07-تصمیمات و مصوبات'!$A$8:$A$1007,0)),""))</f>
        <v>تحلیل: تعریف مخرج و واحد؛ تطبیق اجزا با کل و گزارش مالی
تصمیم/پیشنهاد: پیشنهاد: تطبیق نسبت‌ها و اجزای هزینه کیفیت
منابع: نیازمند برآورد
معیار: تعریف مخرج و واحد؛ تطبیق اجزا با کل و گزارش مالی
اقدامات مرتبط: ACT-A08</v>
      </c>
      <c r="E15" s="3" t="str">
        <f>IF(B15="","",IF(IFERROR(INDEX('07-تصمیمات و مصوبات'!$O$8:$O$1007,MATCH(B15,'07-تصمیمات و مصوبات'!$A$8:$A$1007,0)),"")=0,"",IFERROR(INDEX('07-تصمیمات و مصوبات'!$O$8:$O$1007,MATCH(B15,'07-تصمیمات و مصوبات'!$A$8:$A$1007,0)),"")))</f>
        <v>مالی / تضمین کیفیت</v>
      </c>
      <c r="F15" s="6" t="str">
        <f>IF(B15="","",IF(IFERROR(INDEX('07-تصمیمات و مصوبات'!$R$8:$R$1007,MATCH(B15,'07-تصمیمات و مصوبات'!$A$8:$A$1007,0)),"")=0,"",IFERROR(INDEX('07-تصمیمات و مصوبات'!$R$8:$R$1007,MATCH(B15,'07-تصمیمات و مصوبات'!$A$8:$A$1007,0)),"")))</f>
        <v/>
      </c>
      <c r="G15" s="3" t="str">
        <f>IF(B15="","",IF(IFERROR(INDEX('07-تصمیمات و مصوبات'!$AA$8:$AA$1007,MATCH(B15,'07-تصمیمات و مصوبات'!$A$8:$A$1007,0)),"")=0,"",IFERROR(INDEX('07-تصمیمات و مصوبات'!$AA$8:$AA$1007,MATCH(B15,'07-تصمیمات و مصوبات'!$A$8:$A$1007,0)),"")))</f>
        <v>پیشنهاد؛ تصویب نشده</v>
      </c>
    </row>
    <row r="16" spans="1:7" ht="230.1" customHeight="1">
      <c r="A16" s="1">
        <v>9</v>
      </c>
      <c r="B16" s="3" t="str">
        <f>IFERROR(INDEX('07-تصمیمات و مصوبات'!$A$8:$A$1007,MATCH(A16+('01-تنظیمات'!$B$8-1)*20,'07-تصمیمات و مصوبات'!$AB$8:$AB$1007,0)),"")</f>
        <v>DEC-A09</v>
      </c>
      <c r="C16" s="3" t="str">
        <f>IF(B16="","",IF(IFERROR(INDEX('07-تصمیمات و مصوبات'!$G$8:$G$1007,MATCH(B16,'07-تصمیمات و مصوبات'!$A$8:$A$1007,0)),"")=0,"",IFERROR(INDEX('07-تصمیمات و مصوبات'!$G$8:$G$1007,MATCH(B16,'07-تصمیمات و مصوبات'!$A$8:$A$1007,0)),"")))</f>
        <v>تعریف اقدام اختصاصی برای یافته‌های ممیزی</v>
      </c>
      <c r="D16" s="3" t="str">
        <f>IF(B16="","",IF('01-تنظیمات'!$B$7="پیش از جلسه","تحلیل: "&amp;IFERROR(INDEX('07-تصمیمات و مصوبات'!$H$8:$H$1007,MATCH(B16,'07-تصمیمات و مصوبات'!$A$8:$A$1007,0)),""),"نتیجه مدیریت: "&amp;IFERROR(INDEX('07-تصمیمات و مصوبات'!$J$8:$J$1007,MATCH(B16,'07-تصمیمات و مصوبات'!$A$8:$A$1007,0)),""))&amp;CHAR(10)&amp;"تصمیم/پیشنهاد: "&amp;IFERROR(INDEX('07-تصمیمات و مصوبات'!$K$8:$K$1007,MATCH(B16,'07-تصمیمات و مصوبات'!$A$8:$A$1007,0)),"")&amp;CHAR(10)&amp;"منابع: "&amp;IFERROR(INDEX('07-تصمیمات و مصوبات'!$Q$8:$Q$1007,MATCH(B16,'07-تصمیمات و مصوبات'!$A$8:$A$1007,0)),"")&amp;CHAR(10)&amp;"معیار: "&amp;IFERROR(INDEX('07-تصمیمات و مصوبات'!$S$8:$S$1007,MATCH(B16,'07-تصمیمات و مصوبات'!$A$8:$A$1007,0)),"")&amp;CHAR(10)&amp;"اقدامات مرتبط: "&amp;IFERROR(INDEX('07-تصمیمات و مصوبات'!$U$8:$U$1007,MATCH(B16,'07-تصمیمات و مصوبات'!$A$8:$A$1007,0)),""))</f>
        <v>تحلیل: علت ریشه‌ای، اقدام، مسئول و معیار اثربخشی هر یافته
تصمیم/پیشنهاد: پیشنهاد: تعریف اقدام اختصاصی برای یافته‌های ممیزی
منابع: نیازمند برآورد
معیار: علت ریشه‌ای، اقدام، مسئول و معیار اثربخشی هر یافته
اقدامات مرتبط: ACT-A09</v>
      </c>
      <c r="E16" s="3" t="str">
        <f>IF(B16="","",IF(IFERROR(INDEX('07-تصمیمات و مصوبات'!$O$8:$O$1007,MATCH(B16,'07-تصمیمات و مصوبات'!$A$8:$A$1007,0)),"")=0,"",IFERROR(INDEX('07-تصمیمات و مصوبات'!$O$8:$O$1007,MATCH(B16,'07-تصمیمات و مصوبات'!$A$8:$A$1007,0)),"")))</f>
        <v>مالکان فرآیند / تضمین کیفیت</v>
      </c>
      <c r="F16" s="6" t="str">
        <f>IF(B16="","",IF(IFERROR(INDEX('07-تصمیمات و مصوبات'!$R$8:$R$1007,MATCH(B16,'07-تصمیمات و مصوبات'!$A$8:$A$1007,0)),"")=0,"",IFERROR(INDEX('07-تصمیمات و مصوبات'!$R$8:$R$1007,MATCH(B16,'07-تصمیمات و مصوبات'!$A$8:$A$1007,0)),"")))</f>
        <v/>
      </c>
      <c r="G16" s="3" t="str">
        <f>IF(B16="","",IF(IFERROR(INDEX('07-تصمیمات و مصوبات'!$AA$8:$AA$1007,MATCH(B16,'07-تصمیمات و مصوبات'!$A$8:$A$1007,0)),"")=0,"",IFERROR(INDEX('07-تصمیمات و مصوبات'!$AA$8:$AA$1007,MATCH(B16,'07-تصمیمات و مصوبات'!$A$8:$A$1007,0)),"")))</f>
        <v>پیشنهاد؛ تصویب نشده</v>
      </c>
    </row>
    <row r="17" spans="1:7" ht="230.1" customHeight="1">
      <c r="A17" s="1">
        <v>10</v>
      </c>
      <c r="B17" s="3" t="str">
        <f>IFERROR(INDEX('07-تصمیمات و مصوبات'!$A$8:$A$1007,MATCH(A17+('01-تنظیمات'!$B$8-1)*20,'07-تصمیمات و مصوبات'!$AB$8:$AB$1007,0)),"")</f>
        <v>DEC-A10</v>
      </c>
      <c r="C17" s="3" t="str">
        <f>IF(B17="","",IF(IFERROR(INDEX('07-تصمیمات و مصوبات'!$G$8:$G$1007,MATCH(B17,'07-تصمیمات و مصوبات'!$A$8:$A$1007,0)),"")=0,"",IFERROR(INDEX('07-تصمیمات و مصوبات'!$G$8:$G$1007,MATCH(B17,'07-تصمیمات و مصوبات'!$A$8:$A$1007,0)),"")))</f>
        <v>تثبیت برنامه ممیزی IMS و وضعیت یافته‌ها</v>
      </c>
      <c r="D17" s="3" t="str">
        <f>IF(B17="","",IF('01-تنظیمات'!$B$7="پیش از جلسه","تحلیل: "&amp;IFERROR(INDEX('07-تصمیمات و مصوبات'!$H$8:$H$1007,MATCH(B17,'07-تصمیمات و مصوبات'!$A$8:$A$1007,0)),""),"نتیجه مدیریت: "&amp;IFERROR(INDEX('07-تصمیمات و مصوبات'!$J$8:$J$1007,MATCH(B17,'07-تصمیمات و مصوبات'!$A$8:$A$1007,0)),""))&amp;CHAR(10)&amp;"تصمیم/پیشنهاد: "&amp;IFERROR(INDEX('07-تصمیمات و مصوبات'!$K$8:$K$1007,MATCH(B17,'07-تصمیمات و مصوبات'!$A$8:$A$1007,0)),"")&amp;CHAR(10)&amp;"منابع: "&amp;IFERROR(INDEX('07-تصمیمات و مصوبات'!$Q$8:$Q$1007,MATCH(B17,'07-تصمیمات و مصوبات'!$A$8:$A$1007,0)),"")&amp;CHAR(10)&amp;"معیار: "&amp;IFERROR(INDEX('07-تصمیمات و مصوبات'!$S$8:$S$1007,MATCH(B17,'07-تصمیمات و مصوبات'!$A$8:$A$1007,0)),"")&amp;CHAR(10)&amp;"اقدامات مرتبط: "&amp;IFERROR(INDEX('07-تصمیمات و مصوبات'!$U$8:$U$1007,MATCH(B17,'07-تصمیمات و مصوبات'!$A$8:$A$1007,0)),""))</f>
        <v>تحلیل: برنامه مصوب و پوشش فرآیندها؛ رفع تعارض گزارش‌ها
تصمیم/پیشنهاد: پیشنهاد: تثبیت برنامه ممیزی IMS و وضعیت یافته‌ها
منابع: نیازمند برآورد
معیار: برنامه مصوب و پوشش فرآیندها؛ رفع تعارض گزارش‌ها
اقدامات مرتبط: ACT-A10</v>
      </c>
      <c r="E17" s="3" t="str">
        <f>IF(B17="","",IF(IFERROR(INDEX('07-تصمیمات و مصوبات'!$O$8:$O$1007,MATCH(B17,'07-تصمیمات و مصوبات'!$A$8:$A$1007,0)),"")=0,"",IFERROR(INDEX('07-تصمیمات و مصوبات'!$O$8:$O$1007,MATCH(B17,'07-تصمیمات و مصوبات'!$A$8:$A$1007,0)),"")))</f>
        <v>تضمین کیفیت / HSE</v>
      </c>
      <c r="F17" s="6" t="str">
        <f>IF(B17="","",IF(IFERROR(INDEX('07-تصمیمات و مصوبات'!$R$8:$R$1007,MATCH(B17,'07-تصمیمات و مصوبات'!$A$8:$A$1007,0)),"")=0,"",IFERROR(INDEX('07-تصمیمات و مصوبات'!$R$8:$R$1007,MATCH(B17,'07-تصمیمات و مصوبات'!$A$8:$A$1007,0)),"")))</f>
        <v/>
      </c>
      <c r="G17" s="3" t="str">
        <f>IF(B17="","",IF(IFERROR(INDEX('07-تصمیمات و مصوبات'!$AA$8:$AA$1007,MATCH(B17,'07-تصمیمات و مصوبات'!$A$8:$A$1007,0)),"")=0,"",IFERROR(INDEX('07-تصمیمات و مصوبات'!$AA$8:$AA$1007,MATCH(B17,'07-تصمیمات و مصوبات'!$A$8:$A$1007,0)),"")))</f>
        <v>پیشنهاد؛ تصویب نشده</v>
      </c>
    </row>
    <row r="18" spans="1:7" ht="230.1" customHeight="1">
      <c r="A18" s="1">
        <v>11</v>
      </c>
      <c r="B18" s="3" t="str">
        <f>IFERROR(INDEX('07-تصمیمات و مصوبات'!$A$8:$A$1007,MATCH(A18+('01-تنظیمات'!$B$8-1)*20,'07-تصمیمات و مصوبات'!$AB$8:$AB$1007,0)),"")</f>
        <v>DEC-A11</v>
      </c>
      <c r="C18" s="3" t="str">
        <f>IF(B18="","",IF(IFERROR(INDEX('07-تصمیمات و مصوبات'!$G$8:$G$1007,MATCH(B18,'07-تصمیمات و مصوبات'!$A$8:$A$1007,0)),"")=0,"",IFERROR(INDEX('07-تصمیمات و مصوبات'!$G$8:$G$1007,MATCH(B18,'07-تصمیمات و مصوبات'!$A$8:$A$1007,0)),"")))</f>
        <v>ارزیابی تعهدات انطباق و موارد برآورده‌نشده</v>
      </c>
      <c r="D18" s="3" t="str">
        <f>IF(B18="","",IF('01-تنظیمات'!$B$7="پیش از جلسه","تحلیل: "&amp;IFERROR(INDEX('07-تصمیمات و مصوبات'!$H$8:$H$1007,MATCH(B18,'07-تصمیمات و مصوبات'!$A$8:$A$1007,0)),""),"نتیجه مدیریت: "&amp;IFERROR(INDEX('07-تصمیمات و مصوبات'!$J$8:$J$1007,MATCH(B18,'07-تصمیمات و مصوبات'!$A$8:$A$1007,0)),""))&amp;CHAR(10)&amp;"تصمیم/پیشنهاد: "&amp;IFERROR(INDEX('07-تصمیمات و مصوبات'!$K$8:$K$1007,MATCH(B18,'07-تصمیمات و مصوبات'!$A$8:$A$1007,0)),"")&amp;CHAR(10)&amp;"منابع: "&amp;IFERROR(INDEX('07-تصمیمات و مصوبات'!$Q$8:$Q$1007,MATCH(B18,'07-تصمیمات و مصوبات'!$A$8:$A$1007,0)),"")&amp;CHAR(10)&amp;"معیار: "&amp;IFERROR(INDEX('07-تصمیمات و مصوبات'!$S$8:$S$1007,MATCH(B18,'07-تصمیمات و مصوبات'!$A$8:$A$1007,0)),"")&amp;CHAR(10)&amp;"اقدامات مرتبط: "&amp;IFERROR(INDEX('07-تصمیمات و مصوبات'!$U$8:$U$1007,MATCH(B18,'07-تصمیمات و مصوبات'!$A$8:$A$1007,0)),""))</f>
        <v>تحلیل: فهرست تعهدات، نتیجه ارزیابی و اقدام برای موارد باز
تصمیم/پیشنهاد: پیشنهاد: ارزیابی تعهدات انطباق و موارد برآورده‌نشده
منابع: نیازمند برآورد
معیار: فهرست تعهدات، نتیجه ارزیابی و اقدام برای موارد باز
اقدامات مرتبط: ACT-A11</v>
      </c>
      <c r="E18" s="3" t="str">
        <f>IF(B18="","",IF(IFERROR(INDEX('07-تصمیمات و مصوبات'!$O$8:$O$1007,MATCH(B18,'07-تصمیمات و مصوبات'!$A$8:$A$1007,0)),"")=0,"",IFERROR(INDEX('07-تصمیمات و مصوبات'!$O$8:$O$1007,MATCH(B18,'07-تصمیمات و مصوبات'!$A$8:$A$1007,0)),"")))</f>
        <v>HSE / مسئولان الزامات</v>
      </c>
      <c r="F18" s="6" t="str">
        <f>IF(B18="","",IF(IFERROR(INDEX('07-تصمیمات و مصوبات'!$R$8:$R$1007,MATCH(B18,'07-تصمیمات و مصوبات'!$A$8:$A$1007,0)),"")=0,"",IFERROR(INDEX('07-تصمیمات و مصوبات'!$R$8:$R$1007,MATCH(B18,'07-تصمیمات و مصوبات'!$A$8:$A$1007,0)),"")))</f>
        <v/>
      </c>
      <c r="G18" s="3" t="str">
        <f>IF(B18="","",IF(IFERROR(INDEX('07-تصمیمات و مصوبات'!$AA$8:$AA$1007,MATCH(B18,'07-تصمیمات و مصوبات'!$A$8:$A$1007,0)),"")=0,"",IFERROR(INDEX('07-تصمیمات و مصوبات'!$AA$8:$AA$1007,MATCH(B18,'07-تصمیمات و مصوبات'!$A$8:$A$1007,0)),"")))</f>
        <v>پیشنهاد؛ تصویب نشده</v>
      </c>
    </row>
    <row r="19" spans="1:7" ht="230.1" customHeight="1">
      <c r="A19" s="1">
        <v>12</v>
      </c>
      <c r="B19" s="3" t="str">
        <f>IFERROR(INDEX('07-تصمیمات و مصوبات'!$A$8:$A$1007,MATCH(A19+('01-تنظیمات'!$B$8-1)*20,'07-تصمیمات و مصوبات'!$AB$8:$AB$1007,0)),"")</f>
        <v>DEC-A12</v>
      </c>
      <c r="C19" s="3" t="str">
        <f>IF(B19="","",IF(IFERROR(INDEX('07-تصمیمات و مصوبات'!$G$8:$G$1007,MATCH(B19,'07-تصمیمات و مصوبات'!$A$8:$A$1007,0)),"")=0,"",IFERROR(INDEX('07-تصمیمات و مصوبات'!$G$8:$G$1007,MATCH(B19,'07-تصمیمات و مصوبات'!$A$8:$A$1007,0)),"")))</f>
        <v>بازنگری مخاطرات و جنبه‌های بارز تغییر جانمایی</v>
      </c>
      <c r="D19" s="3" t="str">
        <f>IF(B19="","",IF('01-تنظیمات'!$B$7="پیش از جلسه","تحلیل: "&amp;IFERROR(INDEX('07-تصمیمات و مصوبات'!$H$8:$H$1007,MATCH(B19,'07-تصمیمات و مصوبات'!$A$8:$A$1007,0)),""),"نتیجه مدیریت: "&amp;IFERROR(INDEX('07-تصمیمات و مصوبات'!$J$8:$J$1007,MATCH(B19,'07-تصمیمات و مصوبات'!$A$8:$A$1007,0)),""))&amp;CHAR(10)&amp;"تصمیم/پیشنهاد: "&amp;IFERROR(INDEX('07-تصمیمات و مصوبات'!$K$8:$K$1007,MATCH(B19,'07-تصمیمات و مصوبات'!$A$8:$A$1007,0)),"")&amp;CHAR(10)&amp;"منابع: "&amp;IFERROR(INDEX('07-تصمیمات و مصوبات'!$Q$8:$Q$1007,MATCH(B19,'07-تصمیمات و مصوبات'!$A$8:$A$1007,0)),"")&amp;CHAR(10)&amp;"معیار: "&amp;IFERROR(INDEX('07-تصمیمات و مصوبات'!$S$8:$S$1007,MATCH(B19,'07-تصمیمات و مصوبات'!$A$8:$A$1007,0)),"")&amp;CHAR(10)&amp;"اقدامات مرتبط: "&amp;IFERROR(INDEX('07-تصمیمات و مصوبات'!$U$8:$U$1007,MATCH(B19,'07-تصمیمات و مصوبات'!$A$8:$A$1007,0)),""))</f>
        <v>تحلیل: ارزیابی به‌روز، کنترل‌ها، مسئول و ریسک باقی‌مانده
تصمیم/پیشنهاد: پیشنهاد: بازنگری مخاطرات و جنبه‌های بارز تغییر جانمایی
منابع: نیازمند برآورد
معیار: ارزیابی به‌روز، کنترل‌ها، مسئول و ریسک باقی‌مانده
اقدامات مرتبط: ACT-A12</v>
      </c>
      <c r="E19" s="3" t="str">
        <f>IF(B19="","",IF(IFERROR(INDEX('07-تصمیمات و مصوبات'!$O$8:$O$1007,MATCH(B19,'07-تصمیمات و مصوبات'!$A$8:$A$1007,0)),"")=0,"",IFERROR(INDEX('07-تصمیمات و مصوبات'!$O$8:$O$1007,MATCH(B19,'07-تصمیمات و مصوبات'!$A$8:$A$1007,0)),"")))</f>
        <v>HSE / مهندسی / کارکنان مرتبط</v>
      </c>
      <c r="F19" s="6" t="str">
        <f>IF(B19="","",IF(IFERROR(INDEX('07-تصمیمات و مصوبات'!$R$8:$R$1007,MATCH(B19,'07-تصمیمات و مصوبات'!$A$8:$A$1007,0)),"")=0,"",IFERROR(INDEX('07-تصمیمات و مصوبات'!$R$8:$R$1007,MATCH(B19,'07-تصمیمات و مصوبات'!$A$8:$A$1007,0)),"")))</f>
        <v/>
      </c>
      <c r="G19" s="3" t="str">
        <f>IF(B19="","",IF(IFERROR(INDEX('07-تصمیمات و مصوبات'!$AA$8:$AA$1007,MATCH(B19,'07-تصمیمات و مصوبات'!$A$8:$A$1007,0)),"")=0,"",IFERROR(INDEX('07-تصمیمات و مصوبات'!$AA$8:$AA$1007,MATCH(B19,'07-تصمیمات و مصوبات'!$A$8:$A$1007,0)),"")))</f>
        <v>پیشنهاد؛ تصویب نشده</v>
      </c>
    </row>
    <row r="20" spans="1:7" ht="230.1" customHeight="1">
      <c r="A20" s="1">
        <v>13</v>
      </c>
      <c r="B20" s="3" t="str">
        <f>IFERROR(INDEX('07-تصمیمات و مصوبات'!$A$8:$A$1007,MATCH(A20+('01-تنظیمات'!$B$8-1)*20,'07-تصمیمات و مصوبات'!$AB$8:$AB$1007,0)),"")</f>
        <v>DEC-A13</v>
      </c>
      <c r="C20" s="3" t="str">
        <f>IF(B20="","",IF(IFERROR(INDEX('07-تصمیمات و مصوبات'!$G$8:$G$1007,MATCH(B20,'07-تصمیمات و مصوبات'!$A$8:$A$1007,0)),"")=0,"",IFERROR(INDEX('07-تصمیمات و مصوبات'!$G$8:$G$1007,MATCH(B20,'07-تصمیمات و مصوبات'!$A$8:$A$1007,0)),"")))</f>
        <v>تکمیل منابع و برنامه صلاحیت نیروی انسانی</v>
      </c>
      <c r="D20" s="3" t="str">
        <f>IF(B20="","",IF('01-تنظیمات'!$B$7="پیش از جلسه","تحلیل: "&amp;IFERROR(INDEX('07-تصمیمات و مصوبات'!$H$8:$H$1007,MATCH(B20,'07-تصمیمات و مصوبات'!$A$8:$A$1007,0)),""),"نتیجه مدیریت: "&amp;IFERROR(INDEX('07-تصمیمات و مصوبات'!$J$8:$J$1007,MATCH(B20,'07-تصمیمات و مصوبات'!$A$8:$A$1007,0)),""))&amp;CHAR(10)&amp;"تصمیم/پیشنهاد: "&amp;IFERROR(INDEX('07-تصمیمات و مصوبات'!$K$8:$K$1007,MATCH(B20,'07-تصمیمات و مصوبات'!$A$8:$A$1007,0)),"")&amp;CHAR(10)&amp;"منابع: "&amp;IFERROR(INDEX('07-تصمیمات و مصوبات'!$Q$8:$Q$1007,MATCH(B20,'07-تصمیمات و مصوبات'!$A$8:$A$1007,0)),"")&amp;CHAR(10)&amp;"معیار: "&amp;IFERROR(INDEX('07-تصمیمات و مصوبات'!$S$8:$S$1007,MATCH(B20,'07-تصمیمات و مصوبات'!$A$8:$A$1007,0)),"")&amp;CHAR(10)&amp;"اقدامات مرتبط: "&amp;IFERROR(INDEX('07-تصمیمات و مصوبات'!$U$8:$U$1007,MATCH(B20,'07-تصمیمات و مصوبات'!$A$8:$A$1007,0)),""))</f>
        <v>تحلیل: برنامه نفرـشیفت و ماتریس مهارت با شاهد احراز صلاحیت
تصمیم/پیشنهاد: پیشنهاد: تکمیل منابع و برنامه صلاحیت نیروی انسانی
منابع: نیازمند برآورد
معیار: برنامه نفرـشیفت و ماتریس مهارت با شاهد احراز صلاحیت
اقدامات مرتبط: ACT-A13</v>
      </c>
      <c r="E20" s="3" t="str">
        <f>IF(B20="","",IF(IFERROR(INDEX('07-تصمیمات و مصوبات'!$O$8:$O$1007,MATCH(B20,'07-تصمیمات و مصوبات'!$A$8:$A$1007,0)),"")=0,"",IFERROR(INDEX('07-تصمیمات و مصوبات'!$O$8:$O$1007,MATCH(B20,'07-تصمیمات و مصوبات'!$A$8:$A$1007,0)),"")))</f>
        <v>منابع انسانی / تولید</v>
      </c>
      <c r="F20" s="6" t="str">
        <f>IF(B20="","",IF(IFERROR(INDEX('07-تصمیمات و مصوبات'!$R$8:$R$1007,MATCH(B20,'07-تصمیمات و مصوبات'!$A$8:$A$1007,0)),"")=0,"",IFERROR(INDEX('07-تصمیمات و مصوبات'!$R$8:$R$1007,MATCH(B20,'07-تصمیمات و مصوبات'!$A$8:$A$1007,0)),"")))</f>
        <v/>
      </c>
      <c r="G20" s="3" t="str">
        <f>IF(B20="","",IF(IFERROR(INDEX('07-تصمیمات و مصوبات'!$AA$8:$AA$1007,MATCH(B20,'07-تصمیمات و مصوبات'!$A$8:$A$1007,0)),"")=0,"",IFERROR(INDEX('07-تصمیمات و مصوبات'!$AA$8:$AA$1007,MATCH(B20,'07-تصمیمات و مصوبات'!$A$8:$A$1007,0)),"")))</f>
        <v>پیشنهاد؛ تصویب نشده</v>
      </c>
    </row>
    <row r="21" spans="1:7" ht="230.1" customHeight="1">
      <c r="A21" s="1">
        <v>14</v>
      </c>
      <c r="B21" s="3" t="str">
        <f>IFERROR(INDEX('07-تصمیمات و مصوبات'!$A$8:$A$1007,MATCH(A21+('01-تنظیمات'!$B$8-1)*20,'07-تصمیمات و مصوبات'!$AB$8:$AB$1007,0)),"")</f>
        <v>DEC-A14</v>
      </c>
      <c r="C21" s="3" t="str">
        <f>IF(B21="","",IF(IFERROR(INDEX('07-تصمیمات و مصوبات'!$G$8:$G$1007,MATCH(B21,'07-تصمیمات و مصوبات'!$A$8:$A$1007,0)),"")=0,"",IFERROR(INDEX('07-تصمیمات و مصوبات'!$G$8:$G$1007,MATCH(B21,'07-تصمیمات و مصوبات'!$A$8:$A$1007,0)),"")))</f>
        <v>تکمیل ارزیابی تأمین‌کنندگان و موارد ارزیابی‌نشده</v>
      </c>
      <c r="D21" s="3" t="str">
        <f>IF(B21="","",IF('01-تنظیمات'!$B$7="پیش از جلسه","تحلیل: "&amp;IFERROR(INDEX('07-تصمیمات و مصوبات'!$H$8:$H$1007,MATCH(B21,'07-تصمیمات و مصوبات'!$A$8:$A$1007,0)),""),"نتیجه مدیریت: "&amp;IFERROR(INDEX('07-تصمیمات و مصوبات'!$J$8:$J$1007,MATCH(B21,'07-تصمیمات و مصوبات'!$A$8:$A$1007,0)),""))&amp;CHAR(10)&amp;"تصمیم/پیشنهاد: "&amp;IFERROR(INDEX('07-تصمیمات و مصوبات'!$K$8:$K$1007,MATCH(B21,'07-تصمیمات و مصوبات'!$A$8:$A$1007,0)),"")&amp;CHAR(10)&amp;"منابع: "&amp;IFERROR(INDEX('07-تصمیمات و مصوبات'!$Q$8:$Q$1007,MATCH(B21,'07-تصمیمات و مصوبات'!$A$8:$A$1007,0)),"")&amp;CHAR(10)&amp;"معیار: "&amp;IFERROR(INDEX('07-تصمیمات و مصوبات'!$S$8:$S$1007,MATCH(B21,'07-تصمیمات و مصوبات'!$A$8:$A$1007,0)),"")&amp;CHAR(10)&amp;"اقدامات مرتبط: "&amp;IFERROR(INDEX('07-تصمیمات و مصوبات'!$U$8:$U$1007,MATCH(B21,'07-تصمیمات و مصوبات'!$A$8:$A$1007,0)),""))</f>
        <v>تحلیل: فهرست جامعه، پوشش ارزیابی و برنامه توسعه
تصمیم/پیشنهاد: پیشنهاد: تکمیل ارزیابی تأمین‌کنندگان و موارد ارزیابی‌نشده
منابع: نیازمند برآورد
معیار: فهرست جامعه، پوشش ارزیابی و برنامه توسعه
اقدامات مرتبط: ACT-A14</v>
      </c>
      <c r="E21" s="3" t="str">
        <f>IF(B21="","",IF(IFERROR(INDEX('07-تصمیمات و مصوبات'!$O$8:$O$1007,MATCH(B21,'07-تصمیمات و مصوبات'!$A$8:$A$1007,0)),"")=0,"",IFERROR(INDEX('07-تصمیمات و مصوبات'!$O$8:$O$1007,MATCH(B21,'07-تصمیمات و مصوبات'!$A$8:$A$1007,0)),"")))</f>
        <v>خرید / کیفیت تأمین‌کنندگان</v>
      </c>
      <c r="F21" s="6" t="str">
        <f>IF(B21="","",IF(IFERROR(INDEX('07-تصمیمات و مصوبات'!$R$8:$R$1007,MATCH(B21,'07-تصمیمات و مصوبات'!$A$8:$A$1007,0)),"")=0,"",IFERROR(INDEX('07-تصمیمات و مصوبات'!$R$8:$R$1007,MATCH(B21,'07-تصمیمات و مصوبات'!$A$8:$A$1007,0)),"")))</f>
        <v/>
      </c>
      <c r="G21" s="3" t="str">
        <f>IF(B21="","",IF(IFERROR(INDEX('07-تصمیمات و مصوبات'!$AA$8:$AA$1007,MATCH(B21,'07-تصمیمات و مصوبات'!$A$8:$A$1007,0)),"")=0,"",IFERROR(INDEX('07-تصمیمات و مصوبات'!$AA$8:$AA$1007,MATCH(B21,'07-تصمیمات و مصوبات'!$A$8:$A$1007,0)),"")))</f>
        <v>پیشنهاد؛ تصویب نشده</v>
      </c>
    </row>
    <row r="22" spans="1:7" ht="230.1" customHeight="1">
      <c r="A22" s="1">
        <v>15</v>
      </c>
      <c r="B22" s="3" t="str">
        <f>IFERROR(INDEX('07-تصمیمات و مصوبات'!$A$8:$A$1007,MATCH(A22+('01-تنظیمات'!$B$8-1)*20,'07-تصمیمات و مصوبات'!$AB$8:$AB$1007,0)),"")</f>
        <v>DEC-A15</v>
      </c>
      <c r="C22" s="3" t="str">
        <f>IF(B22="","",IF(IFERROR(INDEX('07-تصمیمات و مصوبات'!$G$8:$G$1007,MATCH(B22,'07-تصمیمات و مصوبات'!$A$8:$A$1007,0)),"")=0,"",IFERROR(INDEX('07-تصمیمات و مصوبات'!$G$8:$G$1007,MATCH(B22,'07-تصمیمات و مصوبات'!$A$8:$A$1007,0)),"")))</f>
        <v>بازنگری برنامه پالت و موجودی امانی</v>
      </c>
      <c r="D22" s="3" t="str">
        <f>IF(B22="","",IF('01-تنظیمات'!$B$7="پیش از جلسه","تحلیل: "&amp;IFERROR(INDEX('07-تصمیمات و مصوبات'!$H$8:$H$1007,MATCH(B22,'07-تصمیمات و مصوبات'!$A$8:$A$1007,0)),""),"نتیجه مدیریت: "&amp;IFERROR(INDEX('07-تصمیمات و مصوبات'!$J$8:$J$1007,MATCH(B22,'07-تصمیمات و مصوبات'!$A$8:$A$1007,0)),""))&amp;CHAR(10)&amp;"تصمیم/پیشنهاد: "&amp;IFERROR(INDEX('07-تصمیمات و مصوبات'!$K$8:$K$1007,MATCH(B22,'07-تصمیمات و مصوبات'!$A$8:$A$1007,0)),"")&amp;CHAR(10)&amp;"منابع: "&amp;IFERROR(INDEX('07-تصمیمات و مصوبات'!$Q$8:$Q$1007,MATCH(B22,'07-تصمیمات و مصوبات'!$A$8:$A$1007,0)),"")&amp;CHAR(10)&amp;"معیار: "&amp;IFERROR(INDEX('07-تصمیمات و مصوبات'!$S$8:$S$1007,MATCH(B22,'07-تصمیمات و مصوبات'!$A$8:$A$1007,0)),"")&amp;CHAR(10)&amp;"اقدامات مرتبط: "&amp;IFERROR(INDEX('07-تصمیمات و مصوبات'!$U$8:$U$1007,MATCH(B22,'07-تصمیمات و مصوبات'!$A$8:$A$1007,0)),""))</f>
        <v>تحلیل: تراز اول دوره، ارسال، دریافت، ضایعات و پایان دوره
تصمیم/پیشنهاد: پیشنهاد: بازنگری برنامه پالت و موجودی امانی
منابع: نیازمند برآورد
معیار: تراز اول دوره، ارسال، دریافت، ضایعات و پایان دوره
اقدامات مرتبط: ACT-A15</v>
      </c>
      <c r="E22" s="3" t="str">
        <f>IF(B22="","",IF(IFERROR(INDEX('07-تصمیمات و مصوبات'!$O$8:$O$1007,MATCH(B22,'07-تصمیمات و مصوبات'!$A$8:$A$1007,0)),"")=0,"",IFERROR(INDEX('07-تصمیمات و مصوبات'!$O$8:$O$1007,MATCH(B22,'07-تصمیمات و مصوبات'!$A$8:$A$1007,0)),"")))</f>
        <v>برنامه‌ریزی / فروش / تدارکات</v>
      </c>
      <c r="F22" s="6" t="str">
        <f>IF(B22="","",IF(IFERROR(INDEX('07-تصمیمات و مصوبات'!$R$8:$R$1007,MATCH(B22,'07-تصمیمات و مصوبات'!$A$8:$A$1007,0)),"")=0,"",IFERROR(INDEX('07-تصمیمات و مصوبات'!$R$8:$R$1007,MATCH(B22,'07-تصمیمات و مصوبات'!$A$8:$A$1007,0)),"")))</f>
        <v/>
      </c>
      <c r="G22" s="3" t="str">
        <f>IF(B22="","",IF(IFERROR(INDEX('07-تصمیمات و مصوبات'!$AA$8:$AA$1007,MATCH(B22,'07-تصمیمات و مصوبات'!$A$8:$A$1007,0)),"")=0,"",IFERROR(INDEX('07-تصمیمات و مصوبات'!$AA$8:$AA$1007,MATCH(B22,'07-تصمیمات و مصوبات'!$A$8:$A$1007,0)),"")))</f>
        <v>پیشنهاد؛ تصویب نشده</v>
      </c>
    </row>
    <row r="23" spans="1:7" ht="230.1" customHeight="1">
      <c r="A23" s="1">
        <v>16</v>
      </c>
      <c r="B23" s="3" t="str">
        <f>IFERROR(INDEX('07-تصمیمات و مصوبات'!$A$8:$A$1007,MATCH(A23+('01-تنظیمات'!$B$8-1)*20,'07-تصمیمات و مصوبات'!$AB$8:$AB$1007,0)),"")</f>
        <v>DEC-A16</v>
      </c>
      <c r="C23" s="3" t="str">
        <f>IF(B23="","",IF(IFERROR(INDEX('07-تصمیمات و مصوبات'!$G$8:$G$1007,MATCH(B23,'07-تصمیمات و مصوبات'!$A$8:$A$1007,0)),"")=0,"",IFERROR(INDEX('07-تصمیمات و مصوبات'!$G$8:$G$1007,MATCH(B23,'07-تصمیمات و مصوبات'!$A$8:$A$1007,0)),"")))</f>
        <v>پایش زمان انتظار، دریافت و ارسال و هزینه لجستیک</v>
      </c>
      <c r="D23" s="3" t="str">
        <f>IF(B23="","",IF('01-تنظیمات'!$B$7="پیش از جلسه","تحلیل: "&amp;IFERROR(INDEX('07-تصمیمات و مصوبات'!$H$8:$H$1007,MATCH(B23,'07-تصمیمات و مصوبات'!$A$8:$A$1007,0)),""),"نتیجه مدیریت: "&amp;IFERROR(INDEX('07-تصمیمات و مصوبات'!$J$8:$J$1007,MATCH(B23,'07-تصمیمات و مصوبات'!$A$8:$A$1007,0)),""))&amp;CHAR(10)&amp;"تصمیم/پیشنهاد: "&amp;IFERROR(INDEX('07-تصمیمات و مصوبات'!$K$8:$K$1007,MATCH(B23,'07-تصمیمات و مصوبات'!$A$8:$A$1007,0)),"")&amp;CHAR(10)&amp;"منابع: "&amp;IFERROR(INDEX('07-تصمیمات و مصوبات'!$Q$8:$Q$1007,MATCH(B23,'07-تصمیمات و مصوبات'!$A$8:$A$1007,0)),"")&amp;CHAR(10)&amp;"معیار: "&amp;IFERROR(INDEX('07-تصمیمات و مصوبات'!$S$8:$S$1007,MATCH(B23,'07-تصمیمات و مصوبات'!$A$8:$A$1007,0)),"")&amp;CHAR(10)&amp;"اقدامات مرتبط: "&amp;IFERROR(INDEX('07-تصمیمات و مصوبات'!$U$8:$U$1007,MATCH(B23,'07-تصمیمات و مصوبات'!$A$8:$A$1007,0)),""))</f>
        <v>تحلیل: تعریف شاخص، داده پایه و نخستین گزارش ماهانه
تصمیم/پیشنهاد: پیشنهاد: پایش زمان انتظار، دریافت و ارسال و هزینه لجستیک
منابع: نیازمند برآورد
معیار: تعریف شاخص، داده پایه و نخستین گزارش ماهانه
اقدامات مرتبط: ACT-A16</v>
      </c>
      <c r="E23" s="3" t="str">
        <f>IF(B23="","",IF(IFERROR(INDEX('07-تصمیمات و مصوبات'!$O$8:$O$1007,MATCH(B23,'07-تصمیمات و مصوبات'!$A$8:$A$1007,0)),"")=0,"",IFERROR(INDEX('07-تصمیمات و مصوبات'!$O$8:$O$1007,MATCH(B23,'07-تصمیمات و مصوبات'!$A$8:$A$1007,0)),"")))</f>
        <v>برنامه‌ریزی / فروش / مالی</v>
      </c>
      <c r="F23" s="6" t="str">
        <f>IF(B23="","",IF(IFERROR(INDEX('07-تصمیمات و مصوبات'!$R$8:$R$1007,MATCH(B23,'07-تصمیمات و مصوبات'!$A$8:$A$1007,0)),"")=0,"",IFERROR(INDEX('07-تصمیمات و مصوبات'!$R$8:$R$1007,MATCH(B23,'07-تصمیمات و مصوبات'!$A$8:$A$1007,0)),"")))</f>
        <v/>
      </c>
      <c r="G23" s="3" t="str">
        <f>IF(B23="","",IF(IFERROR(INDEX('07-تصمیمات و مصوبات'!$AA$8:$AA$1007,MATCH(B23,'07-تصمیمات و مصوبات'!$A$8:$A$1007,0)),"")=0,"",IFERROR(INDEX('07-تصمیمات و مصوبات'!$AA$8:$AA$1007,MATCH(B23,'07-تصمیمات و مصوبات'!$A$8:$A$1007,0)),"")))</f>
        <v>پیشنهاد؛ تصویب نشده</v>
      </c>
    </row>
    <row r="24" spans="1:7" ht="230.1" customHeight="1">
      <c r="A24" s="1">
        <v>17</v>
      </c>
      <c r="B24" s="3" t="str">
        <f>IFERROR(INDEX('07-تصمیمات و مصوبات'!$A$8:$A$1007,MATCH(A24+('01-تنظیمات'!$B$8-1)*20,'07-تصمیمات و مصوبات'!$AB$8:$AB$1007,0)),"")</f>
        <v>DEC-A17</v>
      </c>
      <c r="C24" s="3" t="str">
        <f>IF(B24="","",IF(IFERROR(INDEX('07-تصمیمات و مصوبات'!$G$8:$G$1007,MATCH(B24,'07-تصمیمات و مصوبات'!$A$8:$A$1007,0)),"")=0,"",IFERROR(INDEX('07-تصمیمات و مصوبات'!$G$8:$G$1007,MATCH(B24,'07-تصمیمات و مصوبات'!$A$8:$A$1007,0)),"")))</f>
        <v>تکمیل نتایج مراحل طراحی و توسعه</v>
      </c>
      <c r="D24" s="3" t="str">
        <f>IF(B24="","",IF('01-تنظیمات'!$B$7="پیش از جلسه","تحلیل: "&amp;IFERROR(INDEX('07-تصمیمات و مصوبات'!$H$8:$H$1007,MATCH(B24,'07-تصمیمات و مصوبات'!$A$8:$A$1007,0)),""),"نتیجه مدیریت: "&amp;IFERROR(INDEX('07-تصمیمات و مصوبات'!$J$8:$J$1007,MATCH(B24,'07-تصمیمات و مصوبات'!$A$8:$A$1007,0)),""))&amp;CHAR(10)&amp;"تصمیم/پیشنهاد: "&amp;IFERROR(INDEX('07-تصمیمات و مصوبات'!$K$8:$K$1007,MATCH(B24,'07-تصمیمات و مصوبات'!$A$8:$A$1007,0)),"")&amp;CHAR(10)&amp;"منابع: "&amp;IFERROR(INDEX('07-تصمیمات و مصوبات'!$Q$8:$Q$1007,MATCH(B24,'07-تصمیمات و مصوبات'!$A$8:$A$1007,0)),"")&amp;CHAR(10)&amp;"معیار: "&amp;IFERROR(INDEX('07-تصمیمات و مصوبات'!$S$8:$S$1007,MATCH(B24,'07-تصمیمات و مصوبات'!$A$8:$A$1007,0)),"")&amp;CHAR(10)&amp;"اقدامات مرتبط: "&amp;IFERROR(INDEX('07-تصمیمات و مصوبات'!$U$8:$U$1007,MATCH(B24,'07-تصمیمات و مصوبات'!$A$8:$A$1007,0)),""))</f>
        <v>تحلیل: مرحله پروژه، معیار عبور، نتیجه و تصمیم ثبت‌شده
تصمیم/پیشنهاد: پیشنهاد: تکمیل نتایج مراحل طراحی و توسعه
منابع: نیازمند برآورد
معیار: مرحله پروژه، معیار عبور، نتیجه و تصمیم ثبت‌شده
اقدامات مرتبط: ACT-A17</v>
      </c>
      <c r="E24" s="3" t="str">
        <f>IF(B24="","",IF(IFERROR(INDEX('07-تصمیمات و مصوبات'!$O$8:$O$1007,MATCH(B24,'07-تصمیمات و مصوبات'!$A$8:$A$1007,0)),"")=0,"",IFERROR(INDEX('07-تصمیمات و مصوبات'!$O$8:$O$1007,MATCH(B24,'07-تصمیمات و مصوبات'!$A$8:$A$1007,0)),"")))</f>
        <v>تحقیق و توسعه / مهندسی</v>
      </c>
      <c r="F24" s="6" t="str">
        <f>IF(B24="","",IF(IFERROR(INDEX('07-تصمیمات و مصوبات'!$R$8:$R$1007,MATCH(B24,'07-تصمیمات و مصوبات'!$A$8:$A$1007,0)),"")=0,"",IFERROR(INDEX('07-تصمیمات و مصوبات'!$R$8:$R$1007,MATCH(B24,'07-تصمیمات و مصوبات'!$A$8:$A$1007,0)),"")))</f>
        <v/>
      </c>
      <c r="G24" s="3" t="str">
        <f>IF(B24="","",IF(IFERROR(INDEX('07-تصمیمات و مصوبات'!$AA$8:$AA$1007,MATCH(B24,'07-تصمیمات و مصوبات'!$A$8:$A$1007,0)),"")=0,"",IFERROR(INDEX('07-تصمیمات و مصوبات'!$AA$8:$AA$1007,MATCH(B24,'07-تصمیمات و مصوبات'!$A$8:$A$1007,0)),"")))</f>
        <v>پیشنهاد؛ تصویب نشده</v>
      </c>
    </row>
    <row r="25" spans="1:7" ht="230.1" customHeight="1">
      <c r="A25" s="1">
        <v>18</v>
      </c>
      <c r="B25" s="3" t="str">
        <f>IFERROR(INDEX('07-تصمیمات و مصوبات'!$A$8:$A$1007,MATCH(A25+('01-تنظیمات'!$B$8-1)*20,'07-تصمیمات و مصوبات'!$AB$8:$AB$1007,0)),"")</f>
        <v>DEC-A18</v>
      </c>
      <c r="C25" s="3" t="str">
        <f>IF(B25="","",IF(IFERROR(INDEX('07-تصمیمات و مصوبات'!$G$8:$G$1007,MATCH(B25,'07-تصمیمات و مصوبات'!$A$8:$A$1007,0)),"")=0,"",IFERROR(INDEX('07-تصمیمات و مصوبات'!$G$8:$G$1007,MATCH(B25,'07-تصمیمات و مصوبات'!$A$8:$A$1007,0)),"")))</f>
        <v>آزمون طرح‌های اقتضایی و حفاظت شبکه</v>
      </c>
      <c r="D25" s="3" t="str">
        <f>IF(B25="","",IF('01-تنظیمات'!$B$7="پیش از جلسه","تحلیل: "&amp;IFERROR(INDEX('07-تصمیمات و مصوبات'!$H$8:$H$1007,MATCH(B25,'07-تصمیمات و مصوبات'!$A$8:$A$1007,0)),""),"نتیجه مدیریت: "&amp;IFERROR(INDEX('07-تصمیمات و مصوبات'!$J$8:$J$1007,MATCH(B25,'07-تصمیمات و مصوبات'!$A$8:$A$1007,0)),""))&amp;CHAR(10)&amp;"تصمیم/پیشنهاد: "&amp;IFERROR(INDEX('07-تصمیمات و مصوبات'!$K$8:$K$1007,MATCH(B25,'07-تصمیمات و مصوبات'!$A$8:$A$1007,0)),"")&amp;CHAR(10)&amp;"منابع: "&amp;IFERROR(INDEX('07-تصمیمات و مصوبات'!$Q$8:$Q$1007,MATCH(B25,'07-تصمیمات و مصوبات'!$A$8:$A$1007,0)),"")&amp;CHAR(10)&amp;"معیار: "&amp;IFERROR(INDEX('07-تصمیمات و مصوبات'!$S$8:$S$1007,MATCH(B25,'07-تصمیمات و مصوبات'!$A$8:$A$1007,0)),"")&amp;CHAR(10)&amp;"اقدامات مرتبط: "&amp;IFERROR(INDEX('07-تصمیمات و مصوبات'!$U$8:$U$1007,MATCH(B25,'07-تصمیمات و مصوبات'!$A$8:$A$1007,0)),""))</f>
        <v>تحلیل: گزارش آزمون قطع برق، بازیابی و کنترل‌های مرتبط
تصمیم/پیشنهاد: پیشنهاد: آزمون طرح‌های اقتضایی و حفاظت شبکه
منابع: نیازمند برآورد
معیار: گزارش آزمون قطع برق، بازیابی و کنترل‌های مرتبط
اقدامات مرتبط: ACT-A18</v>
      </c>
      <c r="E25" s="3" t="str">
        <f>IF(B25="","",IF(IFERROR(INDEX('07-تصمیمات و مصوبات'!$O$8:$O$1007,MATCH(B25,'07-تصمیمات و مصوبات'!$A$8:$A$1007,0)),"")=0,"",IFERROR(INDEX('07-تصمیمات و مصوبات'!$O$8:$O$1007,MATCH(B25,'07-تصمیمات و مصوبات'!$A$8:$A$1007,0)),"")))</f>
        <v>مدیریت / فناوری اطلاعات / نت</v>
      </c>
      <c r="F25" s="6" t="str">
        <f>IF(B25="","",IF(IFERROR(INDEX('07-تصمیمات و مصوبات'!$R$8:$R$1007,MATCH(B25,'07-تصمیمات و مصوبات'!$A$8:$A$1007,0)),"")=0,"",IFERROR(INDEX('07-تصمیمات و مصوبات'!$R$8:$R$1007,MATCH(B25,'07-تصمیمات و مصوبات'!$A$8:$A$1007,0)),"")))</f>
        <v/>
      </c>
      <c r="G25" s="3" t="str">
        <f>IF(B25="","",IF(IFERROR(INDEX('07-تصمیمات و مصوبات'!$AA$8:$AA$1007,MATCH(B25,'07-تصمیمات و مصوبات'!$A$8:$A$1007,0)),"")=0,"",IFERROR(INDEX('07-تصمیمات و مصوبات'!$AA$8:$AA$1007,MATCH(B25,'07-تصمیمات و مصوبات'!$A$8:$A$1007,0)),"")))</f>
        <v>پیشنهاد؛ تصویب نشده</v>
      </c>
    </row>
    <row r="26" spans="1:7" ht="230.1" customHeight="1">
      <c r="A26" s="1">
        <v>19</v>
      </c>
      <c r="B26" s="3" t="str">
        <f>IFERROR(INDEX('07-تصمیمات و مصوبات'!$A$8:$A$1007,MATCH(A26+('01-تنظیمات'!$B$8-1)*20,'07-تصمیمات و مصوبات'!$AB$8:$AB$1007,0)),"")</f>
        <v>DEC-A19</v>
      </c>
      <c r="C26" s="3" t="str">
        <f>IF(B26="","",IF(IFERROR(INDEX('07-تصمیمات و مصوبات'!$G$8:$G$1007,MATCH(B26,'07-تصمیمات و مصوبات'!$A$8:$A$1007,0)),"")=0,"",IFERROR(INDEX('07-تصمیمات و مصوبات'!$G$8:$G$1007,MATCH(B26,'07-تصمیمات و مصوبات'!$A$8:$A$1007,0)),"")))</f>
        <v>تعیین اقدام برای اهداف محقق‌نشده</v>
      </c>
      <c r="D26" s="3" t="str">
        <f>IF(B26="","",IF('01-تنظیمات'!$B$7="پیش از جلسه","تحلیل: "&amp;IFERROR(INDEX('07-تصمیمات و مصوبات'!$H$8:$H$1007,MATCH(B26,'07-تصمیمات و مصوبات'!$A$8:$A$1007,0)),""),"نتیجه مدیریت: "&amp;IFERROR(INDEX('07-تصمیمات و مصوبات'!$J$8:$J$1007,MATCH(B26,'07-تصمیمات و مصوبات'!$A$8:$A$1007,0)),""))&amp;CHAR(10)&amp;"تصمیم/پیشنهاد: "&amp;IFERROR(INDEX('07-تصمیمات و مصوبات'!$K$8:$K$1007,MATCH(B26,'07-تصمیمات و مصوبات'!$A$8:$A$1007,0)),"")&amp;CHAR(10)&amp;"منابع: "&amp;IFERROR(INDEX('07-تصمیمات و مصوبات'!$Q$8:$Q$1007,MATCH(B26,'07-تصمیمات و مصوبات'!$A$8:$A$1007,0)),"")&amp;CHAR(10)&amp;"معیار: "&amp;IFERROR(INDEX('07-تصمیمات و مصوبات'!$S$8:$S$1007,MATCH(B26,'07-تصمیمات و مصوبات'!$A$8:$A$1007,0)),"")&amp;CHAR(10)&amp;"اقدامات مرتبط: "&amp;IFERROR(INDEX('07-تصمیمات و مصوبات'!$U$8:$U$1007,MATCH(B26,'07-تصمیمات و مصوبات'!$A$8:$A$1007,0)),""))</f>
        <v>تحلیل: هدف و حد مصوب؛ اقدام و ارزیابی اثربخشی
تصمیم/پیشنهاد: پیشنهاد: تعیین اقدام برای اهداف محقق‌نشده
منابع: نیازمند برآورد
معیار: هدف و حد مصوب؛ اقدام و ارزیابی اثربخشی
اقدامات مرتبط: ACT-A19</v>
      </c>
      <c r="E26" s="3" t="str">
        <f>IF(B26="","",IF(IFERROR(INDEX('07-تصمیمات و مصوبات'!$O$8:$O$1007,MATCH(B26,'07-تصمیمات و مصوبات'!$A$8:$A$1007,0)),"")=0,"",IFERROR(INDEX('07-تصمیمات و مصوبات'!$O$8:$O$1007,MATCH(B26,'07-تصمیمات و مصوبات'!$A$8:$A$1007,0)),"")))</f>
        <v>مالکان شاخص / مدیریت</v>
      </c>
      <c r="F26" s="6" t="str">
        <f>IF(B26="","",IF(IFERROR(INDEX('07-تصمیمات و مصوبات'!$R$8:$R$1007,MATCH(B26,'07-تصمیمات و مصوبات'!$A$8:$A$1007,0)),"")=0,"",IFERROR(INDEX('07-تصمیمات و مصوبات'!$R$8:$R$1007,MATCH(B26,'07-تصمیمات و مصوبات'!$A$8:$A$1007,0)),"")))</f>
        <v/>
      </c>
      <c r="G26" s="3" t="str">
        <f>IF(B26="","",IF(IFERROR(INDEX('07-تصمیمات و مصوبات'!$AA$8:$AA$1007,MATCH(B26,'07-تصمیمات و مصوبات'!$A$8:$A$1007,0)),"")=0,"",IFERROR(INDEX('07-تصمیمات و مصوبات'!$AA$8:$AA$1007,MATCH(B26,'07-تصمیمات و مصوبات'!$A$8:$A$1007,0)),"")))</f>
        <v>پیشنهاد؛ تصویب نشده</v>
      </c>
    </row>
    <row r="27" spans="1:7" ht="230.1" customHeight="1">
      <c r="A27" s="1">
        <v>20</v>
      </c>
      <c r="B27" s="3" t="str">
        <f>IFERROR(INDEX('07-تصمیمات و مصوبات'!$A$8:$A$1007,MATCH(A27+('01-تنظیمات'!$B$8-1)*20,'07-تصمیمات و مصوبات'!$AB$8:$AB$1007,0)),"")</f>
        <v>DEC-A20</v>
      </c>
      <c r="C27" s="3" t="str">
        <f>IF(B27="","",IF(IFERROR(INDEX('07-تصمیمات و مصوبات'!$G$8:$G$1007,MATCH(B27,'07-تصمیمات و مصوبات'!$A$8:$A$1007,0)),"")=0,"",IFERROR(INDEX('07-تصمیمات و مصوبات'!$G$8:$G$1007,MATCH(B27,'07-تصمیمات و مصوبات'!$A$8:$A$1007,0)),"")))</f>
        <v>ثبت مصوبات منابع و نتیجه‌گیری نهایی مدیریت</v>
      </c>
      <c r="D27" s="3" t="str">
        <f>IF(B27="","",IF('01-تنظیمات'!$B$7="پیش از جلسه","تحلیل: "&amp;IFERROR(INDEX('07-تصمیمات و مصوبات'!$H$8:$H$1007,MATCH(B27,'07-تصمیمات و مصوبات'!$A$8:$A$1007,0)),""),"نتیجه مدیریت: "&amp;IFERROR(INDEX('07-تصمیمات و مصوبات'!$J$8:$J$1007,MATCH(B27,'07-تصمیمات و مصوبات'!$A$8:$A$1007,0)),""))&amp;CHAR(10)&amp;"تصمیم/پیشنهاد: "&amp;IFERROR(INDEX('07-تصمیمات و مصوبات'!$K$8:$K$1007,MATCH(B27,'07-تصمیمات و مصوبات'!$A$8:$A$1007,0)),"")&amp;CHAR(10)&amp;"منابع: "&amp;IFERROR(INDEX('07-تصمیمات و مصوبات'!$Q$8:$Q$1007,MATCH(B27,'07-تصمیمات و مصوبات'!$A$8:$A$1007,0)),"")&amp;CHAR(10)&amp;"معیار: "&amp;IFERROR(INDEX('07-تصمیمات و مصوبات'!$S$8:$S$1007,MATCH(B27,'07-تصمیمات و مصوبات'!$A$8:$A$1007,0)),"")&amp;CHAR(10)&amp;"اقدامات مرتبط: "&amp;IFERROR(INDEX('07-تصمیمات و مصوبات'!$U$8:$U$1007,MATCH(B27,'07-تصمیمات و مصوبات'!$A$8:$A$1007,0)),""))</f>
        <v>تحلیل: تصمیم، بودجه، مسئول و موعد؛ تصویب نسخه نهایی
تصمیم/پیشنهاد: پیشنهاد: ثبت مصوبات منابع و نتیجه‌گیری نهایی مدیریت
منابع: نیازمند برآورد
معیار: تصمیم، بودجه، مسئول و موعد؛ تصویب نسخه نهایی
اقدامات مرتبط: ACT-A20</v>
      </c>
      <c r="E27" s="3" t="str">
        <f>IF(B27="","",IF(IFERROR(INDEX('07-تصمیمات و مصوبات'!$O$8:$O$1007,MATCH(B27,'07-تصمیمات و مصوبات'!$A$8:$A$1007,0)),"")=0,"",IFERROR(INDEX('07-تصمیمات و مصوبات'!$O$8:$O$1007,MATCH(B27,'07-تصمیمات و مصوبات'!$A$8:$A$1007,0)),"")))</f>
        <v>مدیریت ارشد / دبیر بازنگری</v>
      </c>
      <c r="F27" s="6" t="str">
        <f>IF(B27="","",IF(IFERROR(INDEX('07-تصمیمات و مصوبات'!$R$8:$R$1007,MATCH(B27,'07-تصمیمات و مصوبات'!$A$8:$A$1007,0)),"")=0,"",IFERROR(INDEX('07-تصمیمات و مصوبات'!$R$8:$R$1007,MATCH(B27,'07-تصمیمات و مصوبات'!$A$8:$A$1007,0)),"")))</f>
        <v/>
      </c>
      <c r="G27" s="3" t="str">
        <f>IF(B27="","",IF(IFERROR(INDEX('07-تصمیمات و مصوبات'!$AA$8:$AA$1007,MATCH(B27,'07-تصمیمات و مصوبات'!$A$8:$A$1007,0)),"")=0,"",IFERROR(INDEX('07-تصمیمات و مصوبات'!$AA$8:$AA$1007,MATCH(B27,'07-تصمیمات و مصوبات'!$A$8:$A$1007,0)),"")))</f>
        <v>پیشنهاد؛ تصویب نشده</v>
      </c>
    </row>
  </sheetData>
  <mergeCells count="5">
    <mergeCell ref="A1:G1"/>
    <mergeCell ref="A2:G3"/>
    <mergeCell ref="A6:G6"/>
    <mergeCell ref="A4:G4"/>
    <mergeCell ref="A5:G5"/>
  </mergeCells>
  <printOptions horizontalCentered="1"/>
  <pageMargins left="0.25" right="0.25" top="0.5" bottom="0.5" header="0.2" footer="0.2"/>
  <pageSetup paperSize="8" scale="85"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43C5B"/>
    <pageSetUpPr fitToPage="1"/>
  </sheetPr>
  <dimension ref="A1:C17"/>
  <sheetViews>
    <sheetView showGridLines="0" rightToLeft="1" zoomScale="85" workbookViewId="0">
      <pane ySplit="7" topLeftCell="A8" activePane="bottomLeft" state="frozen"/>
      <selection pane="bottomLeft" sqref="A1:C1"/>
    </sheetView>
  </sheetViews>
  <sheetFormatPr defaultRowHeight="14.25"/>
  <cols>
    <col min="1" max="1" width="52" customWidth="1"/>
    <col min="2" max="2" width="18" customWidth="1"/>
    <col min="3" max="3" width="75" customWidth="1"/>
  </cols>
  <sheetData>
    <row r="1" spans="1:3" ht="33.950000000000003" customHeight="1">
      <c r="A1" s="7" t="s">
        <v>1179</v>
      </c>
      <c r="B1" s="7"/>
      <c r="C1" s="7"/>
    </row>
    <row r="2" spans="1:3" ht="26.1" customHeight="1">
      <c r="A2" s="8" t="s">
        <v>1180</v>
      </c>
      <c r="B2" s="8"/>
      <c r="C2" s="8"/>
    </row>
    <row r="3" spans="1:3" ht="26.1" customHeight="1">
      <c r="A3" s="8"/>
      <c r="B3" s="8"/>
      <c r="C3" s="8"/>
    </row>
    <row r="4" spans="1:3">
      <c r="A4" s="9" t="str">
        <f>"شرکت: "&amp;'01-تنظیمات'!$B$3&amp;" | دوره: "&amp;'01-تنظیمات'!$B$4&amp;IF(B8=0," | داده‌ای در این دامنه ثبت نشده","")</f>
        <v>شرکت: NIPCO | دوره: P-BASE</v>
      </c>
      <c r="B4" s="9"/>
      <c r="C4" s="9"/>
    </row>
    <row r="5" spans="1:3">
      <c r="A5" s="1"/>
      <c r="B5" s="1"/>
      <c r="C5" s="1"/>
    </row>
    <row r="6" spans="1:3">
      <c r="A6" s="1"/>
      <c r="B6" s="1"/>
      <c r="C6" s="1"/>
    </row>
    <row r="7" spans="1:3" ht="48" customHeight="1">
      <c r="A7" s="2" t="s">
        <v>1181</v>
      </c>
      <c r="B7" s="2" t="s">
        <v>1182</v>
      </c>
      <c r="C7" s="2" t="s">
        <v>1183</v>
      </c>
    </row>
    <row r="8" spans="1:3" ht="36" customHeight="1">
      <c r="A8" s="1" t="s">
        <v>1184</v>
      </c>
      <c r="B8" s="3">
        <f>COUNTIFS('03-ورودی‌های بازنگری'!$B$8:$B$1007,IF('01-تنظیمات'!$B$3="همه واقعی","&lt;&gt;DEMO",'01-تنظیمات'!$B$3),'03-ورودی‌های بازنگری'!$C$8:$C$1007,IF('01-تنظیمات'!$B$4="همه","*",'01-تنظیمات'!$B$4),'03-ورودی‌های بازنگری'!$A$8:$A$1007,"&lt;&gt;")</f>
        <v>29</v>
      </c>
      <c r="C8" s="1" t="s">
        <v>1185</v>
      </c>
    </row>
    <row r="9" spans="1:3" ht="36" customHeight="1">
      <c r="A9" s="1" t="s">
        <v>1186</v>
      </c>
      <c r="B9" s="3">
        <f>COUNTIFS('07-تصمیمات و مصوبات'!$C$8:$C$1007,IF('01-تنظیمات'!$B$3="همه واقعی","&lt;&gt;DEMO",'01-تنظیمات'!$B$3),'07-تصمیمات و مصوبات'!$D$8:$D$1007,IF('01-تنظیمات'!$B$4="همه","*",'01-تنظیمات'!$B$4),'07-تصمیمات و مصوبات'!$A$8:$A$1007,"&lt;&gt;")</f>
        <v>21</v>
      </c>
      <c r="C9" s="1" t="s">
        <v>1187</v>
      </c>
    </row>
    <row r="10" spans="1:3" ht="36" customHeight="1">
      <c r="A10" s="1" t="s">
        <v>1188</v>
      </c>
      <c r="B10" s="3">
        <f>COUNTIFS('07-تصمیمات و مصوبات'!$C$8:$C$1007,IF('01-تنظیمات'!$B$3="همه واقعی","&lt;&gt;DEMO",'01-تنظیمات'!$B$3),'07-تصمیمات و مصوبات'!$D$8:$D$1007,IF('01-تنظیمات'!$B$4="همه","*",'01-تنظیمات'!$B$4),'07-تصمیمات و مصوبات'!$A$8:$A$1007,"&lt;&gt;",'07-تصمیمات و مصوبات'!$L$8:$L$1007,"تصویب",'07-تصمیمات و مصوبات'!$Z$8:$Z$1007,"معتبر")</f>
        <v>0</v>
      </c>
      <c r="C10" s="1" t="s">
        <v>1189</v>
      </c>
    </row>
    <row r="11" spans="1:3" ht="36" customHeight="1">
      <c r="A11" s="1" t="s">
        <v>1190</v>
      </c>
      <c r="B11" s="3">
        <f>COUNTIFS('08-برنامه اقدامات'!$C$8:$C$1007,IF('01-تنظیمات'!$B$3="همه واقعی","&lt;&gt;DEMO",'01-تنظیمات'!$B$3),'08-برنامه اقدامات'!$D$8:$D$1007,IF('01-تنظیمات'!$B$4="همه","*",'01-تنظیمات'!$B$4),'08-برنامه اقدامات'!$A$8:$A$1007,"&lt;&gt;",'08-برنامه اقدامات'!$R$8:$R$1007,"معوق")</f>
        <v>0</v>
      </c>
      <c r="C11" s="1" t="s">
        <v>1191</v>
      </c>
    </row>
    <row r="12" spans="1:3" ht="36" customHeight="1">
      <c r="A12" s="1" t="s">
        <v>1192</v>
      </c>
      <c r="B12" s="3">
        <f>COUNTIFS('08-برنامه اقدامات'!$C$8:$C$1007,IF('01-تنظیمات'!$B$3="همه واقعی","&lt;&gt;DEMO",'01-تنظیمات'!$B$3),'08-برنامه اقدامات'!$D$8:$D$1007,IF('01-تنظیمات'!$B$4="همه","*",'01-تنظیمات'!$B$4),'08-برنامه اقدامات'!$A$8:$A$1007,"&lt;&gt;",'08-برنامه اقدامات'!$R$8:$R$1007,"موعد ثبت نشده")</f>
        <v>21</v>
      </c>
      <c r="C12" s="1" t="s">
        <v>1193</v>
      </c>
    </row>
    <row r="13" spans="1:3" ht="36" customHeight="1">
      <c r="A13" s="1" t="s">
        <v>1194</v>
      </c>
      <c r="B13" s="3">
        <f>COUNTIFS('08-برنامه اقدامات'!$C$8:$C$1007,IF('01-تنظیمات'!$B$3="همه واقعی","&lt;&gt;DEMO",'01-تنظیمات'!$B$3),'08-برنامه اقدامات'!$D$8:$D$1007,IF('01-تنظیمات'!$B$4="همه","*",'01-تنظیمات'!$B$4),'08-برنامه اقدامات'!$A$8:$A$1007,"&lt;&gt;",'08-برنامه اقدامات'!$T$8:$T$1007,"اجراشده؛ اثربخشی تأیید نشده")</f>
        <v>0</v>
      </c>
      <c r="C13" s="1" t="s">
        <v>1195</v>
      </c>
    </row>
    <row r="14" spans="1:3" ht="36" customHeight="1">
      <c r="A14" s="1" t="s">
        <v>1196</v>
      </c>
      <c r="B14" s="3">
        <f>COUNTIFS('04-تحلیل شاخص‌ها'!$B$8:$B$1007,IF('01-تنظیمات'!$B$3="همه واقعی","&lt;&gt;DEMO",'01-تنظیمات'!$B$3),'04-تحلیل شاخص‌ها'!$C$8:$C$1007,IF('01-تنظیمات'!$B$4="همه","*",'01-تنظیمات'!$B$4),'04-تحلیل شاخص‌ها'!$A$8:$A$1007,"&lt;&gt;",'04-تحلیل شاخص‌ها'!$V$8:$V$1007,"IATF: هدف مشتری؛ برنامه مصوب ندارد")</f>
        <v>0</v>
      </c>
      <c r="C14" s="1" t="s">
        <v>1197</v>
      </c>
    </row>
    <row r="15" spans="1:3" ht="36" customHeight="1">
      <c r="A15" s="1" t="s">
        <v>1198</v>
      </c>
      <c r="B15" s="3">
        <f>COUNTIFS('04-تحلیل شاخص‌ها'!$B$8:$B$1007,IF('01-تنظیمات'!$B$3="همه واقعی","&lt;&gt;DEMO",'01-تنظیمات'!$B$3),'04-تحلیل شاخص‌ها'!$C$8:$C$1007,IF('01-تنظیمات'!$B$4="همه","*",'01-تنظیمات'!$B$4),'04-تحلیل شاخص‌ها'!$A$8:$A$1007,"&lt;&gt;",'04-تحلیل شاخص‌ها'!$V$8:$V$1007,"هدف محیط‌زیستی؛ تعیین اقدام لازم")</f>
        <v>0</v>
      </c>
      <c r="C15" s="1" t="s">
        <v>1199</v>
      </c>
    </row>
    <row r="16" spans="1:3" ht="36" customHeight="1">
      <c r="A16" s="1" t="s">
        <v>1200</v>
      </c>
      <c r="B16" s="3">
        <f>COUNTIFS('09-منابع و تغییرات'!$C$8:$C$1007,IF('01-تنظیمات'!$B$3="همه واقعی","&lt;&gt;DEMO",'01-تنظیمات'!$B$3),'09-منابع و تغییرات'!$D$8:$D$1007,IF('01-تنظیمات'!$B$4="همه","*",'01-تنظیمات'!$B$4),'09-منابع و تغییرات'!$A$8:$A$1007,"&lt;&gt;",'09-منابع و تغییرات'!$W$8:$W$1007,"رد/تعویق؛ دلیل یا ریسک ناقص")</f>
        <v>0</v>
      </c>
      <c r="C16" s="1" t="s">
        <v>1201</v>
      </c>
    </row>
    <row r="17" spans="1:3" ht="36" customHeight="1">
      <c r="A17" s="1" t="s">
        <v>1202</v>
      </c>
      <c r="B17" s="3">
        <f>COUNTIFS('06-نتایج بازنگری'!$B$8:$B$1007,IF('01-تنظیمات'!$B$3="همه واقعی","&lt;&gt;DEMO",'01-تنظیمات'!$B$3),'06-نتایج بازنگری'!$C$8:$C$1007,IF('01-تنظیمات'!$B$4="همه","*",'01-تنظیمات'!$B$4),'06-نتایج بازنگری'!$A$8:$A$1007,"&lt;&gt;",'06-نتایج بازنگری'!$P$8:$P$1007,"معتبر")</f>
        <v>0</v>
      </c>
      <c r="C17" s="1" t="s">
        <v>1203</v>
      </c>
    </row>
  </sheetData>
  <mergeCells count="3">
    <mergeCell ref="A1:C1"/>
    <mergeCell ref="A2:C3"/>
    <mergeCell ref="A4:C4"/>
  </mergeCells>
  <printOptions horizontalCentered="1"/>
  <pageMargins left="0.25" right="0.25" top="0.5" bottom="0.5" header="0.2" footer="0.2"/>
  <pageSetup paperSize="8" scale="85" fitToHeight="0" orientation="landscape"/>
  <headerFooter>
    <oddHeader>&amp;LIMS / v02&amp;Cبازنگری مدیریت یکپارچه&amp;Rهلدینگ نیکان</oddHeader>
    <oddFooter>&amp;L&amp;A&amp;Cصفحه &amp;P از &amp;N&amp;Rوضعیت تصویب مطابق محتوای گزارش</oddFooter>
  </headerFooter>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892A5"/>
    <pageSetUpPr fitToPage="1"/>
  </sheetPr>
  <dimension ref="A1:O155"/>
  <sheetViews>
    <sheetView showGridLines="0" rightToLeft="1" zoomScale="85" workbookViewId="0">
      <pane ySplit="7" topLeftCell="A8" activePane="bottomLeft" state="frozen"/>
      <selection pane="bottomLeft" sqref="A1:O1"/>
    </sheetView>
  </sheetViews>
  <sheetFormatPr defaultRowHeight="14.25"/>
  <cols>
    <col min="1" max="1" width="40" customWidth="1"/>
    <col min="2" max="2" width="26" customWidth="1"/>
    <col min="3" max="4" width="18" customWidth="1"/>
    <col min="5" max="5" width="27" customWidth="1"/>
    <col min="6" max="6" width="20" customWidth="1"/>
    <col min="7" max="7" width="16" customWidth="1"/>
    <col min="8" max="8" width="30" customWidth="1"/>
    <col min="9" max="9" width="60" customWidth="1"/>
    <col min="10" max="10" width="20" customWidth="1"/>
    <col min="11" max="11" width="28" customWidth="1"/>
    <col min="12" max="12" width="50" customWidth="1"/>
    <col min="13" max="13" width="30" customWidth="1"/>
    <col min="14" max="14" width="45" customWidth="1"/>
    <col min="15" max="15" width="55" customWidth="1"/>
  </cols>
  <sheetData>
    <row r="1" spans="1:15" ht="33.950000000000003" customHeight="1">
      <c r="A1" s="7" t="s">
        <v>1204</v>
      </c>
      <c r="B1" s="7"/>
      <c r="C1" s="7"/>
      <c r="D1" s="7"/>
      <c r="E1" s="7"/>
      <c r="F1" s="7"/>
      <c r="G1" s="7"/>
      <c r="H1" s="7"/>
      <c r="I1" s="7"/>
      <c r="J1" s="7"/>
      <c r="K1" s="7"/>
      <c r="L1" s="7"/>
      <c r="M1" s="7"/>
      <c r="N1" s="7"/>
      <c r="O1" s="7"/>
    </row>
    <row r="2" spans="1:15" ht="26.1" customHeight="1">
      <c r="A2" s="8" t="s">
        <v>1205</v>
      </c>
      <c r="B2" s="8"/>
      <c r="C2" s="8"/>
      <c r="D2" s="8"/>
      <c r="E2" s="8"/>
      <c r="F2" s="8"/>
      <c r="G2" s="8"/>
      <c r="H2" s="8"/>
      <c r="I2" s="8"/>
      <c r="J2" s="8"/>
      <c r="K2" s="8"/>
      <c r="L2" s="8"/>
      <c r="M2" s="8"/>
      <c r="N2" s="8"/>
      <c r="O2" s="8"/>
    </row>
    <row r="3" spans="1:15" ht="26.1" customHeight="1">
      <c r="A3" s="8"/>
      <c r="B3" s="8"/>
      <c r="C3" s="8"/>
      <c r="D3" s="8"/>
      <c r="E3" s="8"/>
      <c r="F3" s="8"/>
      <c r="G3" s="8"/>
      <c r="H3" s="8"/>
      <c r="I3" s="8"/>
      <c r="J3" s="8"/>
      <c r="K3" s="8"/>
      <c r="L3" s="8"/>
      <c r="M3" s="8"/>
      <c r="N3" s="8"/>
      <c r="O3" s="8"/>
    </row>
    <row r="4" spans="1:15">
      <c r="A4" s="1"/>
      <c r="B4" s="1"/>
      <c r="C4" s="1"/>
      <c r="D4" s="1"/>
      <c r="E4" s="1"/>
      <c r="F4" s="1"/>
      <c r="G4" s="1"/>
      <c r="H4" s="1"/>
      <c r="I4" s="1"/>
      <c r="J4" s="1"/>
      <c r="K4" s="1"/>
      <c r="L4" s="1"/>
      <c r="M4" s="1"/>
      <c r="N4" s="1"/>
      <c r="O4" s="1"/>
    </row>
    <row r="5" spans="1:15">
      <c r="A5" s="1"/>
      <c r="B5" s="1"/>
      <c r="C5" s="1"/>
      <c r="D5" s="1"/>
      <c r="E5" s="1"/>
      <c r="F5" s="1"/>
      <c r="G5" s="1"/>
      <c r="H5" s="1"/>
      <c r="I5" s="1"/>
      <c r="J5" s="1"/>
      <c r="K5" s="1"/>
      <c r="L5" s="1"/>
      <c r="M5" s="1"/>
      <c r="N5" s="1"/>
      <c r="O5" s="1"/>
    </row>
    <row r="6" spans="1:15">
      <c r="A6" s="1"/>
      <c r="B6" s="1"/>
      <c r="C6" s="1"/>
      <c r="D6" s="1"/>
      <c r="E6" s="1"/>
      <c r="F6" s="1"/>
      <c r="G6" s="1"/>
      <c r="H6" s="1"/>
      <c r="I6" s="1"/>
      <c r="J6" s="1"/>
      <c r="K6" s="1"/>
      <c r="L6" s="1"/>
      <c r="M6" s="1"/>
      <c r="N6" s="1"/>
      <c r="O6" s="1"/>
    </row>
    <row r="7" spans="1:15" ht="48" customHeight="1">
      <c r="A7" s="2" t="s">
        <v>1206</v>
      </c>
      <c r="B7" s="2" t="s">
        <v>366</v>
      </c>
      <c r="C7" s="2" t="s">
        <v>364</v>
      </c>
      <c r="D7" s="2" t="s">
        <v>365</v>
      </c>
      <c r="E7" s="2" t="s">
        <v>94</v>
      </c>
      <c r="F7" s="2" t="s">
        <v>161</v>
      </c>
      <c r="G7" s="2" t="s">
        <v>112</v>
      </c>
      <c r="H7" s="2" t="s">
        <v>163</v>
      </c>
      <c r="I7" s="2" t="s">
        <v>1207</v>
      </c>
      <c r="J7" s="2" t="s">
        <v>1208</v>
      </c>
      <c r="K7" s="2" t="s">
        <v>1209</v>
      </c>
      <c r="L7" s="2" t="s">
        <v>1210</v>
      </c>
      <c r="M7" s="2" t="s">
        <v>1211</v>
      </c>
      <c r="N7" s="2" t="s">
        <v>1212</v>
      </c>
      <c r="O7" s="2" t="s">
        <v>1213</v>
      </c>
    </row>
    <row r="8" spans="1:15" ht="36" customHeight="1">
      <c r="A8" s="1" t="s">
        <v>1214</v>
      </c>
      <c r="B8" s="1" t="s">
        <v>83</v>
      </c>
      <c r="C8" s="1" t="s">
        <v>77</v>
      </c>
      <c r="D8" s="1" t="s">
        <v>80</v>
      </c>
      <c r="E8" s="1" t="s">
        <v>379</v>
      </c>
      <c r="F8" s="1" t="s">
        <v>170</v>
      </c>
      <c r="G8" s="3" t="str">
        <f>IF(A8="","",IFERROR(INDEX('02-ماتریس الزامات'!$B$8:$B$1007,MATCH(F8,'02-ماتریس الزامات'!$A$8:$A$1007,0)),""))</f>
        <v>QMS</v>
      </c>
      <c r="H8" s="3" t="str">
        <f>IF(A8="","",IFERROR(INDEX('02-ماتریس الزامات'!$D$8:$D$1007,MATCH(F8,'02-ماتریس الزامات'!$A$8:$A$1007,0)),""))</f>
        <v>9.3.2</v>
      </c>
      <c r="I8" s="3" t="str">
        <f>IF(A8="","",IFERROR(INDEX('02-ماتریس الزامات'!$F$8:$F$1007,MATCH(F8,'02-ماتریس الزامات'!$A$8:$A$1007,0)),""))</f>
        <v>اقدامات قبلی</v>
      </c>
      <c r="J8" s="1" t="s">
        <v>174</v>
      </c>
      <c r="K8" s="1" t="s">
        <v>392</v>
      </c>
      <c r="L8" s="1"/>
      <c r="M8" s="1"/>
      <c r="N8" s="3" t="str">
        <f>IF(A8="","",IF(NOT(AND(COUNTIFS('13-کنترل انطباق'!$A$8:$A$1007,A8)=1,AND(COUNTIFS('17-جلسات و دوره‌ها'!$A$8:$A$1007,B8)=1,IFERROR(INDEX('17-جلسات و دوره‌ها'!$B$8:$B$1007,MATCH(B8,'17-جلسات و دوره‌ها'!$A$8:$A$1007,0)),"")=C8,IFERROR(INDEX('17-جلسات و دوره‌ها'!$C$8:$C$1007,MATCH(B8,'17-جلسات و دوره‌ها'!$A$8:$A$1007,0)),"")=D8),COUNTIFS('02-ماتریس الزامات'!$A$8:$A$1007,F8)=1,COUNTIFS('18-دامنه استانداردها'!$A$8:$A$1007,C8&amp;"|"&amp;G8)=1)),"شناسه یا دامنه نامعتبر",IF(IFERROR(INDEX('18-دامنه استانداردها'!$D$8:$D$1007,MATCH(C8&amp;"|"&amp;G8,'18-دامنه استانداردها'!$A$8:$A$1007,0)),"")="خیر",IF(AND(L8&lt;&gt;"",M8&lt;&gt;"",IFERROR(INDEX('18-دامنه استانداردها'!$H$8:$H$1007,MATCH(C8&amp;"|"&amp;G8,'18-دامنه استانداردها'!$A$8:$A$1007,0)),"")&lt;&gt;"",IFERROR(INDEX('18-دامنه استانداردها'!$I$8:$I$1007,MATCH(C8&amp;"|"&amp;G8,'18-دامنه استانداردها'!$A$8:$A$1007,0)),"")&lt;&gt;""),"عدم کاربرد مستند","عدم کاربرد بدون توجیه"),IF(IFERROR(INDEX('18-دامنه استانداردها'!$D$8:$D$1007,MATCH(C8&amp;"|"&amp;G8,'18-دامنه استانداردها'!$A$8:$A$1007,0)),"")&lt;&gt;"بله","دامنه نامشخص",IF(K8="","بررسی نشده؛ سابقه لازم",IF(NOT(IF(J8="ورودی",AND(COUNTIFS('03-ورودی‌های بازنگری'!$A$8:$A$1007,K8)=1,IFERROR(INDEX('03-ورودی‌های بازنگری'!$D$8:$D$1007,MATCH(K8,'03-ورودی‌های بازنگری'!$A$8:$A$1007,0)),"")=B8,IFERROR(INDEX('03-ورودی‌های بازنگری'!$R$8:$R$1007,MATCH(K8,'03-ورودی‌های بازنگری'!$A$8:$A$1007,0)),"")="معتبر"),IF(J8="تصمیم",AND(COUNTIFS('07-تصمیمات و مصوبات'!$A$8:$A$1007,K8)=1,IFERROR(INDEX('07-تصمیمات و مصوبات'!$B$8:$B$1007,MATCH(K8,'07-تصمیمات و مصوبات'!$A$8:$A$1007,0)),"")=B8,IFERROR(INDEX('07-تصمیمات و مصوبات'!$Z$8:$Z$1007,MATCH(K8,'07-تصمیمات و مصوبات'!$A$8:$A$1007,0)),"")="معتبر",COUNTIFS('15-روابط'!$B$8:$B$1007,K8,'15-روابط'!$C$8:$C$1007,"الزام",'15-روابط'!$D$8:$D$1007,F8,'15-روابط'!$E$8:$E$1007,"رابطه معتبر")&gt;0),IF(J8="نتیجه",AND(COUNTIFS('06-نتایج بازنگری'!$A$8:$A$1007,K8)=1,IFERROR(INDEX('06-نتایج بازنگری'!$D$8:$D$1007,MATCH(K8,'06-نتایج بازنگری'!$A$8:$A$1007,0)),"")=B8,IFERROR(INDEX('06-نتایج بازنگری'!$P$8:$P$1007,MATCH(K8,'06-نتایج بازنگری'!$A$8:$A$1007,0)),"")="معتبر",IFERROR(INDEX('06-نتایج بازنگری'!$F$8:$F$1007,MATCH(K8,'06-نتایج بازنگری'!$A$8:$A$1007,0)),"")=G8),IF(J8="ابلاغ",AND(COUNTIFS('20-ابلاغ نتایج'!$A$8:$A$1007,K8)=1,IFERROR(INDEX('20-ابلاغ نتایج'!$E$8:$E$1007,MATCH(K8,'20-ابلاغ نتایج'!$A$8:$A$1007,0)),"")=B8,IFERROR(INDEX('20-ابلاغ نتایج'!$L$8:$L$1007,MATCH(K8,'20-ابلاغ نتایج'!$A$8:$A$1007,0)),"")="معتبر"),FALSE))))),"سابقه یا شواهد ناقص",IF(IFERROR(INDEX('18-دامنه استانداردها'!$J$8:$J$1007,MATCH(C8&amp;"|"&amp;G8,'18-دامنه استانداردها'!$A$8:$A$1007,0)),"")="تأیید شده","شواهد مرتبط ثبت شد؛ تأیید ممیز لازم",IF(IFERROR(INDEX('18-دامنه استانداردها'!$J$8:$J$1007,MATCH(C8&amp;"|"&amp;G8,'18-دامنه استانداردها'!$A$8:$A$1007,0)),"")="فرضی","پوشش فرضی؛ آموزشی","شواهد حاضر؛ تطبیق نسخه باز"))))))))</f>
        <v>سابقه یا شواهد ناقص</v>
      </c>
      <c r="O8" s="1" t="s">
        <v>1215</v>
      </c>
    </row>
    <row r="9" spans="1:15" ht="36" customHeight="1">
      <c r="A9" s="1" t="s">
        <v>1216</v>
      </c>
      <c r="B9" s="1" t="s">
        <v>530</v>
      </c>
      <c r="C9" s="1" t="s">
        <v>99</v>
      </c>
      <c r="D9" s="1" t="s">
        <v>529</v>
      </c>
      <c r="E9" s="1" t="s">
        <v>531</v>
      </c>
      <c r="F9" s="1" t="s">
        <v>170</v>
      </c>
      <c r="G9" s="3" t="str">
        <f>IF(A9="","",IFERROR(INDEX('02-ماتریس الزامات'!$B$8:$B$1007,MATCH(F9,'02-ماتریس الزامات'!$A$8:$A$1007,0)),""))</f>
        <v>QMS</v>
      </c>
      <c r="H9" s="3" t="str">
        <f>IF(A9="","",IFERROR(INDEX('02-ماتریس الزامات'!$D$8:$D$1007,MATCH(F9,'02-ماتریس الزامات'!$A$8:$A$1007,0)),""))</f>
        <v>9.3.2</v>
      </c>
      <c r="I9" s="3" t="str">
        <f>IF(A9="","",IFERROR(INDEX('02-ماتریس الزامات'!$F$8:$F$1007,MATCH(F9,'02-ماتریس الزامات'!$A$8:$A$1007,0)),""))</f>
        <v>اقدامات قبلی</v>
      </c>
      <c r="J9" s="1" t="s">
        <v>174</v>
      </c>
      <c r="K9" s="1"/>
      <c r="L9" s="1"/>
      <c r="M9" s="1"/>
      <c r="N9" s="3" t="str">
        <f>IF(A9="","",IF(NOT(AND(COUNTIFS('13-کنترل انطباق'!$A$8:$A$1007,A9)=1,AND(COUNTIFS('17-جلسات و دوره‌ها'!$A$8:$A$1007,B9)=1,IFERROR(INDEX('17-جلسات و دوره‌ها'!$B$8:$B$1007,MATCH(B9,'17-جلسات و دوره‌ها'!$A$8:$A$1007,0)),"")=C9,IFERROR(INDEX('17-جلسات و دوره‌ها'!$C$8:$C$1007,MATCH(B9,'17-جلسات و دوره‌ها'!$A$8:$A$1007,0)),"")=D9),COUNTIFS('02-ماتریس الزامات'!$A$8:$A$1007,F9)=1,COUNTIFS('18-دامنه استانداردها'!$A$8:$A$1007,C9&amp;"|"&amp;G9)=1)),"شناسه یا دامنه نامعتبر",IF(IFERROR(INDEX('18-دامنه استانداردها'!$D$8:$D$1007,MATCH(C9&amp;"|"&amp;G9,'18-دامنه استانداردها'!$A$8:$A$1007,0)),"")="خیر",IF(AND(L9&lt;&gt;"",M9&lt;&gt;"",IFERROR(INDEX('18-دامنه استانداردها'!$H$8:$H$1007,MATCH(C9&amp;"|"&amp;G9,'18-دامنه استانداردها'!$A$8:$A$1007,0)),"")&lt;&gt;"",IFERROR(INDEX('18-دامنه استانداردها'!$I$8:$I$1007,MATCH(C9&amp;"|"&amp;G9,'18-دامنه استانداردها'!$A$8:$A$1007,0)),"")&lt;&gt;""),"عدم کاربرد مستند","عدم کاربرد بدون توجیه"),IF(IFERROR(INDEX('18-دامنه استانداردها'!$D$8:$D$1007,MATCH(C9&amp;"|"&amp;G9,'18-دامنه استانداردها'!$A$8:$A$1007,0)),"")&lt;&gt;"بله","دامنه نامشخص",IF(K9="","بررسی نشده؛ سابقه لازم",IF(NOT(IF(J9="ورودی",AND(COUNTIFS('03-ورودی‌های بازنگری'!$A$8:$A$1007,K9)=1,IFERROR(INDEX('03-ورودی‌های بازنگری'!$D$8:$D$1007,MATCH(K9,'03-ورودی‌های بازنگری'!$A$8:$A$1007,0)),"")=B9,IFERROR(INDEX('03-ورودی‌های بازنگری'!$R$8:$R$1007,MATCH(K9,'03-ورودی‌های بازنگری'!$A$8:$A$1007,0)),"")="معتبر"),IF(J9="تصمیم",AND(COUNTIFS('07-تصمیمات و مصوبات'!$A$8:$A$1007,K9)=1,IFERROR(INDEX('07-تصمیمات و مصوبات'!$B$8:$B$1007,MATCH(K9,'07-تصمیمات و مصوبات'!$A$8:$A$1007,0)),"")=B9,IFERROR(INDEX('07-تصمیمات و مصوبات'!$Z$8:$Z$1007,MATCH(K9,'07-تصمیمات و مصوبات'!$A$8:$A$1007,0)),"")="معتبر",COUNTIFS('15-روابط'!$B$8:$B$1007,K9,'15-روابط'!$C$8:$C$1007,"الزام",'15-روابط'!$D$8:$D$1007,F9,'15-روابط'!$E$8:$E$1007,"رابطه معتبر")&gt;0),IF(J9="نتیجه",AND(COUNTIFS('06-نتایج بازنگری'!$A$8:$A$1007,K9)=1,IFERROR(INDEX('06-نتایج بازنگری'!$D$8:$D$1007,MATCH(K9,'06-نتایج بازنگری'!$A$8:$A$1007,0)),"")=B9,IFERROR(INDEX('06-نتایج بازنگری'!$P$8:$P$1007,MATCH(K9,'06-نتایج بازنگری'!$A$8:$A$1007,0)),"")="معتبر",IFERROR(INDEX('06-نتایج بازنگری'!$F$8:$F$1007,MATCH(K9,'06-نتایج بازنگری'!$A$8:$A$1007,0)),"")=G9),IF(J9="ابلاغ",AND(COUNTIFS('20-ابلاغ نتایج'!$A$8:$A$1007,K9)=1,IFERROR(INDEX('20-ابلاغ نتایج'!$E$8:$E$1007,MATCH(K9,'20-ابلاغ نتایج'!$A$8:$A$1007,0)),"")=B9,IFERROR(INDEX('20-ابلاغ نتایج'!$L$8:$L$1007,MATCH(K9,'20-ابلاغ نتایج'!$A$8:$A$1007,0)),"")="معتبر"),FALSE))))),"سابقه یا شواهد ناقص",IF(IFERROR(INDEX('18-دامنه استانداردها'!$J$8:$J$1007,MATCH(C9&amp;"|"&amp;G9,'18-دامنه استانداردها'!$A$8:$A$1007,0)),"")="تأیید شده","شواهد مرتبط ثبت شد؛ تأیید ممیز لازم",IF(IFERROR(INDEX('18-دامنه استانداردها'!$J$8:$J$1007,MATCH(C9&amp;"|"&amp;G9,'18-دامنه استانداردها'!$A$8:$A$1007,0)),"")="فرضی","پوشش فرضی؛ آموزشی","شواهد حاضر؛ تطبیق نسخه باز"))))))))</f>
        <v>بررسی نشده؛ سابقه لازم</v>
      </c>
      <c r="O9" s="1" t="s">
        <v>1215</v>
      </c>
    </row>
    <row r="10" spans="1:15" ht="36" customHeight="1">
      <c r="A10" s="1" t="s">
        <v>1217</v>
      </c>
      <c r="B10" s="1" t="s">
        <v>83</v>
      </c>
      <c r="C10" s="1" t="s">
        <v>77</v>
      </c>
      <c r="D10" s="1" t="s">
        <v>80</v>
      </c>
      <c r="E10" s="1" t="s">
        <v>379</v>
      </c>
      <c r="F10" s="1" t="s">
        <v>180</v>
      </c>
      <c r="G10" s="3" t="str">
        <f>IF(A10="","",IFERROR(INDEX('02-ماتریس الزامات'!$B$8:$B$1007,MATCH(F10,'02-ماتریس الزامات'!$A$8:$A$1007,0)),""))</f>
        <v>QMS</v>
      </c>
      <c r="H10" s="3" t="str">
        <f>IF(A10="","",IFERROR(INDEX('02-ماتریس الزامات'!$D$8:$D$1007,MATCH(F10,'02-ماتریس الزامات'!$A$8:$A$1007,0)),""))</f>
        <v>9.3.2</v>
      </c>
      <c r="I10" s="3" t="str">
        <f>IF(A10="","",IFERROR(INDEX('02-ماتریس الزامات'!$F$8:$F$1007,MATCH(F10,'02-ماتریس الزامات'!$A$8:$A$1007,0)),""))</f>
        <v>تغییرات داخلی و خارجی</v>
      </c>
      <c r="J10" s="1" t="s">
        <v>174</v>
      </c>
      <c r="K10" s="1" t="s">
        <v>397</v>
      </c>
      <c r="L10" s="1"/>
      <c r="M10" s="1"/>
      <c r="N10" s="3" t="str">
        <f>IF(A10="","",IF(NOT(AND(COUNTIFS('13-کنترل انطباق'!$A$8:$A$1007,A10)=1,AND(COUNTIFS('17-جلسات و دوره‌ها'!$A$8:$A$1007,B10)=1,IFERROR(INDEX('17-جلسات و دوره‌ها'!$B$8:$B$1007,MATCH(B10,'17-جلسات و دوره‌ها'!$A$8:$A$1007,0)),"")=C10,IFERROR(INDEX('17-جلسات و دوره‌ها'!$C$8:$C$1007,MATCH(B10,'17-جلسات و دوره‌ها'!$A$8:$A$1007,0)),"")=D10),COUNTIFS('02-ماتریس الزامات'!$A$8:$A$1007,F10)=1,COUNTIFS('18-دامنه استانداردها'!$A$8:$A$1007,C10&amp;"|"&amp;G10)=1)),"شناسه یا دامنه نامعتبر",IF(IFERROR(INDEX('18-دامنه استانداردها'!$D$8:$D$1007,MATCH(C10&amp;"|"&amp;G10,'18-دامنه استانداردها'!$A$8:$A$1007,0)),"")="خیر",IF(AND(L10&lt;&gt;"",M10&lt;&gt;"",IFERROR(INDEX('18-دامنه استانداردها'!$H$8:$H$1007,MATCH(C10&amp;"|"&amp;G10,'18-دامنه استانداردها'!$A$8:$A$1007,0)),"")&lt;&gt;"",IFERROR(INDEX('18-دامنه استانداردها'!$I$8:$I$1007,MATCH(C10&amp;"|"&amp;G10,'18-دامنه استانداردها'!$A$8:$A$1007,0)),"")&lt;&gt;""),"عدم کاربرد مستند","عدم کاربرد بدون توجیه"),IF(IFERROR(INDEX('18-دامنه استانداردها'!$D$8:$D$1007,MATCH(C10&amp;"|"&amp;G10,'18-دامنه استانداردها'!$A$8:$A$1007,0)),"")&lt;&gt;"بله","دامنه نامشخص",IF(K10="","بررسی نشده؛ سابقه لازم",IF(NOT(IF(J10="ورودی",AND(COUNTIFS('03-ورودی‌های بازنگری'!$A$8:$A$1007,K10)=1,IFERROR(INDEX('03-ورودی‌های بازنگری'!$D$8:$D$1007,MATCH(K10,'03-ورودی‌های بازنگری'!$A$8:$A$1007,0)),"")=B10,IFERROR(INDEX('03-ورودی‌های بازنگری'!$R$8:$R$1007,MATCH(K10,'03-ورودی‌های بازنگری'!$A$8:$A$1007,0)),"")="معتبر"),IF(J10="تصمیم",AND(COUNTIFS('07-تصمیمات و مصوبات'!$A$8:$A$1007,K10)=1,IFERROR(INDEX('07-تصمیمات و مصوبات'!$B$8:$B$1007,MATCH(K10,'07-تصمیمات و مصوبات'!$A$8:$A$1007,0)),"")=B10,IFERROR(INDEX('07-تصمیمات و مصوبات'!$Z$8:$Z$1007,MATCH(K10,'07-تصمیمات و مصوبات'!$A$8:$A$1007,0)),"")="معتبر",COUNTIFS('15-روابط'!$B$8:$B$1007,K10,'15-روابط'!$C$8:$C$1007,"الزام",'15-روابط'!$D$8:$D$1007,F10,'15-روابط'!$E$8:$E$1007,"رابطه معتبر")&gt;0),IF(J10="نتیجه",AND(COUNTIFS('06-نتایج بازنگری'!$A$8:$A$1007,K10)=1,IFERROR(INDEX('06-نتایج بازنگری'!$D$8:$D$1007,MATCH(K10,'06-نتایج بازنگری'!$A$8:$A$1007,0)),"")=B10,IFERROR(INDEX('06-نتایج بازنگری'!$P$8:$P$1007,MATCH(K10,'06-نتایج بازنگری'!$A$8:$A$1007,0)),"")="معتبر",IFERROR(INDEX('06-نتایج بازنگری'!$F$8:$F$1007,MATCH(K10,'06-نتایج بازنگری'!$A$8:$A$1007,0)),"")=G10),IF(J10="ابلاغ",AND(COUNTIFS('20-ابلاغ نتایج'!$A$8:$A$1007,K10)=1,IFERROR(INDEX('20-ابلاغ نتایج'!$E$8:$E$1007,MATCH(K10,'20-ابلاغ نتایج'!$A$8:$A$1007,0)),"")=B10,IFERROR(INDEX('20-ابلاغ نتایج'!$L$8:$L$1007,MATCH(K10,'20-ابلاغ نتایج'!$A$8:$A$1007,0)),"")="معتبر"),FALSE))))),"سابقه یا شواهد ناقص",IF(IFERROR(INDEX('18-دامنه استانداردها'!$J$8:$J$1007,MATCH(C10&amp;"|"&amp;G10,'18-دامنه استانداردها'!$A$8:$A$1007,0)),"")="تأیید شده","شواهد مرتبط ثبت شد؛ تأیید ممیز لازم",IF(IFERROR(INDEX('18-دامنه استانداردها'!$J$8:$J$1007,MATCH(C10&amp;"|"&amp;G10,'18-دامنه استانداردها'!$A$8:$A$1007,0)),"")="فرضی","پوشش فرضی؛ آموزشی","شواهد حاضر؛ تطبیق نسخه باز"))))))))</f>
        <v>سابقه یا شواهد ناقص</v>
      </c>
      <c r="O10" s="1" t="s">
        <v>1215</v>
      </c>
    </row>
    <row r="11" spans="1:15" ht="36" customHeight="1">
      <c r="A11" s="1" t="s">
        <v>1218</v>
      </c>
      <c r="B11" s="1" t="s">
        <v>530</v>
      </c>
      <c r="C11" s="1" t="s">
        <v>99</v>
      </c>
      <c r="D11" s="1" t="s">
        <v>529</v>
      </c>
      <c r="E11" s="1" t="s">
        <v>531</v>
      </c>
      <c r="F11" s="1" t="s">
        <v>180</v>
      </c>
      <c r="G11" s="3" t="str">
        <f>IF(A11="","",IFERROR(INDEX('02-ماتریس الزامات'!$B$8:$B$1007,MATCH(F11,'02-ماتریس الزامات'!$A$8:$A$1007,0)),""))</f>
        <v>QMS</v>
      </c>
      <c r="H11" s="3" t="str">
        <f>IF(A11="","",IFERROR(INDEX('02-ماتریس الزامات'!$D$8:$D$1007,MATCH(F11,'02-ماتریس الزامات'!$A$8:$A$1007,0)),""))</f>
        <v>9.3.2</v>
      </c>
      <c r="I11" s="3" t="str">
        <f>IF(A11="","",IFERROR(INDEX('02-ماتریس الزامات'!$F$8:$F$1007,MATCH(F11,'02-ماتریس الزامات'!$A$8:$A$1007,0)),""))</f>
        <v>تغییرات داخلی و خارجی</v>
      </c>
      <c r="J11" s="1" t="s">
        <v>174</v>
      </c>
      <c r="K11" s="1"/>
      <c r="L11" s="1"/>
      <c r="M11" s="1"/>
      <c r="N11" s="3" t="str">
        <f>IF(A11="","",IF(NOT(AND(COUNTIFS('13-کنترل انطباق'!$A$8:$A$1007,A11)=1,AND(COUNTIFS('17-جلسات و دوره‌ها'!$A$8:$A$1007,B11)=1,IFERROR(INDEX('17-جلسات و دوره‌ها'!$B$8:$B$1007,MATCH(B11,'17-جلسات و دوره‌ها'!$A$8:$A$1007,0)),"")=C11,IFERROR(INDEX('17-جلسات و دوره‌ها'!$C$8:$C$1007,MATCH(B11,'17-جلسات و دوره‌ها'!$A$8:$A$1007,0)),"")=D11),COUNTIFS('02-ماتریس الزامات'!$A$8:$A$1007,F11)=1,COUNTIFS('18-دامنه استانداردها'!$A$8:$A$1007,C11&amp;"|"&amp;G11)=1)),"شناسه یا دامنه نامعتبر",IF(IFERROR(INDEX('18-دامنه استانداردها'!$D$8:$D$1007,MATCH(C11&amp;"|"&amp;G11,'18-دامنه استانداردها'!$A$8:$A$1007,0)),"")="خیر",IF(AND(L11&lt;&gt;"",M11&lt;&gt;"",IFERROR(INDEX('18-دامنه استانداردها'!$H$8:$H$1007,MATCH(C11&amp;"|"&amp;G11,'18-دامنه استانداردها'!$A$8:$A$1007,0)),"")&lt;&gt;"",IFERROR(INDEX('18-دامنه استانداردها'!$I$8:$I$1007,MATCH(C11&amp;"|"&amp;G11,'18-دامنه استانداردها'!$A$8:$A$1007,0)),"")&lt;&gt;""),"عدم کاربرد مستند","عدم کاربرد بدون توجیه"),IF(IFERROR(INDEX('18-دامنه استانداردها'!$D$8:$D$1007,MATCH(C11&amp;"|"&amp;G11,'18-دامنه استانداردها'!$A$8:$A$1007,0)),"")&lt;&gt;"بله","دامنه نامشخص",IF(K11="","بررسی نشده؛ سابقه لازم",IF(NOT(IF(J11="ورودی",AND(COUNTIFS('03-ورودی‌های بازنگری'!$A$8:$A$1007,K11)=1,IFERROR(INDEX('03-ورودی‌های بازنگری'!$D$8:$D$1007,MATCH(K11,'03-ورودی‌های بازنگری'!$A$8:$A$1007,0)),"")=B11,IFERROR(INDEX('03-ورودی‌های بازنگری'!$R$8:$R$1007,MATCH(K11,'03-ورودی‌های بازنگری'!$A$8:$A$1007,0)),"")="معتبر"),IF(J11="تصمیم",AND(COUNTIFS('07-تصمیمات و مصوبات'!$A$8:$A$1007,K11)=1,IFERROR(INDEX('07-تصمیمات و مصوبات'!$B$8:$B$1007,MATCH(K11,'07-تصمیمات و مصوبات'!$A$8:$A$1007,0)),"")=B11,IFERROR(INDEX('07-تصمیمات و مصوبات'!$Z$8:$Z$1007,MATCH(K11,'07-تصمیمات و مصوبات'!$A$8:$A$1007,0)),"")="معتبر",COUNTIFS('15-روابط'!$B$8:$B$1007,K11,'15-روابط'!$C$8:$C$1007,"الزام",'15-روابط'!$D$8:$D$1007,F11,'15-روابط'!$E$8:$E$1007,"رابطه معتبر")&gt;0),IF(J11="نتیجه",AND(COUNTIFS('06-نتایج بازنگری'!$A$8:$A$1007,K11)=1,IFERROR(INDEX('06-نتایج بازنگری'!$D$8:$D$1007,MATCH(K11,'06-نتایج بازنگری'!$A$8:$A$1007,0)),"")=B11,IFERROR(INDEX('06-نتایج بازنگری'!$P$8:$P$1007,MATCH(K11,'06-نتایج بازنگری'!$A$8:$A$1007,0)),"")="معتبر",IFERROR(INDEX('06-نتایج بازنگری'!$F$8:$F$1007,MATCH(K11,'06-نتایج بازنگری'!$A$8:$A$1007,0)),"")=G11),IF(J11="ابلاغ",AND(COUNTIFS('20-ابلاغ نتایج'!$A$8:$A$1007,K11)=1,IFERROR(INDEX('20-ابلاغ نتایج'!$E$8:$E$1007,MATCH(K11,'20-ابلاغ نتایج'!$A$8:$A$1007,0)),"")=B11,IFERROR(INDEX('20-ابلاغ نتایج'!$L$8:$L$1007,MATCH(K11,'20-ابلاغ نتایج'!$A$8:$A$1007,0)),"")="معتبر"),FALSE))))),"سابقه یا شواهد ناقص",IF(IFERROR(INDEX('18-دامنه استانداردها'!$J$8:$J$1007,MATCH(C11&amp;"|"&amp;G11,'18-دامنه استانداردها'!$A$8:$A$1007,0)),"")="تأیید شده","شواهد مرتبط ثبت شد؛ تأیید ممیز لازم",IF(IFERROR(INDEX('18-دامنه استانداردها'!$J$8:$J$1007,MATCH(C11&amp;"|"&amp;G11,'18-دامنه استانداردها'!$A$8:$A$1007,0)),"")="فرضی","پوشش فرضی؛ آموزشی","شواهد حاضر؛ تطبیق نسخه باز"))))))))</f>
        <v>بررسی نشده؛ سابقه لازم</v>
      </c>
      <c r="O11" s="1" t="s">
        <v>1215</v>
      </c>
    </row>
    <row r="12" spans="1:15" ht="36" customHeight="1">
      <c r="A12" s="1" t="s">
        <v>1219</v>
      </c>
      <c r="B12" s="1" t="s">
        <v>83</v>
      </c>
      <c r="C12" s="1" t="s">
        <v>77</v>
      </c>
      <c r="D12" s="1" t="s">
        <v>80</v>
      </c>
      <c r="E12" s="1" t="s">
        <v>379</v>
      </c>
      <c r="F12" s="1" t="s">
        <v>183</v>
      </c>
      <c r="G12" s="3" t="str">
        <f>IF(A12="","",IFERROR(INDEX('02-ماتریس الزامات'!$B$8:$B$1007,MATCH(F12,'02-ماتریس الزامات'!$A$8:$A$1007,0)),""))</f>
        <v>QMS</v>
      </c>
      <c r="H12" s="3" t="str">
        <f>IF(A12="","",IFERROR(INDEX('02-ماتریس الزامات'!$D$8:$D$1007,MATCH(F12,'02-ماتریس الزامات'!$A$8:$A$1007,0)),""))</f>
        <v>9.3.2</v>
      </c>
      <c r="I12" s="3" t="str">
        <f>IF(A12="","",IFERROR(INDEX('02-ماتریس الزامات'!$F$8:$F$1007,MATCH(F12,'02-ماتریس الزامات'!$A$8:$A$1007,0)),""))</f>
        <v>نیازها و انتظارات ذی‌نفعان</v>
      </c>
      <c r="J12" s="1" t="s">
        <v>174</v>
      </c>
      <c r="K12" s="1" t="s">
        <v>407</v>
      </c>
      <c r="L12" s="1"/>
      <c r="M12" s="1"/>
      <c r="N12" s="3" t="str">
        <f>IF(A12="","",IF(NOT(AND(COUNTIFS('13-کنترل انطباق'!$A$8:$A$1007,A12)=1,AND(COUNTIFS('17-جلسات و دوره‌ها'!$A$8:$A$1007,B12)=1,IFERROR(INDEX('17-جلسات و دوره‌ها'!$B$8:$B$1007,MATCH(B12,'17-جلسات و دوره‌ها'!$A$8:$A$1007,0)),"")=C12,IFERROR(INDEX('17-جلسات و دوره‌ها'!$C$8:$C$1007,MATCH(B12,'17-جلسات و دوره‌ها'!$A$8:$A$1007,0)),"")=D12),COUNTIFS('02-ماتریس الزامات'!$A$8:$A$1007,F12)=1,COUNTIFS('18-دامنه استانداردها'!$A$8:$A$1007,C12&amp;"|"&amp;G12)=1)),"شناسه یا دامنه نامعتبر",IF(IFERROR(INDEX('18-دامنه استانداردها'!$D$8:$D$1007,MATCH(C12&amp;"|"&amp;G12,'18-دامنه استانداردها'!$A$8:$A$1007,0)),"")="خیر",IF(AND(L12&lt;&gt;"",M12&lt;&gt;"",IFERROR(INDEX('18-دامنه استانداردها'!$H$8:$H$1007,MATCH(C12&amp;"|"&amp;G12,'18-دامنه استانداردها'!$A$8:$A$1007,0)),"")&lt;&gt;"",IFERROR(INDEX('18-دامنه استانداردها'!$I$8:$I$1007,MATCH(C12&amp;"|"&amp;G12,'18-دامنه استانداردها'!$A$8:$A$1007,0)),"")&lt;&gt;""),"عدم کاربرد مستند","عدم کاربرد بدون توجیه"),IF(IFERROR(INDEX('18-دامنه استانداردها'!$D$8:$D$1007,MATCH(C12&amp;"|"&amp;G12,'18-دامنه استانداردها'!$A$8:$A$1007,0)),"")&lt;&gt;"بله","دامنه نامشخص",IF(K12="","بررسی نشده؛ سابقه لازم",IF(NOT(IF(J12="ورودی",AND(COUNTIFS('03-ورودی‌های بازنگری'!$A$8:$A$1007,K12)=1,IFERROR(INDEX('03-ورودی‌های بازنگری'!$D$8:$D$1007,MATCH(K12,'03-ورودی‌های بازنگری'!$A$8:$A$1007,0)),"")=B12,IFERROR(INDEX('03-ورودی‌های بازنگری'!$R$8:$R$1007,MATCH(K12,'03-ورودی‌های بازنگری'!$A$8:$A$1007,0)),"")="معتبر"),IF(J12="تصمیم",AND(COUNTIFS('07-تصمیمات و مصوبات'!$A$8:$A$1007,K12)=1,IFERROR(INDEX('07-تصمیمات و مصوبات'!$B$8:$B$1007,MATCH(K12,'07-تصمیمات و مصوبات'!$A$8:$A$1007,0)),"")=B12,IFERROR(INDEX('07-تصمیمات و مصوبات'!$Z$8:$Z$1007,MATCH(K12,'07-تصمیمات و مصوبات'!$A$8:$A$1007,0)),"")="معتبر",COUNTIFS('15-روابط'!$B$8:$B$1007,K12,'15-روابط'!$C$8:$C$1007,"الزام",'15-روابط'!$D$8:$D$1007,F12,'15-روابط'!$E$8:$E$1007,"رابطه معتبر")&gt;0),IF(J12="نتیجه",AND(COUNTIFS('06-نتایج بازنگری'!$A$8:$A$1007,K12)=1,IFERROR(INDEX('06-نتایج بازنگری'!$D$8:$D$1007,MATCH(K12,'06-نتایج بازنگری'!$A$8:$A$1007,0)),"")=B12,IFERROR(INDEX('06-نتایج بازنگری'!$P$8:$P$1007,MATCH(K12,'06-نتایج بازنگری'!$A$8:$A$1007,0)),"")="معتبر",IFERROR(INDEX('06-نتایج بازنگری'!$F$8:$F$1007,MATCH(K12,'06-نتایج بازنگری'!$A$8:$A$1007,0)),"")=G12),IF(J12="ابلاغ",AND(COUNTIFS('20-ابلاغ نتایج'!$A$8:$A$1007,K12)=1,IFERROR(INDEX('20-ابلاغ نتایج'!$E$8:$E$1007,MATCH(K12,'20-ابلاغ نتایج'!$A$8:$A$1007,0)),"")=B12,IFERROR(INDEX('20-ابلاغ نتایج'!$L$8:$L$1007,MATCH(K12,'20-ابلاغ نتایج'!$A$8:$A$1007,0)),"")="معتبر"),FALSE))))),"سابقه یا شواهد ناقص",IF(IFERROR(INDEX('18-دامنه استانداردها'!$J$8:$J$1007,MATCH(C12&amp;"|"&amp;G12,'18-دامنه استانداردها'!$A$8:$A$1007,0)),"")="تأیید شده","شواهد مرتبط ثبت شد؛ تأیید ممیز لازم",IF(IFERROR(INDEX('18-دامنه استانداردها'!$J$8:$J$1007,MATCH(C12&amp;"|"&amp;G12,'18-دامنه استانداردها'!$A$8:$A$1007,0)),"")="فرضی","پوشش فرضی؛ آموزشی","شواهد حاضر؛ تطبیق نسخه باز"))))))))</f>
        <v>سابقه یا شواهد ناقص</v>
      </c>
      <c r="O12" s="1" t="s">
        <v>1215</v>
      </c>
    </row>
    <row r="13" spans="1:15" ht="36" customHeight="1">
      <c r="A13" s="1" t="s">
        <v>1220</v>
      </c>
      <c r="B13" s="1" t="s">
        <v>530</v>
      </c>
      <c r="C13" s="1" t="s">
        <v>99</v>
      </c>
      <c r="D13" s="1" t="s">
        <v>529</v>
      </c>
      <c r="E13" s="1" t="s">
        <v>531</v>
      </c>
      <c r="F13" s="1" t="s">
        <v>183</v>
      </c>
      <c r="G13" s="3" t="str">
        <f>IF(A13="","",IFERROR(INDEX('02-ماتریس الزامات'!$B$8:$B$1007,MATCH(F13,'02-ماتریس الزامات'!$A$8:$A$1007,0)),""))</f>
        <v>QMS</v>
      </c>
      <c r="H13" s="3" t="str">
        <f>IF(A13="","",IFERROR(INDEX('02-ماتریس الزامات'!$D$8:$D$1007,MATCH(F13,'02-ماتریس الزامات'!$A$8:$A$1007,0)),""))</f>
        <v>9.3.2</v>
      </c>
      <c r="I13" s="3" t="str">
        <f>IF(A13="","",IFERROR(INDEX('02-ماتریس الزامات'!$F$8:$F$1007,MATCH(F13,'02-ماتریس الزامات'!$A$8:$A$1007,0)),""))</f>
        <v>نیازها و انتظارات ذی‌نفعان</v>
      </c>
      <c r="J13" s="1" t="s">
        <v>174</v>
      </c>
      <c r="K13" s="1"/>
      <c r="L13" s="1"/>
      <c r="M13" s="1"/>
      <c r="N13" s="3" t="str">
        <f>IF(A13="","",IF(NOT(AND(COUNTIFS('13-کنترل انطباق'!$A$8:$A$1007,A13)=1,AND(COUNTIFS('17-جلسات و دوره‌ها'!$A$8:$A$1007,B13)=1,IFERROR(INDEX('17-جلسات و دوره‌ها'!$B$8:$B$1007,MATCH(B13,'17-جلسات و دوره‌ها'!$A$8:$A$1007,0)),"")=C13,IFERROR(INDEX('17-جلسات و دوره‌ها'!$C$8:$C$1007,MATCH(B13,'17-جلسات و دوره‌ها'!$A$8:$A$1007,0)),"")=D13),COUNTIFS('02-ماتریس الزامات'!$A$8:$A$1007,F13)=1,COUNTIFS('18-دامنه استانداردها'!$A$8:$A$1007,C13&amp;"|"&amp;G13)=1)),"شناسه یا دامنه نامعتبر",IF(IFERROR(INDEX('18-دامنه استانداردها'!$D$8:$D$1007,MATCH(C13&amp;"|"&amp;G13,'18-دامنه استانداردها'!$A$8:$A$1007,0)),"")="خیر",IF(AND(L13&lt;&gt;"",M13&lt;&gt;"",IFERROR(INDEX('18-دامنه استانداردها'!$H$8:$H$1007,MATCH(C13&amp;"|"&amp;G13,'18-دامنه استانداردها'!$A$8:$A$1007,0)),"")&lt;&gt;"",IFERROR(INDEX('18-دامنه استانداردها'!$I$8:$I$1007,MATCH(C13&amp;"|"&amp;G13,'18-دامنه استانداردها'!$A$8:$A$1007,0)),"")&lt;&gt;""),"عدم کاربرد مستند","عدم کاربرد بدون توجیه"),IF(IFERROR(INDEX('18-دامنه استانداردها'!$D$8:$D$1007,MATCH(C13&amp;"|"&amp;G13,'18-دامنه استانداردها'!$A$8:$A$1007,0)),"")&lt;&gt;"بله","دامنه نامشخص",IF(K13="","بررسی نشده؛ سابقه لازم",IF(NOT(IF(J13="ورودی",AND(COUNTIFS('03-ورودی‌های بازنگری'!$A$8:$A$1007,K13)=1,IFERROR(INDEX('03-ورودی‌های بازنگری'!$D$8:$D$1007,MATCH(K13,'03-ورودی‌های بازنگری'!$A$8:$A$1007,0)),"")=B13,IFERROR(INDEX('03-ورودی‌های بازنگری'!$R$8:$R$1007,MATCH(K13,'03-ورودی‌های بازنگری'!$A$8:$A$1007,0)),"")="معتبر"),IF(J13="تصمیم",AND(COUNTIFS('07-تصمیمات و مصوبات'!$A$8:$A$1007,K13)=1,IFERROR(INDEX('07-تصمیمات و مصوبات'!$B$8:$B$1007,MATCH(K13,'07-تصمیمات و مصوبات'!$A$8:$A$1007,0)),"")=B13,IFERROR(INDEX('07-تصمیمات و مصوبات'!$Z$8:$Z$1007,MATCH(K13,'07-تصمیمات و مصوبات'!$A$8:$A$1007,0)),"")="معتبر",COUNTIFS('15-روابط'!$B$8:$B$1007,K13,'15-روابط'!$C$8:$C$1007,"الزام",'15-روابط'!$D$8:$D$1007,F13,'15-روابط'!$E$8:$E$1007,"رابطه معتبر")&gt;0),IF(J13="نتیجه",AND(COUNTIFS('06-نتایج بازنگری'!$A$8:$A$1007,K13)=1,IFERROR(INDEX('06-نتایج بازنگری'!$D$8:$D$1007,MATCH(K13,'06-نتایج بازنگری'!$A$8:$A$1007,0)),"")=B13,IFERROR(INDEX('06-نتایج بازنگری'!$P$8:$P$1007,MATCH(K13,'06-نتایج بازنگری'!$A$8:$A$1007,0)),"")="معتبر",IFERROR(INDEX('06-نتایج بازنگری'!$F$8:$F$1007,MATCH(K13,'06-نتایج بازنگری'!$A$8:$A$1007,0)),"")=G13),IF(J13="ابلاغ",AND(COUNTIFS('20-ابلاغ نتایج'!$A$8:$A$1007,K13)=1,IFERROR(INDEX('20-ابلاغ نتایج'!$E$8:$E$1007,MATCH(K13,'20-ابلاغ نتایج'!$A$8:$A$1007,0)),"")=B13,IFERROR(INDEX('20-ابلاغ نتایج'!$L$8:$L$1007,MATCH(K13,'20-ابلاغ نتایج'!$A$8:$A$1007,0)),"")="معتبر"),FALSE))))),"سابقه یا شواهد ناقص",IF(IFERROR(INDEX('18-دامنه استانداردها'!$J$8:$J$1007,MATCH(C13&amp;"|"&amp;G13,'18-دامنه استانداردها'!$A$8:$A$1007,0)),"")="تأیید شده","شواهد مرتبط ثبت شد؛ تأیید ممیز لازم",IF(IFERROR(INDEX('18-دامنه استانداردها'!$J$8:$J$1007,MATCH(C13&amp;"|"&amp;G13,'18-دامنه استانداردها'!$A$8:$A$1007,0)),"")="فرضی","پوشش فرضی؛ آموزشی","شواهد حاضر؛ تطبیق نسخه باز"))))))))</f>
        <v>بررسی نشده؛ سابقه لازم</v>
      </c>
      <c r="O13" s="1" t="s">
        <v>1215</v>
      </c>
    </row>
    <row r="14" spans="1:15" ht="36" customHeight="1">
      <c r="A14" s="1" t="s">
        <v>1221</v>
      </c>
      <c r="B14" s="1" t="s">
        <v>83</v>
      </c>
      <c r="C14" s="1" t="s">
        <v>77</v>
      </c>
      <c r="D14" s="1" t="s">
        <v>80</v>
      </c>
      <c r="E14" s="1" t="s">
        <v>379</v>
      </c>
      <c r="F14" s="1" t="s">
        <v>186</v>
      </c>
      <c r="G14" s="3" t="str">
        <f>IF(A14="","",IFERROR(INDEX('02-ماتریس الزامات'!$B$8:$B$1007,MATCH(F14,'02-ماتریس الزامات'!$A$8:$A$1007,0)),""))</f>
        <v>QMS</v>
      </c>
      <c r="H14" s="3" t="str">
        <f>IF(A14="","",IFERROR(INDEX('02-ماتریس الزامات'!$D$8:$D$1007,MATCH(F14,'02-ماتریس الزامات'!$A$8:$A$1007,0)),""))</f>
        <v>9.3.2</v>
      </c>
      <c r="I14" s="3" t="str">
        <f>IF(A14="","",IFERROR(INDEX('02-ماتریس الزامات'!$F$8:$F$1007,MATCH(F14,'02-ماتریس الزامات'!$A$8:$A$1007,0)),""))</f>
        <v>اهداف و خط‌مشی</v>
      </c>
      <c r="J14" s="1" t="s">
        <v>174</v>
      </c>
      <c r="K14" s="1" t="s">
        <v>412</v>
      </c>
      <c r="L14" s="1"/>
      <c r="M14" s="1"/>
      <c r="N14" s="3" t="str">
        <f>IF(A14="","",IF(NOT(AND(COUNTIFS('13-کنترل انطباق'!$A$8:$A$1007,A14)=1,AND(COUNTIFS('17-جلسات و دوره‌ها'!$A$8:$A$1007,B14)=1,IFERROR(INDEX('17-جلسات و دوره‌ها'!$B$8:$B$1007,MATCH(B14,'17-جلسات و دوره‌ها'!$A$8:$A$1007,0)),"")=C14,IFERROR(INDEX('17-جلسات و دوره‌ها'!$C$8:$C$1007,MATCH(B14,'17-جلسات و دوره‌ها'!$A$8:$A$1007,0)),"")=D14),COUNTIFS('02-ماتریس الزامات'!$A$8:$A$1007,F14)=1,COUNTIFS('18-دامنه استانداردها'!$A$8:$A$1007,C14&amp;"|"&amp;G14)=1)),"شناسه یا دامنه نامعتبر",IF(IFERROR(INDEX('18-دامنه استانداردها'!$D$8:$D$1007,MATCH(C14&amp;"|"&amp;G14,'18-دامنه استانداردها'!$A$8:$A$1007,0)),"")="خیر",IF(AND(L14&lt;&gt;"",M14&lt;&gt;"",IFERROR(INDEX('18-دامنه استانداردها'!$H$8:$H$1007,MATCH(C14&amp;"|"&amp;G14,'18-دامنه استانداردها'!$A$8:$A$1007,0)),"")&lt;&gt;"",IFERROR(INDEX('18-دامنه استانداردها'!$I$8:$I$1007,MATCH(C14&amp;"|"&amp;G14,'18-دامنه استانداردها'!$A$8:$A$1007,0)),"")&lt;&gt;""),"عدم کاربرد مستند","عدم کاربرد بدون توجیه"),IF(IFERROR(INDEX('18-دامنه استانداردها'!$D$8:$D$1007,MATCH(C14&amp;"|"&amp;G14,'18-دامنه استانداردها'!$A$8:$A$1007,0)),"")&lt;&gt;"بله","دامنه نامشخص",IF(K14="","بررسی نشده؛ سابقه لازم",IF(NOT(IF(J14="ورودی",AND(COUNTIFS('03-ورودی‌های بازنگری'!$A$8:$A$1007,K14)=1,IFERROR(INDEX('03-ورودی‌های بازنگری'!$D$8:$D$1007,MATCH(K14,'03-ورودی‌های بازنگری'!$A$8:$A$1007,0)),"")=B14,IFERROR(INDEX('03-ورودی‌های بازنگری'!$R$8:$R$1007,MATCH(K14,'03-ورودی‌های بازنگری'!$A$8:$A$1007,0)),"")="معتبر"),IF(J14="تصمیم",AND(COUNTIFS('07-تصمیمات و مصوبات'!$A$8:$A$1007,K14)=1,IFERROR(INDEX('07-تصمیمات و مصوبات'!$B$8:$B$1007,MATCH(K14,'07-تصمیمات و مصوبات'!$A$8:$A$1007,0)),"")=B14,IFERROR(INDEX('07-تصمیمات و مصوبات'!$Z$8:$Z$1007,MATCH(K14,'07-تصمیمات و مصوبات'!$A$8:$A$1007,0)),"")="معتبر",COUNTIFS('15-روابط'!$B$8:$B$1007,K14,'15-روابط'!$C$8:$C$1007,"الزام",'15-روابط'!$D$8:$D$1007,F14,'15-روابط'!$E$8:$E$1007,"رابطه معتبر")&gt;0),IF(J14="نتیجه",AND(COUNTIFS('06-نتایج بازنگری'!$A$8:$A$1007,K14)=1,IFERROR(INDEX('06-نتایج بازنگری'!$D$8:$D$1007,MATCH(K14,'06-نتایج بازنگری'!$A$8:$A$1007,0)),"")=B14,IFERROR(INDEX('06-نتایج بازنگری'!$P$8:$P$1007,MATCH(K14,'06-نتایج بازنگری'!$A$8:$A$1007,0)),"")="معتبر",IFERROR(INDEX('06-نتایج بازنگری'!$F$8:$F$1007,MATCH(K14,'06-نتایج بازنگری'!$A$8:$A$1007,0)),"")=G14),IF(J14="ابلاغ",AND(COUNTIFS('20-ابلاغ نتایج'!$A$8:$A$1007,K14)=1,IFERROR(INDEX('20-ابلاغ نتایج'!$E$8:$E$1007,MATCH(K14,'20-ابلاغ نتایج'!$A$8:$A$1007,0)),"")=B14,IFERROR(INDEX('20-ابلاغ نتایج'!$L$8:$L$1007,MATCH(K14,'20-ابلاغ نتایج'!$A$8:$A$1007,0)),"")="معتبر"),FALSE))))),"سابقه یا شواهد ناقص",IF(IFERROR(INDEX('18-دامنه استانداردها'!$J$8:$J$1007,MATCH(C14&amp;"|"&amp;G14,'18-دامنه استانداردها'!$A$8:$A$1007,0)),"")="تأیید شده","شواهد مرتبط ثبت شد؛ تأیید ممیز لازم",IF(IFERROR(INDEX('18-دامنه استانداردها'!$J$8:$J$1007,MATCH(C14&amp;"|"&amp;G14,'18-دامنه استانداردها'!$A$8:$A$1007,0)),"")="فرضی","پوشش فرضی؛ آموزشی","شواهد حاضر؛ تطبیق نسخه باز"))))))))</f>
        <v>سابقه یا شواهد ناقص</v>
      </c>
      <c r="O14" s="1" t="s">
        <v>1215</v>
      </c>
    </row>
    <row r="15" spans="1:15" ht="36" customHeight="1">
      <c r="A15" s="1" t="s">
        <v>1222</v>
      </c>
      <c r="B15" s="1" t="s">
        <v>530</v>
      </c>
      <c r="C15" s="1" t="s">
        <v>99</v>
      </c>
      <c r="D15" s="1" t="s">
        <v>529</v>
      </c>
      <c r="E15" s="1" t="s">
        <v>531</v>
      </c>
      <c r="F15" s="1" t="s">
        <v>186</v>
      </c>
      <c r="G15" s="3" t="str">
        <f>IF(A15="","",IFERROR(INDEX('02-ماتریس الزامات'!$B$8:$B$1007,MATCH(F15,'02-ماتریس الزامات'!$A$8:$A$1007,0)),""))</f>
        <v>QMS</v>
      </c>
      <c r="H15" s="3" t="str">
        <f>IF(A15="","",IFERROR(INDEX('02-ماتریس الزامات'!$D$8:$D$1007,MATCH(F15,'02-ماتریس الزامات'!$A$8:$A$1007,0)),""))</f>
        <v>9.3.2</v>
      </c>
      <c r="I15" s="3" t="str">
        <f>IF(A15="","",IFERROR(INDEX('02-ماتریس الزامات'!$F$8:$F$1007,MATCH(F15,'02-ماتریس الزامات'!$A$8:$A$1007,0)),""))</f>
        <v>اهداف و خط‌مشی</v>
      </c>
      <c r="J15" s="1" t="s">
        <v>174</v>
      </c>
      <c r="K15" s="1"/>
      <c r="L15" s="1"/>
      <c r="M15" s="1"/>
      <c r="N15" s="3" t="str">
        <f>IF(A15="","",IF(NOT(AND(COUNTIFS('13-کنترل انطباق'!$A$8:$A$1007,A15)=1,AND(COUNTIFS('17-جلسات و دوره‌ها'!$A$8:$A$1007,B15)=1,IFERROR(INDEX('17-جلسات و دوره‌ها'!$B$8:$B$1007,MATCH(B15,'17-جلسات و دوره‌ها'!$A$8:$A$1007,0)),"")=C15,IFERROR(INDEX('17-جلسات و دوره‌ها'!$C$8:$C$1007,MATCH(B15,'17-جلسات و دوره‌ها'!$A$8:$A$1007,0)),"")=D15),COUNTIFS('02-ماتریس الزامات'!$A$8:$A$1007,F15)=1,COUNTIFS('18-دامنه استانداردها'!$A$8:$A$1007,C15&amp;"|"&amp;G15)=1)),"شناسه یا دامنه نامعتبر",IF(IFERROR(INDEX('18-دامنه استانداردها'!$D$8:$D$1007,MATCH(C15&amp;"|"&amp;G15,'18-دامنه استانداردها'!$A$8:$A$1007,0)),"")="خیر",IF(AND(L15&lt;&gt;"",M15&lt;&gt;"",IFERROR(INDEX('18-دامنه استانداردها'!$H$8:$H$1007,MATCH(C15&amp;"|"&amp;G15,'18-دامنه استانداردها'!$A$8:$A$1007,0)),"")&lt;&gt;"",IFERROR(INDEX('18-دامنه استانداردها'!$I$8:$I$1007,MATCH(C15&amp;"|"&amp;G15,'18-دامنه استانداردها'!$A$8:$A$1007,0)),"")&lt;&gt;""),"عدم کاربرد مستند","عدم کاربرد بدون توجیه"),IF(IFERROR(INDEX('18-دامنه استانداردها'!$D$8:$D$1007,MATCH(C15&amp;"|"&amp;G15,'18-دامنه استانداردها'!$A$8:$A$1007,0)),"")&lt;&gt;"بله","دامنه نامشخص",IF(K15="","بررسی نشده؛ سابقه لازم",IF(NOT(IF(J15="ورودی",AND(COUNTIFS('03-ورودی‌های بازنگری'!$A$8:$A$1007,K15)=1,IFERROR(INDEX('03-ورودی‌های بازنگری'!$D$8:$D$1007,MATCH(K15,'03-ورودی‌های بازنگری'!$A$8:$A$1007,0)),"")=B15,IFERROR(INDEX('03-ورودی‌های بازنگری'!$R$8:$R$1007,MATCH(K15,'03-ورودی‌های بازنگری'!$A$8:$A$1007,0)),"")="معتبر"),IF(J15="تصمیم",AND(COUNTIFS('07-تصمیمات و مصوبات'!$A$8:$A$1007,K15)=1,IFERROR(INDEX('07-تصمیمات و مصوبات'!$B$8:$B$1007,MATCH(K15,'07-تصمیمات و مصوبات'!$A$8:$A$1007,0)),"")=B15,IFERROR(INDEX('07-تصمیمات و مصوبات'!$Z$8:$Z$1007,MATCH(K15,'07-تصمیمات و مصوبات'!$A$8:$A$1007,0)),"")="معتبر",COUNTIFS('15-روابط'!$B$8:$B$1007,K15,'15-روابط'!$C$8:$C$1007,"الزام",'15-روابط'!$D$8:$D$1007,F15,'15-روابط'!$E$8:$E$1007,"رابطه معتبر")&gt;0),IF(J15="نتیجه",AND(COUNTIFS('06-نتایج بازنگری'!$A$8:$A$1007,K15)=1,IFERROR(INDEX('06-نتایج بازنگری'!$D$8:$D$1007,MATCH(K15,'06-نتایج بازنگری'!$A$8:$A$1007,0)),"")=B15,IFERROR(INDEX('06-نتایج بازنگری'!$P$8:$P$1007,MATCH(K15,'06-نتایج بازنگری'!$A$8:$A$1007,0)),"")="معتبر",IFERROR(INDEX('06-نتایج بازنگری'!$F$8:$F$1007,MATCH(K15,'06-نتایج بازنگری'!$A$8:$A$1007,0)),"")=G15),IF(J15="ابلاغ",AND(COUNTIFS('20-ابلاغ نتایج'!$A$8:$A$1007,K15)=1,IFERROR(INDEX('20-ابلاغ نتایج'!$E$8:$E$1007,MATCH(K15,'20-ابلاغ نتایج'!$A$8:$A$1007,0)),"")=B15,IFERROR(INDEX('20-ابلاغ نتایج'!$L$8:$L$1007,MATCH(K15,'20-ابلاغ نتایج'!$A$8:$A$1007,0)),"")="معتبر"),FALSE))))),"سابقه یا شواهد ناقص",IF(IFERROR(INDEX('18-دامنه استانداردها'!$J$8:$J$1007,MATCH(C15&amp;"|"&amp;G15,'18-دامنه استانداردها'!$A$8:$A$1007,0)),"")="تأیید شده","شواهد مرتبط ثبت شد؛ تأیید ممیز لازم",IF(IFERROR(INDEX('18-دامنه استانداردها'!$J$8:$J$1007,MATCH(C15&amp;"|"&amp;G15,'18-دامنه استانداردها'!$A$8:$A$1007,0)),"")="فرضی","پوشش فرضی؛ آموزشی","شواهد حاضر؛ تطبیق نسخه باز"))))))))</f>
        <v>بررسی نشده؛ سابقه لازم</v>
      </c>
      <c r="O15" s="1" t="s">
        <v>1215</v>
      </c>
    </row>
    <row r="16" spans="1:15" ht="36" customHeight="1">
      <c r="A16" s="1" t="s">
        <v>1223</v>
      </c>
      <c r="B16" s="1" t="s">
        <v>83</v>
      </c>
      <c r="C16" s="1" t="s">
        <v>77</v>
      </c>
      <c r="D16" s="1" t="s">
        <v>80</v>
      </c>
      <c r="E16" s="1" t="s">
        <v>379</v>
      </c>
      <c r="F16" s="1" t="s">
        <v>189</v>
      </c>
      <c r="G16" s="3" t="str">
        <f>IF(A16="","",IFERROR(INDEX('02-ماتریس الزامات'!$B$8:$B$1007,MATCH(F16,'02-ماتریس الزامات'!$A$8:$A$1007,0)),""))</f>
        <v>QMS</v>
      </c>
      <c r="H16" s="3" t="str">
        <f>IF(A16="","",IFERROR(INDEX('02-ماتریس الزامات'!$D$8:$D$1007,MATCH(F16,'02-ماتریس الزامات'!$A$8:$A$1007,0)),""))</f>
        <v>9.3.2</v>
      </c>
      <c r="I16" s="3" t="str">
        <f>IF(A16="","",IFERROR(INDEX('02-ماتریس الزامات'!$F$8:$F$1007,MATCH(F16,'02-ماتریس الزامات'!$A$8:$A$1007,0)),""))</f>
        <v>عملکرد فرآیند و محصول</v>
      </c>
      <c r="J16" s="1" t="s">
        <v>174</v>
      </c>
      <c r="K16" s="1" t="s">
        <v>412</v>
      </c>
      <c r="L16" s="1"/>
      <c r="M16" s="1"/>
      <c r="N16" s="3" t="str">
        <f>IF(A16="","",IF(NOT(AND(COUNTIFS('13-کنترل انطباق'!$A$8:$A$1007,A16)=1,AND(COUNTIFS('17-جلسات و دوره‌ها'!$A$8:$A$1007,B16)=1,IFERROR(INDEX('17-جلسات و دوره‌ها'!$B$8:$B$1007,MATCH(B16,'17-جلسات و دوره‌ها'!$A$8:$A$1007,0)),"")=C16,IFERROR(INDEX('17-جلسات و دوره‌ها'!$C$8:$C$1007,MATCH(B16,'17-جلسات و دوره‌ها'!$A$8:$A$1007,0)),"")=D16),COUNTIFS('02-ماتریس الزامات'!$A$8:$A$1007,F16)=1,COUNTIFS('18-دامنه استانداردها'!$A$8:$A$1007,C16&amp;"|"&amp;G16)=1)),"شناسه یا دامنه نامعتبر",IF(IFERROR(INDEX('18-دامنه استانداردها'!$D$8:$D$1007,MATCH(C16&amp;"|"&amp;G16,'18-دامنه استانداردها'!$A$8:$A$1007,0)),"")="خیر",IF(AND(L16&lt;&gt;"",M16&lt;&gt;"",IFERROR(INDEX('18-دامنه استانداردها'!$H$8:$H$1007,MATCH(C16&amp;"|"&amp;G16,'18-دامنه استانداردها'!$A$8:$A$1007,0)),"")&lt;&gt;"",IFERROR(INDEX('18-دامنه استانداردها'!$I$8:$I$1007,MATCH(C16&amp;"|"&amp;G16,'18-دامنه استانداردها'!$A$8:$A$1007,0)),"")&lt;&gt;""),"عدم کاربرد مستند","عدم کاربرد بدون توجیه"),IF(IFERROR(INDEX('18-دامنه استانداردها'!$D$8:$D$1007,MATCH(C16&amp;"|"&amp;G16,'18-دامنه استانداردها'!$A$8:$A$1007,0)),"")&lt;&gt;"بله","دامنه نامشخص",IF(K16="","بررسی نشده؛ سابقه لازم",IF(NOT(IF(J16="ورودی",AND(COUNTIFS('03-ورودی‌های بازنگری'!$A$8:$A$1007,K16)=1,IFERROR(INDEX('03-ورودی‌های بازنگری'!$D$8:$D$1007,MATCH(K16,'03-ورودی‌های بازنگری'!$A$8:$A$1007,0)),"")=B16,IFERROR(INDEX('03-ورودی‌های بازنگری'!$R$8:$R$1007,MATCH(K16,'03-ورودی‌های بازنگری'!$A$8:$A$1007,0)),"")="معتبر"),IF(J16="تصمیم",AND(COUNTIFS('07-تصمیمات و مصوبات'!$A$8:$A$1007,K16)=1,IFERROR(INDEX('07-تصمیمات و مصوبات'!$B$8:$B$1007,MATCH(K16,'07-تصمیمات و مصوبات'!$A$8:$A$1007,0)),"")=B16,IFERROR(INDEX('07-تصمیمات و مصوبات'!$Z$8:$Z$1007,MATCH(K16,'07-تصمیمات و مصوبات'!$A$8:$A$1007,0)),"")="معتبر",COUNTIFS('15-روابط'!$B$8:$B$1007,K16,'15-روابط'!$C$8:$C$1007,"الزام",'15-روابط'!$D$8:$D$1007,F16,'15-روابط'!$E$8:$E$1007,"رابطه معتبر")&gt;0),IF(J16="نتیجه",AND(COUNTIFS('06-نتایج بازنگری'!$A$8:$A$1007,K16)=1,IFERROR(INDEX('06-نتایج بازنگری'!$D$8:$D$1007,MATCH(K16,'06-نتایج بازنگری'!$A$8:$A$1007,0)),"")=B16,IFERROR(INDEX('06-نتایج بازنگری'!$P$8:$P$1007,MATCH(K16,'06-نتایج بازنگری'!$A$8:$A$1007,0)),"")="معتبر",IFERROR(INDEX('06-نتایج بازنگری'!$F$8:$F$1007,MATCH(K16,'06-نتایج بازنگری'!$A$8:$A$1007,0)),"")=G16),IF(J16="ابلاغ",AND(COUNTIFS('20-ابلاغ نتایج'!$A$8:$A$1007,K16)=1,IFERROR(INDEX('20-ابلاغ نتایج'!$E$8:$E$1007,MATCH(K16,'20-ابلاغ نتایج'!$A$8:$A$1007,0)),"")=B16,IFERROR(INDEX('20-ابلاغ نتایج'!$L$8:$L$1007,MATCH(K16,'20-ابلاغ نتایج'!$A$8:$A$1007,0)),"")="معتبر"),FALSE))))),"سابقه یا شواهد ناقص",IF(IFERROR(INDEX('18-دامنه استانداردها'!$J$8:$J$1007,MATCH(C16&amp;"|"&amp;G16,'18-دامنه استانداردها'!$A$8:$A$1007,0)),"")="تأیید شده","شواهد مرتبط ثبت شد؛ تأیید ممیز لازم",IF(IFERROR(INDEX('18-دامنه استانداردها'!$J$8:$J$1007,MATCH(C16&amp;"|"&amp;G16,'18-دامنه استانداردها'!$A$8:$A$1007,0)),"")="فرضی","پوشش فرضی؛ آموزشی","شواهد حاضر؛ تطبیق نسخه باز"))))))))</f>
        <v>سابقه یا شواهد ناقص</v>
      </c>
      <c r="O16" s="1" t="s">
        <v>1215</v>
      </c>
    </row>
    <row r="17" spans="1:15" ht="36" customHeight="1">
      <c r="A17" s="1" t="s">
        <v>1224</v>
      </c>
      <c r="B17" s="1" t="s">
        <v>530</v>
      </c>
      <c r="C17" s="1" t="s">
        <v>99</v>
      </c>
      <c r="D17" s="1" t="s">
        <v>529</v>
      </c>
      <c r="E17" s="1" t="s">
        <v>531</v>
      </c>
      <c r="F17" s="1" t="s">
        <v>189</v>
      </c>
      <c r="G17" s="3" t="str">
        <f>IF(A17="","",IFERROR(INDEX('02-ماتریس الزامات'!$B$8:$B$1007,MATCH(F17,'02-ماتریس الزامات'!$A$8:$A$1007,0)),""))</f>
        <v>QMS</v>
      </c>
      <c r="H17" s="3" t="str">
        <f>IF(A17="","",IFERROR(INDEX('02-ماتریس الزامات'!$D$8:$D$1007,MATCH(F17,'02-ماتریس الزامات'!$A$8:$A$1007,0)),""))</f>
        <v>9.3.2</v>
      </c>
      <c r="I17" s="3" t="str">
        <f>IF(A17="","",IFERROR(INDEX('02-ماتریس الزامات'!$F$8:$F$1007,MATCH(F17,'02-ماتریس الزامات'!$A$8:$A$1007,0)),""))</f>
        <v>عملکرد فرآیند و محصول</v>
      </c>
      <c r="J17" s="1" t="s">
        <v>174</v>
      </c>
      <c r="K17" s="1"/>
      <c r="L17" s="1"/>
      <c r="M17" s="1"/>
      <c r="N17" s="3" t="str">
        <f>IF(A17="","",IF(NOT(AND(COUNTIFS('13-کنترل انطباق'!$A$8:$A$1007,A17)=1,AND(COUNTIFS('17-جلسات و دوره‌ها'!$A$8:$A$1007,B17)=1,IFERROR(INDEX('17-جلسات و دوره‌ها'!$B$8:$B$1007,MATCH(B17,'17-جلسات و دوره‌ها'!$A$8:$A$1007,0)),"")=C17,IFERROR(INDEX('17-جلسات و دوره‌ها'!$C$8:$C$1007,MATCH(B17,'17-جلسات و دوره‌ها'!$A$8:$A$1007,0)),"")=D17),COUNTIFS('02-ماتریس الزامات'!$A$8:$A$1007,F17)=1,COUNTIFS('18-دامنه استانداردها'!$A$8:$A$1007,C17&amp;"|"&amp;G17)=1)),"شناسه یا دامنه نامعتبر",IF(IFERROR(INDEX('18-دامنه استانداردها'!$D$8:$D$1007,MATCH(C17&amp;"|"&amp;G17,'18-دامنه استانداردها'!$A$8:$A$1007,0)),"")="خیر",IF(AND(L17&lt;&gt;"",M17&lt;&gt;"",IFERROR(INDEX('18-دامنه استانداردها'!$H$8:$H$1007,MATCH(C17&amp;"|"&amp;G17,'18-دامنه استانداردها'!$A$8:$A$1007,0)),"")&lt;&gt;"",IFERROR(INDEX('18-دامنه استانداردها'!$I$8:$I$1007,MATCH(C17&amp;"|"&amp;G17,'18-دامنه استانداردها'!$A$8:$A$1007,0)),"")&lt;&gt;""),"عدم کاربرد مستند","عدم کاربرد بدون توجیه"),IF(IFERROR(INDEX('18-دامنه استانداردها'!$D$8:$D$1007,MATCH(C17&amp;"|"&amp;G17,'18-دامنه استانداردها'!$A$8:$A$1007,0)),"")&lt;&gt;"بله","دامنه نامشخص",IF(K17="","بررسی نشده؛ سابقه لازم",IF(NOT(IF(J17="ورودی",AND(COUNTIFS('03-ورودی‌های بازنگری'!$A$8:$A$1007,K17)=1,IFERROR(INDEX('03-ورودی‌های بازنگری'!$D$8:$D$1007,MATCH(K17,'03-ورودی‌های بازنگری'!$A$8:$A$1007,0)),"")=B17,IFERROR(INDEX('03-ورودی‌های بازنگری'!$R$8:$R$1007,MATCH(K17,'03-ورودی‌های بازنگری'!$A$8:$A$1007,0)),"")="معتبر"),IF(J17="تصمیم",AND(COUNTIFS('07-تصمیمات و مصوبات'!$A$8:$A$1007,K17)=1,IFERROR(INDEX('07-تصمیمات و مصوبات'!$B$8:$B$1007,MATCH(K17,'07-تصمیمات و مصوبات'!$A$8:$A$1007,0)),"")=B17,IFERROR(INDEX('07-تصمیمات و مصوبات'!$Z$8:$Z$1007,MATCH(K17,'07-تصمیمات و مصوبات'!$A$8:$A$1007,0)),"")="معتبر",COUNTIFS('15-روابط'!$B$8:$B$1007,K17,'15-روابط'!$C$8:$C$1007,"الزام",'15-روابط'!$D$8:$D$1007,F17,'15-روابط'!$E$8:$E$1007,"رابطه معتبر")&gt;0),IF(J17="نتیجه",AND(COUNTIFS('06-نتایج بازنگری'!$A$8:$A$1007,K17)=1,IFERROR(INDEX('06-نتایج بازنگری'!$D$8:$D$1007,MATCH(K17,'06-نتایج بازنگری'!$A$8:$A$1007,0)),"")=B17,IFERROR(INDEX('06-نتایج بازنگری'!$P$8:$P$1007,MATCH(K17,'06-نتایج بازنگری'!$A$8:$A$1007,0)),"")="معتبر",IFERROR(INDEX('06-نتایج بازنگری'!$F$8:$F$1007,MATCH(K17,'06-نتایج بازنگری'!$A$8:$A$1007,0)),"")=G17),IF(J17="ابلاغ",AND(COUNTIFS('20-ابلاغ نتایج'!$A$8:$A$1007,K17)=1,IFERROR(INDEX('20-ابلاغ نتایج'!$E$8:$E$1007,MATCH(K17,'20-ابلاغ نتایج'!$A$8:$A$1007,0)),"")=B17,IFERROR(INDEX('20-ابلاغ نتایج'!$L$8:$L$1007,MATCH(K17,'20-ابلاغ نتایج'!$A$8:$A$1007,0)),"")="معتبر"),FALSE))))),"سابقه یا شواهد ناقص",IF(IFERROR(INDEX('18-دامنه استانداردها'!$J$8:$J$1007,MATCH(C17&amp;"|"&amp;G17,'18-دامنه استانداردها'!$A$8:$A$1007,0)),"")="تأیید شده","شواهد مرتبط ثبت شد؛ تأیید ممیز لازم",IF(IFERROR(INDEX('18-دامنه استانداردها'!$J$8:$J$1007,MATCH(C17&amp;"|"&amp;G17,'18-دامنه استانداردها'!$A$8:$A$1007,0)),"")="فرضی","پوشش فرضی؛ آموزشی","شواهد حاضر؛ تطبیق نسخه باز"))))))))</f>
        <v>بررسی نشده؛ سابقه لازم</v>
      </c>
      <c r="O17" s="1" t="s">
        <v>1215</v>
      </c>
    </row>
    <row r="18" spans="1:15" ht="36" customHeight="1">
      <c r="A18" s="1" t="s">
        <v>1225</v>
      </c>
      <c r="B18" s="1" t="s">
        <v>83</v>
      </c>
      <c r="C18" s="1" t="s">
        <v>77</v>
      </c>
      <c r="D18" s="1" t="s">
        <v>80</v>
      </c>
      <c r="E18" s="1" t="s">
        <v>379</v>
      </c>
      <c r="F18" s="1" t="s">
        <v>191</v>
      </c>
      <c r="G18" s="3" t="str">
        <f>IF(A18="","",IFERROR(INDEX('02-ماتریس الزامات'!$B$8:$B$1007,MATCH(F18,'02-ماتریس الزامات'!$A$8:$A$1007,0)),""))</f>
        <v>QMS</v>
      </c>
      <c r="H18" s="3" t="str">
        <f>IF(A18="","",IFERROR(INDEX('02-ماتریس الزامات'!$D$8:$D$1007,MATCH(F18,'02-ماتریس الزامات'!$A$8:$A$1007,0)),""))</f>
        <v>9.3.2</v>
      </c>
      <c r="I18" s="3" t="str">
        <f>IF(A18="","",IFERROR(INDEX('02-ماتریس الزامات'!$F$8:$F$1007,MATCH(F18,'02-ماتریس الزامات'!$A$8:$A$1007,0)),""))</f>
        <v>رضایت و شکایت مشتری</v>
      </c>
      <c r="J18" s="1" t="s">
        <v>174</v>
      </c>
      <c r="K18" s="1" t="s">
        <v>432</v>
      </c>
      <c r="L18" s="1"/>
      <c r="M18" s="1"/>
      <c r="N18" s="3" t="str">
        <f>IF(A18="","",IF(NOT(AND(COUNTIFS('13-کنترل انطباق'!$A$8:$A$1007,A18)=1,AND(COUNTIFS('17-جلسات و دوره‌ها'!$A$8:$A$1007,B18)=1,IFERROR(INDEX('17-جلسات و دوره‌ها'!$B$8:$B$1007,MATCH(B18,'17-جلسات و دوره‌ها'!$A$8:$A$1007,0)),"")=C18,IFERROR(INDEX('17-جلسات و دوره‌ها'!$C$8:$C$1007,MATCH(B18,'17-جلسات و دوره‌ها'!$A$8:$A$1007,0)),"")=D18),COUNTIFS('02-ماتریس الزامات'!$A$8:$A$1007,F18)=1,COUNTIFS('18-دامنه استانداردها'!$A$8:$A$1007,C18&amp;"|"&amp;G18)=1)),"شناسه یا دامنه نامعتبر",IF(IFERROR(INDEX('18-دامنه استانداردها'!$D$8:$D$1007,MATCH(C18&amp;"|"&amp;G18,'18-دامنه استانداردها'!$A$8:$A$1007,0)),"")="خیر",IF(AND(L18&lt;&gt;"",M18&lt;&gt;"",IFERROR(INDEX('18-دامنه استانداردها'!$H$8:$H$1007,MATCH(C18&amp;"|"&amp;G18,'18-دامنه استانداردها'!$A$8:$A$1007,0)),"")&lt;&gt;"",IFERROR(INDEX('18-دامنه استانداردها'!$I$8:$I$1007,MATCH(C18&amp;"|"&amp;G18,'18-دامنه استانداردها'!$A$8:$A$1007,0)),"")&lt;&gt;""),"عدم کاربرد مستند","عدم کاربرد بدون توجیه"),IF(IFERROR(INDEX('18-دامنه استانداردها'!$D$8:$D$1007,MATCH(C18&amp;"|"&amp;G18,'18-دامنه استانداردها'!$A$8:$A$1007,0)),"")&lt;&gt;"بله","دامنه نامشخص",IF(K18="","بررسی نشده؛ سابقه لازم",IF(NOT(IF(J18="ورودی",AND(COUNTIFS('03-ورودی‌های بازنگری'!$A$8:$A$1007,K18)=1,IFERROR(INDEX('03-ورودی‌های بازنگری'!$D$8:$D$1007,MATCH(K18,'03-ورودی‌های بازنگری'!$A$8:$A$1007,0)),"")=B18,IFERROR(INDEX('03-ورودی‌های بازنگری'!$R$8:$R$1007,MATCH(K18,'03-ورودی‌های بازنگری'!$A$8:$A$1007,0)),"")="معتبر"),IF(J18="تصمیم",AND(COUNTIFS('07-تصمیمات و مصوبات'!$A$8:$A$1007,K18)=1,IFERROR(INDEX('07-تصمیمات و مصوبات'!$B$8:$B$1007,MATCH(K18,'07-تصمیمات و مصوبات'!$A$8:$A$1007,0)),"")=B18,IFERROR(INDEX('07-تصمیمات و مصوبات'!$Z$8:$Z$1007,MATCH(K18,'07-تصمیمات و مصوبات'!$A$8:$A$1007,0)),"")="معتبر",COUNTIFS('15-روابط'!$B$8:$B$1007,K18,'15-روابط'!$C$8:$C$1007,"الزام",'15-روابط'!$D$8:$D$1007,F18,'15-روابط'!$E$8:$E$1007,"رابطه معتبر")&gt;0),IF(J18="نتیجه",AND(COUNTIFS('06-نتایج بازنگری'!$A$8:$A$1007,K18)=1,IFERROR(INDEX('06-نتایج بازنگری'!$D$8:$D$1007,MATCH(K18,'06-نتایج بازنگری'!$A$8:$A$1007,0)),"")=B18,IFERROR(INDEX('06-نتایج بازنگری'!$P$8:$P$1007,MATCH(K18,'06-نتایج بازنگری'!$A$8:$A$1007,0)),"")="معتبر",IFERROR(INDEX('06-نتایج بازنگری'!$F$8:$F$1007,MATCH(K18,'06-نتایج بازنگری'!$A$8:$A$1007,0)),"")=G18),IF(J18="ابلاغ",AND(COUNTIFS('20-ابلاغ نتایج'!$A$8:$A$1007,K18)=1,IFERROR(INDEX('20-ابلاغ نتایج'!$E$8:$E$1007,MATCH(K18,'20-ابلاغ نتایج'!$A$8:$A$1007,0)),"")=B18,IFERROR(INDEX('20-ابلاغ نتایج'!$L$8:$L$1007,MATCH(K18,'20-ابلاغ نتایج'!$A$8:$A$1007,0)),"")="معتبر"),FALSE))))),"سابقه یا شواهد ناقص",IF(IFERROR(INDEX('18-دامنه استانداردها'!$J$8:$J$1007,MATCH(C18&amp;"|"&amp;G18,'18-دامنه استانداردها'!$A$8:$A$1007,0)),"")="تأیید شده","شواهد مرتبط ثبت شد؛ تأیید ممیز لازم",IF(IFERROR(INDEX('18-دامنه استانداردها'!$J$8:$J$1007,MATCH(C18&amp;"|"&amp;G18,'18-دامنه استانداردها'!$A$8:$A$1007,0)),"")="فرضی","پوشش فرضی؛ آموزشی","شواهد حاضر؛ تطبیق نسخه باز"))))))))</f>
        <v>سابقه یا شواهد ناقص</v>
      </c>
      <c r="O18" s="1" t="s">
        <v>1215</v>
      </c>
    </row>
    <row r="19" spans="1:15" ht="36" customHeight="1">
      <c r="A19" s="1" t="s">
        <v>1226</v>
      </c>
      <c r="B19" s="1" t="s">
        <v>530</v>
      </c>
      <c r="C19" s="1" t="s">
        <v>99</v>
      </c>
      <c r="D19" s="1" t="s">
        <v>529</v>
      </c>
      <c r="E19" s="1" t="s">
        <v>531</v>
      </c>
      <c r="F19" s="1" t="s">
        <v>191</v>
      </c>
      <c r="G19" s="3" t="str">
        <f>IF(A19="","",IFERROR(INDEX('02-ماتریس الزامات'!$B$8:$B$1007,MATCH(F19,'02-ماتریس الزامات'!$A$8:$A$1007,0)),""))</f>
        <v>QMS</v>
      </c>
      <c r="H19" s="3" t="str">
        <f>IF(A19="","",IFERROR(INDEX('02-ماتریس الزامات'!$D$8:$D$1007,MATCH(F19,'02-ماتریس الزامات'!$A$8:$A$1007,0)),""))</f>
        <v>9.3.2</v>
      </c>
      <c r="I19" s="3" t="str">
        <f>IF(A19="","",IFERROR(INDEX('02-ماتریس الزامات'!$F$8:$F$1007,MATCH(F19,'02-ماتریس الزامات'!$A$8:$A$1007,0)),""))</f>
        <v>رضایت و شکایت مشتری</v>
      </c>
      <c r="J19" s="1" t="s">
        <v>174</v>
      </c>
      <c r="K19" s="1"/>
      <c r="L19" s="1"/>
      <c r="M19" s="1"/>
      <c r="N19" s="3" t="str">
        <f>IF(A19="","",IF(NOT(AND(COUNTIFS('13-کنترل انطباق'!$A$8:$A$1007,A19)=1,AND(COUNTIFS('17-جلسات و دوره‌ها'!$A$8:$A$1007,B19)=1,IFERROR(INDEX('17-جلسات و دوره‌ها'!$B$8:$B$1007,MATCH(B19,'17-جلسات و دوره‌ها'!$A$8:$A$1007,0)),"")=C19,IFERROR(INDEX('17-جلسات و دوره‌ها'!$C$8:$C$1007,MATCH(B19,'17-جلسات و دوره‌ها'!$A$8:$A$1007,0)),"")=D19),COUNTIFS('02-ماتریس الزامات'!$A$8:$A$1007,F19)=1,COUNTIFS('18-دامنه استانداردها'!$A$8:$A$1007,C19&amp;"|"&amp;G19)=1)),"شناسه یا دامنه نامعتبر",IF(IFERROR(INDEX('18-دامنه استانداردها'!$D$8:$D$1007,MATCH(C19&amp;"|"&amp;G19,'18-دامنه استانداردها'!$A$8:$A$1007,0)),"")="خیر",IF(AND(L19&lt;&gt;"",M19&lt;&gt;"",IFERROR(INDEX('18-دامنه استانداردها'!$H$8:$H$1007,MATCH(C19&amp;"|"&amp;G19,'18-دامنه استانداردها'!$A$8:$A$1007,0)),"")&lt;&gt;"",IFERROR(INDEX('18-دامنه استانداردها'!$I$8:$I$1007,MATCH(C19&amp;"|"&amp;G19,'18-دامنه استانداردها'!$A$8:$A$1007,0)),"")&lt;&gt;""),"عدم کاربرد مستند","عدم کاربرد بدون توجیه"),IF(IFERROR(INDEX('18-دامنه استانداردها'!$D$8:$D$1007,MATCH(C19&amp;"|"&amp;G19,'18-دامنه استانداردها'!$A$8:$A$1007,0)),"")&lt;&gt;"بله","دامنه نامشخص",IF(K19="","بررسی نشده؛ سابقه لازم",IF(NOT(IF(J19="ورودی",AND(COUNTIFS('03-ورودی‌های بازنگری'!$A$8:$A$1007,K19)=1,IFERROR(INDEX('03-ورودی‌های بازنگری'!$D$8:$D$1007,MATCH(K19,'03-ورودی‌های بازنگری'!$A$8:$A$1007,0)),"")=B19,IFERROR(INDEX('03-ورودی‌های بازنگری'!$R$8:$R$1007,MATCH(K19,'03-ورودی‌های بازنگری'!$A$8:$A$1007,0)),"")="معتبر"),IF(J19="تصمیم",AND(COUNTIFS('07-تصمیمات و مصوبات'!$A$8:$A$1007,K19)=1,IFERROR(INDEX('07-تصمیمات و مصوبات'!$B$8:$B$1007,MATCH(K19,'07-تصمیمات و مصوبات'!$A$8:$A$1007,0)),"")=B19,IFERROR(INDEX('07-تصمیمات و مصوبات'!$Z$8:$Z$1007,MATCH(K19,'07-تصمیمات و مصوبات'!$A$8:$A$1007,0)),"")="معتبر",COUNTIFS('15-روابط'!$B$8:$B$1007,K19,'15-روابط'!$C$8:$C$1007,"الزام",'15-روابط'!$D$8:$D$1007,F19,'15-روابط'!$E$8:$E$1007,"رابطه معتبر")&gt;0),IF(J19="نتیجه",AND(COUNTIFS('06-نتایج بازنگری'!$A$8:$A$1007,K19)=1,IFERROR(INDEX('06-نتایج بازنگری'!$D$8:$D$1007,MATCH(K19,'06-نتایج بازنگری'!$A$8:$A$1007,0)),"")=B19,IFERROR(INDEX('06-نتایج بازنگری'!$P$8:$P$1007,MATCH(K19,'06-نتایج بازنگری'!$A$8:$A$1007,0)),"")="معتبر",IFERROR(INDEX('06-نتایج بازنگری'!$F$8:$F$1007,MATCH(K19,'06-نتایج بازنگری'!$A$8:$A$1007,0)),"")=G19),IF(J19="ابلاغ",AND(COUNTIFS('20-ابلاغ نتایج'!$A$8:$A$1007,K19)=1,IFERROR(INDEX('20-ابلاغ نتایج'!$E$8:$E$1007,MATCH(K19,'20-ابلاغ نتایج'!$A$8:$A$1007,0)),"")=B19,IFERROR(INDEX('20-ابلاغ نتایج'!$L$8:$L$1007,MATCH(K19,'20-ابلاغ نتایج'!$A$8:$A$1007,0)),"")="معتبر"),FALSE))))),"سابقه یا شواهد ناقص",IF(IFERROR(INDEX('18-دامنه استانداردها'!$J$8:$J$1007,MATCH(C19&amp;"|"&amp;G19,'18-دامنه استانداردها'!$A$8:$A$1007,0)),"")="تأیید شده","شواهد مرتبط ثبت شد؛ تأیید ممیز لازم",IF(IFERROR(INDEX('18-دامنه استانداردها'!$J$8:$J$1007,MATCH(C19&amp;"|"&amp;G19,'18-دامنه استانداردها'!$A$8:$A$1007,0)),"")="فرضی","پوشش فرضی؛ آموزشی","شواهد حاضر؛ تطبیق نسخه باز"))))))))</f>
        <v>بررسی نشده؛ سابقه لازم</v>
      </c>
      <c r="O19" s="1" t="s">
        <v>1215</v>
      </c>
    </row>
    <row r="20" spans="1:15" ht="36" customHeight="1">
      <c r="A20" s="1" t="s">
        <v>1227</v>
      </c>
      <c r="B20" s="1" t="s">
        <v>83</v>
      </c>
      <c r="C20" s="1" t="s">
        <v>77</v>
      </c>
      <c r="D20" s="1" t="s">
        <v>80</v>
      </c>
      <c r="E20" s="1" t="s">
        <v>379</v>
      </c>
      <c r="F20" s="1" t="s">
        <v>194</v>
      </c>
      <c r="G20" s="3" t="str">
        <f>IF(A20="","",IFERROR(INDEX('02-ماتریس الزامات'!$B$8:$B$1007,MATCH(F20,'02-ماتریس الزامات'!$A$8:$A$1007,0)),""))</f>
        <v>QMS</v>
      </c>
      <c r="H20" s="3" t="str">
        <f>IF(A20="","",IFERROR(INDEX('02-ماتریس الزامات'!$D$8:$D$1007,MATCH(F20,'02-ماتریس الزامات'!$A$8:$A$1007,0)),""))</f>
        <v>9.3.2</v>
      </c>
      <c r="I20" s="3" t="str">
        <f>IF(A20="","",IFERROR(INDEX('02-ماتریس الزامات'!$F$8:$F$1007,MATCH(F20,'02-ماتریس الزامات'!$A$8:$A$1007,0)),""))</f>
        <v>تأمین‌کنندگان</v>
      </c>
      <c r="J20" s="1" t="s">
        <v>174</v>
      </c>
      <c r="K20" s="1" t="s">
        <v>492</v>
      </c>
      <c r="L20" s="1"/>
      <c r="M20" s="1"/>
      <c r="N20" s="3" t="str">
        <f>IF(A20="","",IF(NOT(AND(COUNTIFS('13-کنترل انطباق'!$A$8:$A$1007,A20)=1,AND(COUNTIFS('17-جلسات و دوره‌ها'!$A$8:$A$1007,B20)=1,IFERROR(INDEX('17-جلسات و دوره‌ها'!$B$8:$B$1007,MATCH(B20,'17-جلسات و دوره‌ها'!$A$8:$A$1007,0)),"")=C20,IFERROR(INDEX('17-جلسات و دوره‌ها'!$C$8:$C$1007,MATCH(B20,'17-جلسات و دوره‌ها'!$A$8:$A$1007,0)),"")=D20),COUNTIFS('02-ماتریس الزامات'!$A$8:$A$1007,F20)=1,COUNTIFS('18-دامنه استانداردها'!$A$8:$A$1007,C20&amp;"|"&amp;G20)=1)),"شناسه یا دامنه نامعتبر",IF(IFERROR(INDEX('18-دامنه استانداردها'!$D$8:$D$1007,MATCH(C20&amp;"|"&amp;G20,'18-دامنه استانداردها'!$A$8:$A$1007,0)),"")="خیر",IF(AND(L20&lt;&gt;"",M20&lt;&gt;"",IFERROR(INDEX('18-دامنه استانداردها'!$H$8:$H$1007,MATCH(C20&amp;"|"&amp;G20,'18-دامنه استانداردها'!$A$8:$A$1007,0)),"")&lt;&gt;"",IFERROR(INDEX('18-دامنه استانداردها'!$I$8:$I$1007,MATCH(C20&amp;"|"&amp;G20,'18-دامنه استانداردها'!$A$8:$A$1007,0)),"")&lt;&gt;""),"عدم کاربرد مستند","عدم کاربرد بدون توجیه"),IF(IFERROR(INDEX('18-دامنه استانداردها'!$D$8:$D$1007,MATCH(C20&amp;"|"&amp;G20,'18-دامنه استانداردها'!$A$8:$A$1007,0)),"")&lt;&gt;"بله","دامنه نامشخص",IF(K20="","بررسی نشده؛ سابقه لازم",IF(NOT(IF(J20="ورودی",AND(COUNTIFS('03-ورودی‌های بازنگری'!$A$8:$A$1007,K20)=1,IFERROR(INDEX('03-ورودی‌های بازنگری'!$D$8:$D$1007,MATCH(K20,'03-ورودی‌های بازنگری'!$A$8:$A$1007,0)),"")=B20,IFERROR(INDEX('03-ورودی‌های بازنگری'!$R$8:$R$1007,MATCH(K20,'03-ورودی‌های بازنگری'!$A$8:$A$1007,0)),"")="معتبر"),IF(J20="تصمیم",AND(COUNTIFS('07-تصمیمات و مصوبات'!$A$8:$A$1007,K20)=1,IFERROR(INDEX('07-تصمیمات و مصوبات'!$B$8:$B$1007,MATCH(K20,'07-تصمیمات و مصوبات'!$A$8:$A$1007,0)),"")=B20,IFERROR(INDEX('07-تصمیمات و مصوبات'!$Z$8:$Z$1007,MATCH(K20,'07-تصمیمات و مصوبات'!$A$8:$A$1007,0)),"")="معتبر",COUNTIFS('15-روابط'!$B$8:$B$1007,K20,'15-روابط'!$C$8:$C$1007,"الزام",'15-روابط'!$D$8:$D$1007,F20,'15-روابط'!$E$8:$E$1007,"رابطه معتبر")&gt;0),IF(J20="نتیجه",AND(COUNTIFS('06-نتایج بازنگری'!$A$8:$A$1007,K20)=1,IFERROR(INDEX('06-نتایج بازنگری'!$D$8:$D$1007,MATCH(K20,'06-نتایج بازنگری'!$A$8:$A$1007,0)),"")=B20,IFERROR(INDEX('06-نتایج بازنگری'!$P$8:$P$1007,MATCH(K20,'06-نتایج بازنگری'!$A$8:$A$1007,0)),"")="معتبر",IFERROR(INDEX('06-نتایج بازنگری'!$F$8:$F$1007,MATCH(K20,'06-نتایج بازنگری'!$A$8:$A$1007,0)),"")=G20),IF(J20="ابلاغ",AND(COUNTIFS('20-ابلاغ نتایج'!$A$8:$A$1007,K20)=1,IFERROR(INDEX('20-ابلاغ نتایج'!$E$8:$E$1007,MATCH(K20,'20-ابلاغ نتایج'!$A$8:$A$1007,0)),"")=B20,IFERROR(INDEX('20-ابلاغ نتایج'!$L$8:$L$1007,MATCH(K20,'20-ابلاغ نتایج'!$A$8:$A$1007,0)),"")="معتبر"),FALSE))))),"سابقه یا شواهد ناقص",IF(IFERROR(INDEX('18-دامنه استانداردها'!$J$8:$J$1007,MATCH(C20&amp;"|"&amp;G20,'18-دامنه استانداردها'!$A$8:$A$1007,0)),"")="تأیید شده","شواهد مرتبط ثبت شد؛ تأیید ممیز لازم",IF(IFERROR(INDEX('18-دامنه استانداردها'!$J$8:$J$1007,MATCH(C20&amp;"|"&amp;G20,'18-دامنه استانداردها'!$A$8:$A$1007,0)),"")="فرضی","پوشش فرضی؛ آموزشی","شواهد حاضر؛ تطبیق نسخه باز"))))))))</f>
        <v>سابقه یا شواهد ناقص</v>
      </c>
      <c r="O20" s="1" t="s">
        <v>1215</v>
      </c>
    </row>
    <row r="21" spans="1:15" ht="36" customHeight="1">
      <c r="A21" s="1" t="s">
        <v>1228</v>
      </c>
      <c r="B21" s="1" t="s">
        <v>530</v>
      </c>
      <c r="C21" s="1" t="s">
        <v>99</v>
      </c>
      <c r="D21" s="1" t="s">
        <v>529</v>
      </c>
      <c r="E21" s="1" t="s">
        <v>531</v>
      </c>
      <c r="F21" s="1" t="s">
        <v>194</v>
      </c>
      <c r="G21" s="3" t="str">
        <f>IF(A21="","",IFERROR(INDEX('02-ماتریس الزامات'!$B$8:$B$1007,MATCH(F21,'02-ماتریس الزامات'!$A$8:$A$1007,0)),""))</f>
        <v>QMS</v>
      </c>
      <c r="H21" s="3" t="str">
        <f>IF(A21="","",IFERROR(INDEX('02-ماتریس الزامات'!$D$8:$D$1007,MATCH(F21,'02-ماتریس الزامات'!$A$8:$A$1007,0)),""))</f>
        <v>9.3.2</v>
      </c>
      <c r="I21" s="3" t="str">
        <f>IF(A21="","",IFERROR(INDEX('02-ماتریس الزامات'!$F$8:$F$1007,MATCH(F21,'02-ماتریس الزامات'!$A$8:$A$1007,0)),""))</f>
        <v>تأمین‌کنندگان</v>
      </c>
      <c r="J21" s="1" t="s">
        <v>174</v>
      </c>
      <c r="K21" s="1"/>
      <c r="L21" s="1"/>
      <c r="M21" s="1"/>
      <c r="N21" s="3" t="str">
        <f>IF(A21="","",IF(NOT(AND(COUNTIFS('13-کنترل انطباق'!$A$8:$A$1007,A21)=1,AND(COUNTIFS('17-جلسات و دوره‌ها'!$A$8:$A$1007,B21)=1,IFERROR(INDEX('17-جلسات و دوره‌ها'!$B$8:$B$1007,MATCH(B21,'17-جلسات و دوره‌ها'!$A$8:$A$1007,0)),"")=C21,IFERROR(INDEX('17-جلسات و دوره‌ها'!$C$8:$C$1007,MATCH(B21,'17-جلسات و دوره‌ها'!$A$8:$A$1007,0)),"")=D21),COUNTIFS('02-ماتریس الزامات'!$A$8:$A$1007,F21)=1,COUNTIFS('18-دامنه استانداردها'!$A$8:$A$1007,C21&amp;"|"&amp;G21)=1)),"شناسه یا دامنه نامعتبر",IF(IFERROR(INDEX('18-دامنه استانداردها'!$D$8:$D$1007,MATCH(C21&amp;"|"&amp;G21,'18-دامنه استانداردها'!$A$8:$A$1007,0)),"")="خیر",IF(AND(L21&lt;&gt;"",M21&lt;&gt;"",IFERROR(INDEX('18-دامنه استانداردها'!$H$8:$H$1007,MATCH(C21&amp;"|"&amp;G21,'18-دامنه استانداردها'!$A$8:$A$1007,0)),"")&lt;&gt;"",IFERROR(INDEX('18-دامنه استانداردها'!$I$8:$I$1007,MATCH(C21&amp;"|"&amp;G21,'18-دامنه استانداردها'!$A$8:$A$1007,0)),"")&lt;&gt;""),"عدم کاربرد مستند","عدم کاربرد بدون توجیه"),IF(IFERROR(INDEX('18-دامنه استانداردها'!$D$8:$D$1007,MATCH(C21&amp;"|"&amp;G21,'18-دامنه استانداردها'!$A$8:$A$1007,0)),"")&lt;&gt;"بله","دامنه نامشخص",IF(K21="","بررسی نشده؛ سابقه لازم",IF(NOT(IF(J21="ورودی",AND(COUNTIFS('03-ورودی‌های بازنگری'!$A$8:$A$1007,K21)=1,IFERROR(INDEX('03-ورودی‌های بازنگری'!$D$8:$D$1007,MATCH(K21,'03-ورودی‌های بازنگری'!$A$8:$A$1007,0)),"")=B21,IFERROR(INDEX('03-ورودی‌های بازنگری'!$R$8:$R$1007,MATCH(K21,'03-ورودی‌های بازنگری'!$A$8:$A$1007,0)),"")="معتبر"),IF(J21="تصمیم",AND(COUNTIFS('07-تصمیمات و مصوبات'!$A$8:$A$1007,K21)=1,IFERROR(INDEX('07-تصمیمات و مصوبات'!$B$8:$B$1007,MATCH(K21,'07-تصمیمات و مصوبات'!$A$8:$A$1007,0)),"")=B21,IFERROR(INDEX('07-تصمیمات و مصوبات'!$Z$8:$Z$1007,MATCH(K21,'07-تصمیمات و مصوبات'!$A$8:$A$1007,0)),"")="معتبر",COUNTIFS('15-روابط'!$B$8:$B$1007,K21,'15-روابط'!$C$8:$C$1007,"الزام",'15-روابط'!$D$8:$D$1007,F21,'15-روابط'!$E$8:$E$1007,"رابطه معتبر")&gt;0),IF(J21="نتیجه",AND(COUNTIFS('06-نتایج بازنگری'!$A$8:$A$1007,K21)=1,IFERROR(INDEX('06-نتایج بازنگری'!$D$8:$D$1007,MATCH(K21,'06-نتایج بازنگری'!$A$8:$A$1007,0)),"")=B21,IFERROR(INDEX('06-نتایج بازنگری'!$P$8:$P$1007,MATCH(K21,'06-نتایج بازنگری'!$A$8:$A$1007,0)),"")="معتبر",IFERROR(INDEX('06-نتایج بازنگری'!$F$8:$F$1007,MATCH(K21,'06-نتایج بازنگری'!$A$8:$A$1007,0)),"")=G21),IF(J21="ابلاغ",AND(COUNTIFS('20-ابلاغ نتایج'!$A$8:$A$1007,K21)=1,IFERROR(INDEX('20-ابلاغ نتایج'!$E$8:$E$1007,MATCH(K21,'20-ابلاغ نتایج'!$A$8:$A$1007,0)),"")=B21,IFERROR(INDEX('20-ابلاغ نتایج'!$L$8:$L$1007,MATCH(K21,'20-ابلاغ نتایج'!$A$8:$A$1007,0)),"")="معتبر"),FALSE))))),"سابقه یا شواهد ناقص",IF(IFERROR(INDEX('18-دامنه استانداردها'!$J$8:$J$1007,MATCH(C21&amp;"|"&amp;G21,'18-دامنه استانداردها'!$A$8:$A$1007,0)),"")="تأیید شده","شواهد مرتبط ثبت شد؛ تأیید ممیز لازم",IF(IFERROR(INDEX('18-دامنه استانداردها'!$J$8:$J$1007,MATCH(C21&amp;"|"&amp;G21,'18-دامنه استانداردها'!$A$8:$A$1007,0)),"")="فرضی","پوشش فرضی؛ آموزشی","شواهد حاضر؛ تطبیق نسخه باز"))))))))</f>
        <v>بررسی نشده؛ سابقه لازم</v>
      </c>
      <c r="O21" s="1" t="s">
        <v>1215</v>
      </c>
    </row>
    <row r="22" spans="1:15" ht="36" customHeight="1">
      <c r="A22" s="1" t="s">
        <v>1229</v>
      </c>
      <c r="B22" s="1" t="s">
        <v>83</v>
      </c>
      <c r="C22" s="1" t="s">
        <v>77</v>
      </c>
      <c r="D22" s="1" t="s">
        <v>80</v>
      </c>
      <c r="E22" s="1" t="s">
        <v>379</v>
      </c>
      <c r="F22" s="1" t="s">
        <v>197</v>
      </c>
      <c r="G22" s="3" t="str">
        <f>IF(A22="","",IFERROR(INDEX('02-ماتریس الزامات'!$B$8:$B$1007,MATCH(F22,'02-ماتریس الزامات'!$A$8:$A$1007,0)),""))</f>
        <v>QMS</v>
      </c>
      <c r="H22" s="3" t="str">
        <f>IF(A22="","",IFERROR(INDEX('02-ماتریس الزامات'!$D$8:$D$1007,MATCH(F22,'02-ماتریس الزامات'!$A$8:$A$1007,0)),""))</f>
        <v>9.3.2</v>
      </c>
      <c r="I22" s="3" t="str">
        <f>IF(A22="","",IFERROR(INDEX('02-ماتریس الزامات'!$F$8:$F$1007,MATCH(F22,'02-ماتریس الزامات'!$A$8:$A$1007,0)),""))</f>
        <v>ممیزی‌ها</v>
      </c>
      <c r="J22" s="1" t="s">
        <v>174</v>
      </c>
      <c r="K22" s="1" t="s">
        <v>417</v>
      </c>
      <c r="L22" s="1"/>
      <c r="M22" s="1"/>
      <c r="N22" s="3" t="str">
        <f>IF(A22="","",IF(NOT(AND(COUNTIFS('13-کنترل انطباق'!$A$8:$A$1007,A22)=1,AND(COUNTIFS('17-جلسات و دوره‌ها'!$A$8:$A$1007,B22)=1,IFERROR(INDEX('17-جلسات و دوره‌ها'!$B$8:$B$1007,MATCH(B22,'17-جلسات و دوره‌ها'!$A$8:$A$1007,0)),"")=C22,IFERROR(INDEX('17-جلسات و دوره‌ها'!$C$8:$C$1007,MATCH(B22,'17-جلسات و دوره‌ها'!$A$8:$A$1007,0)),"")=D22),COUNTIFS('02-ماتریس الزامات'!$A$8:$A$1007,F22)=1,COUNTIFS('18-دامنه استانداردها'!$A$8:$A$1007,C22&amp;"|"&amp;G22)=1)),"شناسه یا دامنه نامعتبر",IF(IFERROR(INDEX('18-دامنه استانداردها'!$D$8:$D$1007,MATCH(C22&amp;"|"&amp;G22,'18-دامنه استانداردها'!$A$8:$A$1007,0)),"")="خیر",IF(AND(L22&lt;&gt;"",M22&lt;&gt;"",IFERROR(INDEX('18-دامنه استانداردها'!$H$8:$H$1007,MATCH(C22&amp;"|"&amp;G22,'18-دامنه استانداردها'!$A$8:$A$1007,0)),"")&lt;&gt;"",IFERROR(INDEX('18-دامنه استانداردها'!$I$8:$I$1007,MATCH(C22&amp;"|"&amp;G22,'18-دامنه استانداردها'!$A$8:$A$1007,0)),"")&lt;&gt;""),"عدم کاربرد مستند","عدم کاربرد بدون توجیه"),IF(IFERROR(INDEX('18-دامنه استانداردها'!$D$8:$D$1007,MATCH(C22&amp;"|"&amp;G22,'18-دامنه استانداردها'!$A$8:$A$1007,0)),"")&lt;&gt;"بله","دامنه نامشخص",IF(K22="","بررسی نشده؛ سابقه لازم",IF(NOT(IF(J22="ورودی",AND(COUNTIFS('03-ورودی‌های بازنگری'!$A$8:$A$1007,K22)=1,IFERROR(INDEX('03-ورودی‌های بازنگری'!$D$8:$D$1007,MATCH(K22,'03-ورودی‌های بازنگری'!$A$8:$A$1007,0)),"")=B22,IFERROR(INDEX('03-ورودی‌های بازنگری'!$R$8:$R$1007,MATCH(K22,'03-ورودی‌های بازنگری'!$A$8:$A$1007,0)),"")="معتبر"),IF(J22="تصمیم",AND(COUNTIFS('07-تصمیمات و مصوبات'!$A$8:$A$1007,K22)=1,IFERROR(INDEX('07-تصمیمات و مصوبات'!$B$8:$B$1007,MATCH(K22,'07-تصمیمات و مصوبات'!$A$8:$A$1007,0)),"")=B22,IFERROR(INDEX('07-تصمیمات و مصوبات'!$Z$8:$Z$1007,MATCH(K22,'07-تصمیمات و مصوبات'!$A$8:$A$1007,0)),"")="معتبر",COUNTIFS('15-روابط'!$B$8:$B$1007,K22,'15-روابط'!$C$8:$C$1007,"الزام",'15-روابط'!$D$8:$D$1007,F22,'15-روابط'!$E$8:$E$1007,"رابطه معتبر")&gt;0),IF(J22="نتیجه",AND(COUNTIFS('06-نتایج بازنگری'!$A$8:$A$1007,K22)=1,IFERROR(INDEX('06-نتایج بازنگری'!$D$8:$D$1007,MATCH(K22,'06-نتایج بازنگری'!$A$8:$A$1007,0)),"")=B22,IFERROR(INDEX('06-نتایج بازنگری'!$P$8:$P$1007,MATCH(K22,'06-نتایج بازنگری'!$A$8:$A$1007,0)),"")="معتبر",IFERROR(INDEX('06-نتایج بازنگری'!$F$8:$F$1007,MATCH(K22,'06-نتایج بازنگری'!$A$8:$A$1007,0)),"")=G22),IF(J22="ابلاغ",AND(COUNTIFS('20-ابلاغ نتایج'!$A$8:$A$1007,K22)=1,IFERROR(INDEX('20-ابلاغ نتایج'!$E$8:$E$1007,MATCH(K22,'20-ابلاغ نتایج'!$A$8:$A$1007,0)),"")=B22,IFERROR(INDEX('20-ابلاغ نتایج'!$L$8:$L$1007,MATCH(K22,'20-ابلاغ نتایج'!$A$8:$A$1007,0)),"")="معتبر"),FALSE))))),"سابقه یا شواهد ناقص",IF(IFERROR(INDEX('18-دامنه استانداردها'!$J$8:$J$1007,MATCH(C22&amp;"|"&amp;G22,'18-دامنه استانداردها'!$A$8:$A$1007,0)),"")="تأیید شده","شواهد مرتبط ثبت شد؛ تأیید ممیز لازم",IF(IFERROR(INDEX('18-دامنه استانداردها'!$J$8:$J$1007,MATCH(C22&amp;"|"&amp;G22,'18-دامنه استانداردها'!$A$8:$A$1007,0)),"")="فرضی","پوشش فرضی؛ آموزشی","شواهد حاضر؛ تطبیق نسخه باز"))))))))</f>
        <v>سابقه یا شواهد ناقص</v>
      </c>
      <c r="O22" s="1" t="s">
        <v>1215</v>
      </c>
    </row>
    <row r="23" spans="1:15" ht="36" customHeight="1">
      <c r="A23" s="1" t="s">
        <v>1230</v>
      </c>
      <c r="B23" s="1" t="s">
        <v>530</v>
      </c>
      <c r="C23" s="1" t="s">
        <v>99</v>
      </c>
      <c r="D23" s="1" t="s">
        <v>529</v>
      </c>
      <c r="E23" s="1" t="s">
        <v>531</v>
      </c>
      <c r="F23" s="1" t="s">
        <v>197</v>
      </c>
      <c r="G23" s="3" t="str">
        <f>IF(A23="","",IFERROR(INDEX('02-ماتریس الزامات'!$B$8:$B$1007,MATCH(F23,'02-ماتریس الزامات'!$A$8:$A$1007,0)),""))</f>
        <v>QMS</v>
      </c>
      <c r="H23" s="3" t="str">
        <f>IF(A23="","",IFERROR(INDEX('02-ماتریس الزامات'!$D$8:$D$1007,MATCH(F23,'02-ماتریس الزامات'!$A$8:$A$1007,0)),""))</f>
        <v>9.3.2</v>
      </c>
      <c r="I23" s="3" t="str">
        <f>IF(A23="","",IFERROR(INDEX('02-ماتریس الزامات'!$F$8:$F$1007,MATCH(F23,'02-ماتریس الزامات'!$A$8:$A$1007,0)),""))</f>
        <v>ممیزی‌ها</v>
      </c>
      <c r="J23" s="1" t="s">
        <v>174</v>
      </c>
      <c r="K23" s="1"/>
      <c r="L23" s="1"/>
      <c r="M23" s="1"/>
      <c r="N23" s="3" t="str">
        <f>IF(A23="","",IF(NOT(AND(COUNTIFS('13-کنترل انطباق'!$A$8:$A$1007,A23)=1,AND(COUNTIFS('17-جلسات و دوره‌ها'!$A$8:$A$1007,B23)=1,IFERROR(INDEX('17-جلسات و دوره‌ها'!$B$8:$B$1007,MATCH(B23,'17-جلسات و دوره‌ها'!$A$8:$A$1007,0)),"")=C23,IFERROR(INDEX('17-جلسات و دوره‌ها'!$C$8:$C$1007,MATCH(B23,'17-جلسات و دوره‌ها'!$A$8:$A$1007,0)),"")=D23),COUNTIFS('02-ماتریس الزامات'!$A$8:$A$1007,F23)=1,COUNTIFS('18-دامنه استانداردها'!$A$8:$A$1007,C23&amp;"|"&amp;G23)=1)),"شناسه یا دامنه نامعتبر",IF(IFERROR(INDEX('18-دامنه استانداردها'!$D$8:$D$1007,MATCH(C23&amp;"|"&amp;G23,'18-دامنه استانداردها'!$A$8:$A$1007,0)),"")="خیر",IF(AND(L23&lt;&gt;"",M23&lt;&gt;"",IFERROR(INDEX('18-دامنه استانداردها'!$H$8:$H$1007,MATCH(C23&amp;"|"&amp;G23,'18-دامنه استانداردها'!$A$8:$A$1007,0)),"")&lt;&gt;"",IFERROR(INDEX('18-دامنه استانداردها'!$I$8:$I$1007,MATCH(C23&amp;"|"&amp;G23,'18-دامنه استانداردها'!$A$8:$A$1007,0)),"")&lt;&gt;""),"عدم کاربرد مستند","عدم کاربرد بدون توجیه"),IF(IFERROR(INDEX('18-دامنه استانداردها'!$D$8:$D$1007,MATCH(C23&amp;"|"&amp;G23,'18-دامنه استانداردها'!$A$8:$A$1007,0)),"")&lt;&gt;"بله","دامنه نامشخص",IF(K23="","بررسی نشده؛ سابقه لازم",IF(NOT(IF(J23="ورودی",AND(COUNTIFS('03-ورودی‌های بازنگری'!$A$8:$A$1007,K23)=1,IFERROR(INDEX('03-ورودی‌های بازنگری'!$D$8:$D$1007,MATCH(K23,'03-ورودی‌های بازنگری'!$A$8:$A$1007,0)),"")=B23,IFERROR(INDEX('03-ورودی‌های بازنگری'!$R$8:$R$1007,MATCH(K23,'03-ورودی‌های بازنگری'!$A$8:$A$1007,0)),"")="معتبر"),IF(J23="تصمیم",AND(COUNTIFS('07-تصمیمات و مصوبات'!$A$8:$A$1007,K23)=1,IFERROR(INDEX('07-تصمیمات و مصوبات'!$B$8:$B$1007,MATCH(K23,'07-تصمیمات و مصوبات'!$A$8:$A$1007,0)),"")=B23,IFERROR(INDEX('07-تصمیمات و مصوبات'!$Z$8:$Z$1007,MATCH(K23,'07-تصمیمات و مصوبات'!$A$8:$A$1007,0)),"")="معتبر",COUNTIFS('15-روابط'!$B$8:$B$1007,K23,'15-روابط'!$C$8:$C$1007,"الزام",'15-روابط'!$D$8:$D$1007,F23,'15-روابط'!$E$8:$E$1007,"رابطه معتبر")&gt;0),IF(J23="نتیجه",AND(COUNTIFS('06-نتایج بازنگری'!$A$8:$A$1007,K23)=1,IFERROR(INDEX('06-نتایج بازنگری'!$D$8:$D$1007,MATCH(K23,'06-نتایج بازنگری'!$A$8:$A$1007,0)),"")=B23,IFERROR(INDEX('06-نتایج بازنگری'!$P$8:$P$1007,MATCH(K23,'06-نتایج بازنگری'!$A$8:$A$1007,0)),"")="معتبر",IFERROR(INDEX('06-نتایج بازنگری'!$F$8:$F$1007,MATCH(K23,'06-نتایج بازنگری'!$A$8:$A$1007,0)),"")=G23),IF(J23="ابلاغ",AND(COUNTIFS('20-ابلاغ نتایج'!$A$8:$A$1007,K23)=1,IFERROR(INDEX('20-ابلاغ نتایج'!$E$8:$E$1007,MATCH(K23,'20-ابلاغ نتایج'!$A$8:$A$1007,0)),"")=B23,IFERROR(INDEX('20-ابلاغ نتایج'!$L$8:$L$1007,MATCH(K23,'20-ابلاغ نتایج'!$A$8:$A$1007,0)),"")="معتبر"),FALSE))))),"سابقه یا شواهد ناقص",IF(IFERROR(INDEX('18-دامنه استانداردها'!$J$8:$J$1007,MATCH(C23&amp;"|"&amp;G23,'18-دامنه استانداردها'!$A$8:$A$1007,0)),"")="تأیید شده","شواهد مرتبط ثبت شد؛ تأیید ممیز لازم",IF(IFERROR(INDEX('18-دامنه استانداردها'!$J$8:$J$1007,MATCH(C23&amp;"|"&amp;G23,'18-دامنه استانداردها'!$A$8:$A$1007,0)),"")="فرضی","پوشش فرضی؛ آموزشی","شواهد حاضر؛ تطبیق نسخه باز"))))))))</f>
        <v>بررسی نشده؛ سابقه لازم</v>
      </c>
      <c r="O23" s="1" t="s">
        <v>1215</v>
      </c>
    </row>
    <row r="24" spans="1:15" ht="36" customHeight="1">
      <c r="A24" s="1" t="s">
        <v>1231</v>
      </c>
      <c r="B24" s="1" t="s">
        <v>83</v>
      </c>
      <c r="C24" s="1" t="s">
        <v>77</v>
      </c>
      <c r="D24" s="1" t="s">
        <v>80</v>
      </c>
      <c r="E24" s="1" t="s">
        <v>379</v>
      </c>
      <c r="F24" s="1" t="s">
        <v>200</v>
      </c>
      <c r="G24" s="3" t="str">
        <f>IF(A24="","",IFERROR(INDEX('02-ماتریس الزامات'!$B$8:$B$1007,MATCH(F24,'02-ماتریس الزامات'!$A$8:$A$1007,0)),""))</f>
        <v>QMS</v>
      </c>
      <c r="H24" s="3" t="str">
        <f>IF(A24="","",IFERROR(INDEX('02-ماتریس الزامات'!$D$8:$D$1007,MATCH(F24,'02-ماتریس الزامات'!$A$8:$A$1007,0)),""))</f>
        <v>9.3.2</v>
      </c>
      <c r="I24" s="3" t="str">
        <f>IF(A24="","",IFERROR(INDEX('02-ماتریس الزامات'!$F$8:$F$1007,MATCH(F24,'02-ماتریس الزامات'!$A$8:$A$1007,0)),""))</f>
        <v>عدم‌انطباق و اقدام اصلاحی</v>
      </c>
      <c r="J24" s="1" t="s">
        <v>174</v>
      </c>
      <c r="K24" s="1" t="s">
        <v>427</v>
      </c>
      <c r="L24" s="1"/>
      <c r="M24" s="1"/>
      <c r="N24" s="3" t="str">
        <f>IF(A24="","",IF(NOT(AND(COUNTIFS('13-کنترل انطباق'!$A$8:$A$1007,A24)=1,AND(COUNTIFS('17-جلسات و دوره‌ها'!$A$8:$A$1007,B24)=1,IFERROR(INDEX('17-جلسات و دوره‌ها'!$B$8:$B$1007,MATCH(B24,'17-جلسات و دوره‌ها'!$A$8:$A$1007,0)),"")=C24,IFERROR(INDEX('17-جلسات و دوره‌ها'!$C$8:$C$1007,MATCH(B24,'17-جلسات و دوره‌ها'!$A$8:$A$1007,0)),"")=D24),COUNTIFS('02-ماتریس الزامات'!$A$8:$A$1007,F24)=1,COUNTIFS('18-دامنه استانداردها'!$A$8:$A$1007,C24&amp;"|"&amp;G24)=1)),"شناسه یا دامنه نامعتبر",IF(IFERROR(INDEX('18-دامنه استانداردها'!$D$8:$D$1007,MATCH(C24&amp;"|"&amp;G24,'18-دامنه استانداردها'!$A$8:$A$1007,0)),"")="خیر",IF(AND(L24&lt;&gt;"",M24&lt;&gt;"",IFERROR(INDEX('18-دامنه استانداردها'!$H$8:$H$1007,MATCH(C24&amp;"|"&amp;G24,'18-دامنه استانداردها'!$A$8:$A$1007,0)),"")&lt;&gt;"",IFERROR(INDEX('18-دامنه استانداردها'!$I$8:$I$1007,MATCH(C24&amp;"|"&amp;G24,'18-دامنه استانداردها'!$A$8:$A$1007,0)),"")&lt;&gt;""),"عدم کاربرد مستند","عدم کاربرد بدون توجیه"),IF(IFERROR(INDEX('18-دامنه استانداردها'!$D$8:$D$1007,MATCH(C24&amp;"|"&amp;G24,'18-دامنه استانداردها'!$A$8:$A$1007,0)),"")&lt;&gt;"بله","دامنه نامشخص",IF(K24="","بررسی نشده؛ سابقه لازم",IF(NOT(IF(J24="ورودی",AND(COUNTIFS('03-ورودی‌های بازنگری'!$A$8:$A$1007,K24)=1,IFERROR(INDEX('03-ورودی‌های بازنگری'!$D$8:$D$1007,MATCH(K24,'03-ورودی‌های بازنگری'!$A$8:$A$1007,0)),"")=B24,IFERROR(INDEX('03-ورودی‌های بازنگری'!$R$8:$R$1007,MATCH(K24,'03-ورودی‌های بازنگری'!$A$8:$A$1007,0)),"")="معتبر"),IF(J24="تصمیم",AND(COUNTIFS('07-تصمیمات و مصوبات'!$A$8:$A$1007,K24)=1,IFERROR(INDEX('07-تصمیمات و مصوبات'!$B$8:$B$1007,MATCH(K24,'07-تصمیمات و مصوبات'!$A$8:$A$1007,0)),"")=B24,IFERROR(INDEX('07-تصمیمات و مصوبات'!$Z$8:$Z$1007,MATCH(K24,'07-تصمیمات و مصوبات'!$A$8:$A$1007,0)),"")="معتبر",COUNTIFS('15-روابط'!$B$8:$B$1007,K24,'15-روابط'!$C$8:$C$1007,"الزام",'15-روابط'!$D$8:$D$1007,F24,'15-روابط'!$E$8:$E$1007,"رابطه معتبر")&gt;0),IF(J24="نتیجه",AND(COUNTIFS('06-نتایج بازنگری'!$A$8:$A$1007,K24)=1,IFERROR(INDEX('06-نتایج بازنگری'!$D$8:$D$1007,MATCH(K24,'06-نتایج بازنگری'!$A$8:$A$1007,0)),"")=B24,IFERROR(INDEX('06-نتایج بازنگری'!$P$8:$P$1007,MATCH(K24,'06-نتایج بازنگری'!$A$8:$A$1007,0)),"")="معتبر",IFERROR(INDEX('06-نتایج بازنگری'!$F$8:$F$1007,MATCH(K24,'06-نتایج بازنگری'!$A$8:$A$1007,0)),"")=G24),IF(J24="ابلاغ",AND(COUNTIFS('20-ابلاغ نتایج'!$A$8:$A$1007,K24)=1,IFERROR(INDEX('20-ابلاغ نتایج'!$E$8:$E$1007,MATCH(K24,'20-ابلاغ نتایج'!$A$8:$A$1007,0)),"")=B24,IFERROR(INDEX('20-ابلاغ نتایج'!$L$8:$L$1007,MATCH(K24,'20-ابلاغ نتایج'!$A$8:$A$1007,0)),"")="معتبر"),FALSE))))),"سابقه یا شواهد ناقص",IF(IFERROR(INDEX('18-دامنه استانداردها'!$J$8:$J$1007,MATCH(C24&amp;"|"&amp;G24,'18-دامنه استانداردها'!$A$8:$A$1007,0)),"")="تأیید شده","شواهد مرتبط ثبت شد؛ تأیید ممیز لازم",IF(IFERROR(INDEX('18-دامنه استانداردها'!$J$8:$J$1007,MATCH(C24&amp;"|"&amp;G24,'18-دامنه استانداردها'!$A$8:$A$1007,0)),"")="فرضی","پوشش فرضی؛ آموزشی","شواهد حاضر؛ تطبیق نسخه باز"))))))))</f>
        <v>سابقه یا شواهد ناقص</v>
      </c>
      <c r="O24" s="1" t="s">
        <v>1215</v>
      </c>
    </row>
    <row r="25" spans="1:15" ht="36" customHeight="1">
      <c r="A25" s="1" t="s">
        <v>1232</v>
      </c>
      <c r="B25" s="1" t="s">
        <v>530</v>
      </c>
      <c r="C25" s="1" t="s">
        <v>99</v>
      </c>
      <c r="D25" s="1" t="s">
        <v>529</v>
      </c>
      <c r="E25" s="1" t="s">
        <v>531</v>
      </c>
      <c r="F25" s="1" t="s">
        <v>200</v>
      </c>
      <c r="G25" s="3" t="str">
        <f>IF(A25="","",IFERROR(INDEX('02-ماتریس الزامات'!$B$8:$B$1007,MATCH(F25,'02-ماتریس الزامات'!$A$8:$A$1007,0)),""))</f>
        <v>QMS</v>
      </c>
      <c r="H25" s="3" t="str">
        <f>IF(A25="","",IFERROR(INDEX('02-ماتریس الزامات'!$D$8:$D$1007,MATCH(F25,'02-ماتریس الزامات'!$A$8:$A$1007,0)),""))</f>
        <v>9.3.2</v>
      </c>
      <c r="I25" s="3" t="str">
        <f>IF(A25="","",IFERROR(INDEX('02-ماتریس الزامات'!$F$8:$F$1007,MATCH(F25,'02-ماتریس الزامات'!$A$8:$A$1007,0)),""))</f>
        <v>عدم‌انطباق و اقدام اصلاحی</v>
      </c>
      <c r="J25" s="1" t="s">
        <v>174</v>
      </c>
      <c r="K25" s="1"/>
      <c r="L25" s="1"/>
      <c r="M25" s="1"/>
      <c r="N25" s="3" t="str">
        <f>IF(A25="","",IF(NOT(AND(COUNTIFS('13-کنترل انطباق'!$A$8:$A$1007,A25)=1,AND(COUNTIFS('17-جلسات و دوره‌ها'!$A$8:$A$1007,B25)=1,IFERROR(INDEX('17-جلسات و دوره‌ها'!$B$8:$B$1007,MATCH(B25,'17-جلسات و دوره‌ها'!$A$8:$A$1007,0)),"")=C25,IFERROR(INDEX('17-جلسات و دوره‌ها'!$C$8:$C$1007,MATCH(B25,'17-جلسات و دوره‌ها'!$A$8:$A$1007,0)),"")=D25),COUNTIFS('02-ماتریس الزامات'!$A$8:$A$1007,F25)=1,COUNTIFS('18-دامنه استانداردها'!$A$8:$A$1007,C25&amp;"|"&amp;G25)=1)),"شناسه یا دامنه نامعتبر",IF(IFERROR(INDEX('18-دامنه استانداردها'!$D$8:$D$1007,MATCH(C25&amp;"|"&amp;G25,'18-دامنه استانداردها'!$A$8:$A$1007,0)),"")="خیر",IF(AND(L25&lt;&gt;"",M25&lt;&gt;"",IFERROR(INDEX('18-دامنه استانداردها'!$H$8:$H$1007,MATCH(C25&amp;"|"&amp;G25,'18-دامنه استانداردها'!$A$8:$A$1007,0)),"")&lt;&gt;"",IFERROR(INDEX('18-دامنه استانداردها'!$I$8:$I$1007,MATCH(C25&amp;"|"&amp;G25,'18-دامنه استانداردها'!$A$8:$A$1007,0)),"")&lt;&gt;""),"عدم کاربرد مستند","عدم کاربرد بدون توجیه"),IF(IFERROR(INDEX('18-دامنه استانداردها'!$D$8:$D$1007,MATCH(C25&amp;"|"&amp;G25,'18-دامنه استانداردها'!$A$8:$A$1007,0)),"")&lt;&gt;"بله","دامنه نامشخص",IF(K25="","بررسی نشده؛ سابقه لازم",IF(NOT(IF(J25="ورودی",AND(COUNTIFS('03-ورودی‌های بازنگری'!$A$8:$A$1007,K25)=1,IFERROR(INDEX('03-ورودی‌های بازنگری'!$D$8:$D$1007,MATCH(K25,'03-ورودی‌های بازنگری'!$A$8:$A$1007,0)),"")=B25,IFERROR(INDEX('03-ورودی‌های بازنگری'!$R$8:$R$1007,MATCH(K25,'03-ورودی‌های بازنگری'!$A$8:$A$1007,0)),"")="معتبر"),IF(J25="تصمیم",AND(COUNTIFS('07-تصمیمات و مصوبات'!$A$8:$A$1007,K25)=1,IFERROR(INDEX('07-تصمیمات و مصوبات'!$B$8:$B$1007,MATCH(K25,'07-تصمیمات و مصوبات'!$A$8:$A$1007,0)),"")=B25,IFERROR(INDEX('07-تصمیمات و مصوبات'!$Z$8:$Z$1007,MATCH(K25,'07-تصمیمات و مصوبات'!$A$8:$A$1007,0)),"")="معتبر",COUNTIFS('15-روابط'!$B$8:$B$1007,K25,'15-روابط'!$C$8:$C$1007,"الزام",'15-روابط'!$D$8:$D$1007,F25,'15-روابط'!$E$8:$E$1007,"رابطه معتبر")&gt;0),IF(J25="نتیجه",AND(COUNTIFS('06-نتایج بازنگری'!$A$8:$A$1007,K25)=1,IFERROR(INDEX('06-نتایج بازنگری'!$D$8:$D$1007,MATCH(K25,'06-نتایج بازنگری'!$A$8:$A$1007,0)),"")=B25,IFERROR(INDEX('06-نتایج بازنگری'!$P$8:$P$1007,MATCH(K25,'06-نتایج بازنگری'!$A$8:$A$1007,0)),"")="معتبر",IFERROR(INDEX('06-نتایج بازنگری'!$F$8:$F$1007,MATCH(K25,'06-نتایج بازنگری'!$A$8:$A$1007,0)),"")=G25),IF(J25="ابلاغ",AND(COUNTIFS('20-ابلاغ نتایج'!$A$8:$A$1007,K25)=1,IFERROR(INDEX('20-ابلاغ نتایج'!$E$8:$E$1007,MATCH(K25,'20-ابلاغ نتایج'!$A$8:$A$1007,0)),"")=B25,IFERROR(INDEX('20-ابلاغ نتایج'!$L$8:$L$1007,MATCH(K25,'20-ابلاغ نتایج'!$A$8:$A$1007,0)),"")="معتبر"),FALSE))))),"سابقه یا شواهد ناقص",IF(IFERROR(INDEX('18-دامنه استانداردها'!$J$8:$J$1007,MATCH(C25&amp;"|"&amp;G25,'18-دامنه استانداردها'!$A$8:$A$1007,0)),"")="تأیید شده","شواهد مرتبط ثبت شد؛ تأیید ممیز لازم",IF(IFERROR(INDEX('18-دامنه استانداردها'!$J$8:$J$1007,MATCH(C25&amp;"|"&amp;G25,'18-دامنه استانداردها'!$A$8:$A$1007,0)),"")="فرضی","پوشش فرضی؛ آموزشی","شواهد حاضر؛ تطبیق نسخه باز"))))))))</f>
        <v>بررسی نشده؛ سابقه لازم</v>
      </c>
      <c r="O25" s="1" t="s">
        <v>1215</v>
      </c>
    </row>
    <row r="26" spans="1:15" ht="36" customHeight="1">
      <c r="A26" s="1" t="s">
        <v>1233</v>
      </c>
      <c r="B26" s="1" t="s">
        <v>83</v>
      </c>
      <c r="C26" s="1" t="s">
        <v>77</v>
      </c>
      <c r="D26" s="1" t="s">
        <v>80</v>
      </c>
      <c r="E26" s="1" t="s">
        <v>379</v>
      </c>
      <c r="F26" s="1" t="s">
        <v>203</v>
      </c>
      <c r="G26" s="3" t="str">
        <f>IF(A26="","",IFERROR(INDEX('02-ماتریس الزامات'!$B$8:$B$1007,MATCH(F26,'02-ماتریس الزامات'!$A$8:$A$1007,0)),""))</f>
        <v>QMS</v>
      </c>
      <c r="H26" s="3" t="str">
        <f>IF(A26="","",IFERROR(INDEX('02-ماتریس الزامات'!$D$8:$D$1007,MATCH(F26,'02-ماتریس الزامات'!$A$8:$A$1007,0)),""))</f>
        <v>9.3.2</v>
      </c>
      <c r="I26" s="3" t="str">
        <f>IF(A26="","",IFERROR(INDEX('02-ماتریس الزامات'!$F$8:$F$1007,MATCH(F26,'02-ماتریس الزامات'!$A$8:$A$1007,0)),""))</f>
        <v>پایش و اندازه‌گیری</v>
      </c>
      <c r="J26" s="1" t="s">
        <v>174</v>
      </c>
      <c r="K26" s="1" t="s">
        <v>437</v>
      </c>
      <c r="L26" s="1"/>
      <c r="M26" s="1"/>
      <c r="N26" s="3" t="str">
        <f>IF(A26="","",IF(NOT(AND(COUNTIFS('13-کنترل انطباق'!$A$8:$A$1007,A26)=1,AND(COUNTIFS('17-جلسات و دوره‌ها'!$A$8:$A$1007,B26)=1,IFERROR(INDEX('17-جلسات و دوره‌ها'!$B$8:$B$1007,MATCH(B26,'17-جلسات و دوره‌ها'!$A$8:$A$1007,0)),"")=C26,IFERROR(INDEX('17-جلسات و دوره‌ها'!$C$8:$C$1007,MATCH(B26,'17-جلسات و دوره‌ها'!$A$8:$A$1007,0)),"")=D26),COUNTIFS('02-ماتریس الزامات'!$A$8:$A$1007,F26)=1,COUNTIFS('18-دامنه استانداردها'!$A$8:$A$1007,C26&amp;"|"&amp;G26)=1)),"شناسه یا دامنه نامعتبر",IF(IFERROR(INDEX('18-دامنه استانداردها'!$D$8:$D$1007,MATCH(C26&amp;"|"&amp;G26,'18-دامنه استانداردها'!$A$8:$A$1007,0)),"")="خیر",IF(AND(L26&lt;&gt;"",M26&lt;&gt;"",IFERROR(INDEX('18-دامنه استانداردها'!$H$8:$H$1007,MATCH(C26&amp;"|"&amp;G26,'18-دامنه استانداردها'!$A$8:$A$1007,0)),"")&lt;&gt;"",IFERROR(INDEX('18-دامنه استانداردها'!$I$8:$I$1007,MATCH(C26&amp;"|"&amp;G26,'18-دامنه استانداردها'!$A$8:$A$1007,0)),"")&lt;&gt;""),"عدم کاربرد مستند","عدم کاربرد بدون توجیه"),IF(IFERROR(INDEX('18-دامنه استانداردها'!$D$8:$D$1007,MATCH(C26&amp;"|"&amp;G26,'18-دامنه استانداردها'!$A$8:$A$1007,0)),"")&lt;&gt;"بله","دامنه نامشخص",IF(K26="","بررسی نشده؛ سابقه لازم",IF(NOT(IF(J26="ورودی",AND(COUNTIFS('03-ورودی‌های بازنگری'!$A$8:$A$1007,K26)=1,IFERROR(INDEX('03-ورودی‌های بازنگری'!$D$8:$D$1007,MATCH(K26,'03-ورودی‌های بازنگری'!$A$8:$A$1007,0)),"")=B26,IFERROR(INDEX('03-ورودی‌های بازنگری'!$R$8:$R$1007,MATCH(K26,'03-ورودی‌های بازنگری'!$A$8:$A$1007,0)),"")="معتبر"),IF(J26="تصمیم",AND(COUNTIFS('07-تصمیمات و مصوبات'!$A$8:$A$1007,K26)=1,IFERROR(INDEX('07-تصمیمات و مصوبات'!$B$8:$B$1007,MATCH(K26,'07-تصمیمات و مصوبات'!$A$8:$A$1007,0)),"")=B26,IFERROR(INDEX('07-تصمیمات و مصوبات'!$Z$8:$Z$1007,MATCH(K26,'07-تصمیمات و مصوبات'!$A$8:$A$1007,0)),"")="معتبر",COUNTIFS('15-روابط'!$B$8:$B$1007,K26,'15-روابط'!$C$8:$C$1007,"الزام",'15-روابط'!$D$8:$D$1007,F26,'15-روابط'!$E$8:$E$1007,"رابطه معتبر")&gt;0),IF(J26="نتیجه",AND(COUNTIFS('06-نتایج بازنگری'!$A$8:$A$1007,K26)=1,IFERROR(INDEX('06-نتایج بازنگری'!$D$8:$D$1007,MATCH(K26,'06-نتایج بازنگری'!$A$8:$A$1007,0)),"")=B26,IFERROR(INDEX('06-نتایج بازنگری'!$P$8:$P$1007,MATCH(K26,'06-نتایج بازنگری'!$A$8:$A$1007,0)),"")="معتبر",IFERROR(INDEX('06-نتایج بازنگری'!$F$8:$F$1007,MATCH(K26,'06-نتایج بازنگری'!$A$8:$A$1007,0)),"")=G26),IF(J26="ابلاغ",AND(COUNTIFS('20-ابلاغ نتایج'!$A$8:$A$1007,K26)=1,IFERROR(INDEX('20-ابلاغ نتایج'!$E$8:$E$1007,MATCH(K26,'20-ابلاغ نتایج'!$A$8:$A$1007,0)),"")=B26,IFERROR(INDEX('20-ابلاغ نتایج'!$L$8:$L$1007,MATCH(K26,'20-ابلاغ نتایج'!$A$8:$A$1007,0)),"")="معتبر"),FALSE))))),"سابقه یا شواهد ناقص",IF(IFERROR(INDEX('18-دامنه استانداردها'!$J$8:$J$1007,MATCH(C26&amp;"|"&amp;G26,'18-دامنه استانداردها'!$A$8:$A$1007,0)),"")="تأیید شده","شواهد مرتبط ثبت شد؛ تأیید ممیز لازم",IF(IFERROR(INDEX('18-دامنه استانداردها'!$J$8:$J$1007,MATCH(C26&amp;"|"&amp;G26,'18-دامنه استانداردها'!$A$8:$A$1007,0)),"")="فرضی","پوشش فرضی؛ آموزشی","شواهد حاضر؛ تطبیق نسخه باز"))))))))</f>
        <v>سابقه یا شواهد ناقص</v>
      </c>
      <c r="O26" s="1" t="s">
        <v>1215</v>
      </c>
    </row>
    <row r="27" spans="1:15" ht="36" customHeight="1">
      <c r="A27" s="1" t="s">
        <v>1234</v>
      </c>
      <c r="B27" s="1" t="s">
        <v>530</v>
      </c>
      <c r="C27" s="1" t="s">
        <v>99</v>
      </c>
      <c r="D27" s="1" t="s">
        <v>529</v>
      </c>
      <c r="E27" s="1" t="s">
        <v>531</v>
      </c>
      <c r="F27" s="1" t="s">
        <v>203</v>
      </c>
      <c r="G27" s="3" t="str">
        <f>IF(A27="","",IFERROR(INDEX('02-ماتریس الزامات'!$B$8:$B$1007,MATCH(F27,'02-ماتریس الزامات'!$A$8:$A$1007,0)),""))</f>
        <v>QMS</v>
      </c>
      <c r="H27" s="3" t="str">
        <f>IF(A27="","",IFERROR(INDEX('02-ماتریس الزامات'!$D$8:$D$1007,MATCH(F27,'02-ماتریس الزامات'!$A$8:$A$1007,0)),""))</f>
        <v>9.3.2</v>
      </c>
      <c r="I27" s="3" t="str">
        <f>IF(A27="","",IFERROR(INDEX('02-ماتریس الزامات'!$F$8:$F$1007,MATCH(F27,'02-ماتریس الزامات'!$A$8:$A$1007,0)),""))</f>
        <v>پایش و اندازه‌گیری</v>
      </c>
      <c r="J27" s="1" t="s">
        <v>174</v>
      </c>
      <c r="K27" s="1"/>
      <c r="L27" s="1"/>
      <c r="M27" s="1"/>
      <c r="N27" s="3" t="str">
        <f>IF(A27="","",IF(NOT(AND(COUNTIFS('13-کنترل انطباق'!$A$8:$A$1007,A27)=1,AND(COUNTIFS('17-جلسات و دوره‌ها'!$A$8:$A$1007,B27)=1,IFERROR(INDEX('17-جلسات و دوره‌ها'!$B$8:$B$1007,MATCH(B27,'17-جلسات و دوره‌ها'!$A$8:$A$1007,0)),"")=C27,IFERROR(INDEX('17-جلسات و دوره‌ها'!$C$8:$C$1007,MATCH(B27,'17-جلسات و دوره‌ها'!$A$8:$A$1007,0)),"")=D27),COUNTIFS('02-ماتریس الزامات'!$A$8:$A$1007,F27)=1,COUNTIFS('18-دامنه استانداردها'!$A$8:$A$1007,C27&amp;"|"&amp;G27)=1)),"شناسه یا دامنه نامعتبر",IF(IFERROR(INDEX('18-دامنه استانداردها'!$D$8:$D$1007,MATCH(C27&amp;"|"&amp;G27,'18-دامنه استانداردها'!$A$8:$A$1007,0)),"")="خیر",IF(AND(L27&lt;&gt;"",M27&lt;&gt;"",IFERROR(INDEX('18-دامنه استانداردها'!$H$8:$H$1007,MATCH(C27&amp;"|"&amp;G27,'18-دامنه استانداردها'!$A$8:$A$1007,0)),"")&lt;&gt;"",IFERROR(INDEX('18-دامنه استانداردها'!$I$8:$I$1007,MATCH(C27&amp;"|"&amp;G27,'18-دامنه استانداردها'!$A$8:$A$1007,0)),"")&lt;&gt;""),"عدم کاربرد مستند","عدم کاربرد بدون توجیه"),IF(IFERROR(INDEX('18-دامنه استانداردها'!$D$8:$D$1007,MATCH(C27&amp;"|"&amp;G27,'18-دامنه استانداردها'!$A$8:$A$1007,0)),"")&lt;&gt;"بله","دامنه نامشخص",IF(K27="","بررسی نشده؛ سابقه لازم",IF(NOT(IF(J27="ورودی",AND(COUNTIFS('03-ورودی‌های بازنگری'!$A$8:$A$1007,K27)=1,IFERROR(INDEX('03-ورودی‌های بازنگری'!$D$8:$D$1007,MATCH(K27,'03-ورودی‌های بازنگری'!$A$8:$A$1007,0)),"")=B27,IFERROR(INDEX('03-ورودی‌های بازنگری'!$R$8:$R$1007,MATCH(K27,'03-ورودی‌های بازنگری'!$A$8:$A$1007,0)),"")="معتبر"),IF(J27="تصمیم",AND(COUNTIFS('07-تصمیمات و مصوبات'!$A$8:$A$1007,K27)=1,IFERROR(INDEX('07-تصمیمات و مصوبات'!$B$8:$B$1007,MATCH(K27,'07-تصمیمات و مصوبات'!$A$8:$A$1007,0)),"")=B27,IFERROR(INDEX('07-تصمیمات و مصوبات'!$Z$8:$Z$1007,MATCH(K27,'07-تصمیمات و مصوبات'!$A$8:$A$1007,0)),"")="معتبر",COUNTIFS('15-روابط'!$B$8:$B$1007,K27,'15-روابط'!$C$8:$C$1007,"الزام",'15-روابط'!$D$8:$D$1007,F27,'15-روابط'!$E$8:$E$1007,"رابطه معتبر")&gt;0),IF(J27="نتیجه",AND(COUNTIFS('06-نتایج بازنگری'!$A$8:$A$1007,K27)=1,IFERROR(INDEX('06-نتایج بازنگری'!$D$8:$D$1007,MATCH(K27,'06-نتایج بازنگری'!$A$8:$A$1007,0)),"")=B27,IFERROR(INDEX('06-نتایج بازنگری'!$P$8:$P$1007,MATCH(K27,'06-نتایج بازنگری'!$A$8:$A$1007,0)),"")="معتبر",IFERROR(INDEX('06-نتایج بازنگری'!$F$8:$F$1007,MATCH(K27,'06-نتایج بازنگری'!$A$8:$A$1007,0)),"")=G27),IF(J27="ابلاغ",AND(COUNTIFS('20-ابلاغ نتایج'!$A$8:$A$1007,K27)=1,IFERROR(INDEX('20-ابلاغ نتایج'!$E$8:$E$1007,MATCH(K27,'20-ابلاغ نتایج'!$A$8:$A$1007,0)),"")=B27,IFERROR(INDEX('20-ابلاغ نتایج'!$L$8:$L$1007,MATCH(K27,'20-ابلاغ نتایج'!$A$8:$A$1007,0)),"")="معتبر"),FALSE))))),"سابقه یا شواهد ناقص",IF(IFERROR(INDEX('18-دامنه استانداردها'!$J$8:$J$1007,MATCH(C27&amp;"|"&amp;G27,'18-دامنه استانداردها'!$A$8:$A$1007,0)),"")="تأیید شده","شواهد مرتبط ثبت شد؛ تأیید ممیز لازم",IF(IFERROR(INDEX('18-دامنه استانداردها'!$J$8:$J$1007,MATCH(C27&amp;"|"&amp;G27,'18-دامنه استانداردها'!$A$8:$A$1007,0)),"")="فرضی","پوشش فرضی؛ آموزشی","شواهد حاضر؛ تطبیق نسخه باز"))))))))</f>
        <v>بررسی نشده؛ سابقه لازم</v>
      </c>
      <c r="O27" s="1" t="s">
        <v>1215</v>
      </c>
    </row>
    <row r="28" spans="1:15" ht="36" customHeight="1">
      <c r="A28" s="1" t="s">
        <v>1235</v>
      </c>
      <c r="B28" s="1" t="s">
        <v>83</v>
      </c>
      <c r="C28" s="1" t="s">
        <v>77</v>
      </c>
      <c r="D28" s="1" t="s">
        <v>80</v>
      </c>
      <c r="E28" s="1" t="s">
        <v>379</v>
      </c>
      <c r="F28" s="1" t="s">
        <v>206</v>
      </c>
      <c r="G28" s="3" t="str">
        <f>IF(A28="","",IFERROR(INDEX('02-ماتریس الزامات'!$B$8:$B$1007,MATCH(F28,'02-ماتریس الزامات'!$A$8:$A$1007,0)),""))</f>
        <v>QMS</v>
      </c>
      <c r="H28" s="3" t="str">
        <f>IF(A28="","",IFERROR(INDEX('02-ماتریس الزامات'!$D$8:$D$1007,MATCH(F28,'02-ماتریس الزامات'!$A$8:$A$1007,0)),""))</f>
        <v>9.3.2</v>
      </c>
      <c r="I28" s="3" t="str">
        <f>IF(A28="","",IFERROR(INDEX('02-ماتریس الزامات'!$F$8:$F$1007,MATCH(F28,'02-ماتریس الزامات'!$A$8:$A$1007,0)),""))</f>
        <v>کفایت منابع</v>
      </c>
      <c r="J28" s="1" t="s">
        <v>174</v>
      </c>
      <c r="K28" s="1" t="s">
        <v>462</v>
      </c>
      <c r="L28" s="1"/>
      <c r="M28" s="1"/>
      <c r="N28" s="3" t="str">
        <f>IF(A28="","",IF(NOT(AND(COUNTIFS('13-کنترل انطباق'!$A$8:$A$1007,A28)=1,AND(COUNTIFS('17-جلسات و دوره‌ها'!$A$8:$A$1007,B28)=1,IFERROR(INDEX('17-جلسات و دوره‌ها'!$B$8:$B$1007,MATCH(B28,'17-جلسات و دوره‌ها'!$A$8:$A$1007,0)),"")=C28,IFERROR(INDEX('17-جلسات و دوره‌ها'!$C$8:$C$1007,MATCH(B28,'17-جلسات و دوره‌ها'!$A$8:$A$1007,0)),"")=D28),COUNTIFS('02-ماتریس الزامات'!$A$8:$A$1007,F28)=1,COUNTIFS('18-دامنه استانداردها'!$A$8:$A$1007,C28&amp;"|"&amp;G28)=1)),"شناسه یا دامنه نامعتبر",IF(IFERROR(INDEX('18-دامنه استانداردها'!$D$8:$D$1007,MATCH(C28&amp;"|"&amp;G28,'18-دامنه استانداردها'!$A$8:$A$1007,0)),"")="خیر",IF(AND(L28&lt;&gt;"",M28&lt;&gt;"",IFERROR(INDEX('18-دامنه استانداردها'!$H$8:$H$1007,MATCH(C28&amp;"|"&amp;G28,'18-دامنه استانداردها'!$A$8:$A$1007,0)),"")&lt;&gt;"",IFERROR(INDEX('18-دامنه استانداردها'!$I$8:$I$1007,MATCH(C28&amp;"|"&amp;G28,'18-دامنه استانداردها'!$A$8:$A$1007,0)),"")&lt;&gt;""),"عدم کاربرد مستند","عدم کاربرد بدون توجیه"),IF(IFERROR(INDEX('18-دامنه استانداردها'!$D$8:$D$1007,MATCH(C28&amp;"|"&amp;G28,'18-دامنه استانداردها'!$A$8:$A$1007,0)),"")&lt;&gt;"بله","دامنه نامشخص",IF(K28="","بررسی نشده؛ سابقه لازم",IF(NOT(IF(J28="ورودی",AND(COUNTIFS('03-ورودی‌های بازنگری'!$A$8:$A$1007,K28)=1,IFERROR(INDEX('03-ورودی‌های بازنگری'!$D$8:$D$1007,MATCH(K28,'03-ورودی‌های بازنگری'!$A$8:$A$1007,0)),"")=B28,IFERROR(INDEX('03-ورودی‌های بازنگری'!$R$8:$R$1007,MATCH(K28,'03-ورودی‌های بازنگری'!$A$8:$A$1007,0)),"")="معتبر"),IF(J28="تصمیم",AND(COUNTIFS('07-تصمیمات و مصوبات'!$A$8:$A$1007,K28)=1,IFERROR(INDEX('07-تصمیمات و مصوبات'!$B$8:$B$1007,MATCH(K28,'07-تصمیمات و مصوبات'!$A$8:$A$1007,0)),"")=B28,IFERROR(INDEX('07-تصمیمات و مصوبات'!$Z$8:$Z$1007,MATCH(K28,'07-تصمیمات و مصوبات'!$A$8:$A$1007,0)),"")="معتبر",COUNTIFS('15-روابط'!$B$8:$B$1007,K28,'15-روابط'!$C$8:$C$1007,"الزام",'15-روابط'!$D$8:$D$1007,F28,'15-روابط'!$E$8:$E$1007,"رابطه معتبر")&gt;0),IF(J28="نتیجه",AND(COUNTIFS('06-نتایج بازنگری'!$A$8:$A$1007,K28)=1,IFERROR(INDEX('06-نتایج بازنگری'!$D$8:$D$1007,MATCH(K28,'06-نتایج بازنگری'!$A$8:$A$1007,0)),"")=B28,IFERROR(INDEX('06-نتایج بازنگری'!$P$8:$P$1007,MATCH(K28,'06-نتایج بازنگری'!$A$8:$A$1007,0)),"")="معتبر",IFERROR(INDEX('06-نتایج بازنگری'!$F$8:$F$1007,MATCH(K28,'06-نتایج بازنگری'!$A$8:$A$1007,0)),"")=G28),IF(J28="ابلاغ",AND(COUNTIFS('20-ابلاغ نتایج'!$A$8:$A$1007,K28)=1,IFERROR(INDEX('20-ابلاغ نتایج'!$E$8:$E$1007,MATCH(K28,'20-ابلاغ نتایج'!$A$8:$A$1007,0)),"")=B28,IFERROR(INDEX('20-ابلاغ نتایج'!$L$8:$L$1007,MATCH(K28,'20-ابلاغ نتایج'!$A$8:$A$1007,0)),"")="معتبر"),FALSE))))),"سابقه یا شواهد ناقص",IF(IFERROR(INDEX('18-دامنه استانداردها'!$J$8:$J$1007,MATCH(C28&amp;"|"&amp;G28,'18-دامنه استانداردها'!$A$8:$A$1007,0)),"")="تأیید شده","شواهد مرتبط ثبت شد؛ تأیید ممیز لازم",IF(IFERROR(INDEX('18-دامنه استانداردها'!$J$8:$J$1007,MATCH(C28&amp;"|"&amp;G28,'18-دامنه استانداردها'!$A$8:$A$1007,0)),"")="فرضی","پوشش فرضی؛ آموزشی","شواهد حاضر؛ تطبیق نسخه باز"))))))))</f>
        <v>سابقه یا شواهد ناقص</v>
      </c>
      <c r="O28" s="1" t="s">
        <v>1215</v>
      </c>
    </row>
    <row r="29" spans="1:15" ht="36" customHeight="1">
      <c r="A29" s="1" t="s">
        <v>1236</v>
      </c>
      <c r="B29" s="1" t="s">
        <v>530</v>
      </c>
      <c r="C29" s="1" t="s">
        <v>99</v>
      </c>
      <c r="D29" s="1" t="s">
        <v>529</v>
      </c>
      <c r="E29" s="1" t="s">
        <v>531</v>
      </c>
      <c r="F29" s="1" t="s">
        <v>206</v>
      </c>
      <c r="G29" s="3" t="str">
        <f>IF(A29="","",IFERROR(INDEX('02-ماتریس الزامات'!$B$8:$B$1007,MATCH(F29,'02-ماتریس الزامات'!$A$8:$A$1007,0)),""))</f>
        <v>QMS</v>
      </c>
      <c r="H29" s="3" t="str">
        <f>IF(A29="","",IFERROR(INDEX('02-ماتریس الزامات'!$D$8:$D$1007,MATCH(F29,'02-ماتریس الزامات'!$A$8:$A$1007,0)),""))</f>
        <v>9.3.2</v>
      </c>
      <c r="I29" s="3" t="str">
        <f>IF(A29="","",IFERROR(INDEX('02-ماتریس الزامات'!$F$8:$F$1007,MATCH(F29,'02-ماتریس الزامات'!$A$8:$A$1007,0)),""))</f>
        <v>کفایت منابع</v>
      </c>
      <c r="J29" s="1" t="s">
        <v>174</v>
      </c>
      <c r="K29" s="1"/>
      <c r="L29" s="1"/>
      <c r="M29" s="1"/>
      <c r="N29" s="3" t="str">
        <f>IF(A29="","",IF(NOT(AND(COUNTIFS('13-کنترل انطباق'!$A$8:$A$1007,A29)=1,AND(COUNTIFS('17-جلسات و دوره‌ها'!$A$8:$A$1007,B29)=1,IFERROR(INDEX('17-جلسات و دوره‌ها'!$B$8:$B$1007,MATCH(B29,'17-جلسات و دوره‌ها'!$A$8:$A$1007,0)),"")=C29,IFERROR(INDEX('17-جلسات و دوره‌ها'!$C$8:$C$1007,MATCH(B29,'17-جلسات و دوره‌ها'!$A$8:$A$1007,0)),"")=D29),COUNTIFS('02-ماتریس الزامات'!$A$8:$A$1007,F29)=1,COUNTIFS('18-دامنه استانداردها'!$A$8:$A$1007,C29&amp;"|"&amp;G29)=1)),"شناسه یا دامنه نامعتبر",IF(IFERROR(INDEX('18-دامنه استانداردها'!$D$8:$D$1007,MATCH(C29&amp;"|"&amp;G29,'18-دامنه استانداردها'!$A$8:$A$1007,0)),"")="خیر",IF(AND(L29&lt;&gt;"",M29&lt;&gt;"",IFERROR(INDEX('18-دامنه استانداردها'!$H$8:$H$1007,MATCH(C29&amp;"|"&amp;G29,'18-دامنه استانداردها'!$A$8:$A$1007,0)),"")&lt;&gt;"",IFERROR(INDEX('18-دامنه استانداردها'!$I$8:$I$1007,MATCH(C29&amp;"|"&amp;G29,'18-دامنه استانداردها'!$A$8:$A$1007,0)),"")&lt;&gt;""),"عدم کاربرد مستند","عدم کاربرد بدون توجیه"),IF(IFERROR(INDEX('18-دامنه استانداردها'!$D$8:$D$1007,MATCH(C29&amp;"|"&amp;G29,'18-دامنه استانداردها'!$A$8:$A$1007,0)),"")&lt;&gt;"بله","دامنه نامشخص",IF(K29="","بررسی نشده؛ سابقه لازم",IF(NOT(IF(J29="ورودی",AND(COUNTIFS('03-ورودی‌های بازنگری'!$A$8:$A$1007,K29)=1,IFERROR(INDEX('03-ورودی‌های بازنگری'!$D$8:$D$1007,MATCH(K29,'03-ورودی‌های بازنگری'!$A$8:$A$1007,0)),"")=B29,IFERROR(INDEX('03-ورودی‌های بازنگری'!$R$8:$R$1007,MATCH(K29,'03-ورودی‌های بازنگری'!$A$8:$A$1007,0)),"")="معتبر"),IF(J29="تصمیم",AND(COUNTIFS('07-تصمیمات و مصوبات'!$A$8:$A$1007,K29)=1,IFERROR(INDEX('07-تصمیمات و مصوبات'!$B$8:$B$1007,MATCH(K29,'07-تصمیمات و مصوبات'!$A$8:$A$1007,0)),"")=B29,IFERROR(INDEX('07-تصمیمات و مصوبات'!$Z$8:$Z$1007,MATCH(K29,'07-تصمیمات و مصوبات'!$A$8:$A$1007,0)),"")="معتبر",COUNTIFS('15-روابط'!$B$8:$B$1007,K29,'15-روابط'!$C$8:$C$1007,"الزام",'15-روابط'!$D$8:$D$1007,F29,'15-روابط'!$E$8:$E$1007,"رابطه معتبر")&gt;0),IF(J29="نتیجه",AND(COUNTIFS('06-نتایج بازنگری'!$A$8:$A$1007,K29)=1,IFERROR(INDEX('06-نتایج بازنگری'!$D$8:$D$1007,MATCH(K29,'06-نتایج بازنگری'!$A$8:$A$1007,0)),"")=B29,IFERROR(INDEX('06-نتایج بازنگری'!$P$8:$P$1007,MATCH(K29,'06-نتایج بازنگری'!$A$8:$A$1007,0)),"")="معتبر",IFERROR(INDEX('06-نتایج بازنگری'!$F$8:$F$1007,MATCH(K29,'06-نتایج بازنگری'!$A$8:$A$1007,0)),"")=G29),IF(J29="ابلاغ",AND(COUNTIFS('20-ابلاغ نتایج'!$A$8:$A$1007,K29)=1,IFERROR(INDEX('20-ابلاغ نتایج'!$E$8:$E$1007,MATCH(K29,'20-ابلاغ نتایج'!$A$8:$A$1007,0)),"")=B29,IFERROR(INDEX('20-ابلاغ نتایج'!$L$8:$L$1007,MATCH(K29,'20-ابلاغ نتایج'!$A$8:$A$1007,0)),"")="معتبر"),FALSE))))),"سابقه یا شواهد ناقص",IF(IFERROR(INDEX('18-دامنه استانداردها'!$J$8:$J$1007,MATCH(C29&amp;"|"&amp;G29,'18-دامنه استانداردها'!$A$8:$A$1007,0)),"")="تأیید شده","شواهد مرتبط ثبت شد؛ تأیید ممیز لازم",IF(IFERROR(INDEX('18-دامنه استانداردها'!$J$8:$J$1007,MATCH(C29&amp;"|"&amp;G29,'18-دامنه استانداردها'!$A$8:$A$1007,0)),"")="فرضی","پوشش فرضی؛ آموزشی","شواهد حاضر؛ تطبیق نسخه باز"))))))))</f>
        <v>بررسی نشده؛ سابقه لازم</v>
      </c>
      <c r="O29" s="1" t="s">
        <v>1215</v>
      </c>
    </row>
    <row r="30" spans="1:15" ht="36" customHeight="1">
      <c r="A30" s="1" t="s">
        <v>1237</v>
      </c>
      <c r="B30" s="1" t="s">
        <v>83</v>
      </c>
      <c r="C30" s="1" t="s">
        <v>77</v>
      </c>
      <c r="D30" s="1" t="s">
        <v>80</v>
      </c>
      <c r="E30" s="1" t="s">
        <v>379</v>
      </c>
      <c r="F30" s="1" t="s">
        <v>209</v>
      </c>
      <c r="G30" s="3" t="str">
        <f>IF(A30="","",IFERROR(INDEX('02-ماتریس الزامات'!$B$8:$B$1007,MATCH(F30,'02-ماتریس الزامات'!$A$8:$A$1007,0)),""))</f>
        <v>QMS</v>
      </c>
      <c r="H30" s="3" t="str">
        <f>IF(A30="","",IFERROR(INDEX('02-ماتریس الزامات'!$D$8:$D$1007,MATCH(F30,'02-ماتریس الزامات'!$A$8:$A$1007,0)),""))</f>
        <v>9.3.2</v>
      </c>
      <c r="I30" s="3" t="str">
        <f>IF(A30="","",IFERROR(INDEX('02-ماتریس الزامات'!$F$8:$F$1007,MATCH(F30,'02-ماتریس الزامات'!$A$8:$A$1007,0)),""))</f>
        <v>اثربخشی اقدامات ریسک</v>
      </c>
      <c r="J30" s="1" t="s">
        <v>174</v>
      </c>
      <c r="K30" s="1" t="s">
        <v>492</v>
      </c>
      <c r="L30" s="1"/>
      <c r="M30" s="1"/>
      <c r="N30" s="3" t="str">
        <f>IF(A30="","",IF(NOT(AND(COUNTIFS('13-کنترل انطباق'!$A$8:$A$1007,A30)=1,AND(COUNTIFS('17-جلسات و دوره‌ها'!$A$8:$A$1007,B30)=1,IFERROR(INDEX('17-جلسات و دوره‌ها'!$B$8:$B$1007,MATCH(B30,'17-جلسات و دوره‌ها'!$A$8:$A$1007,0)),"")=C30,IFERROR(INDEX('17-جلسات و دوره‌ها'!$C$8:$C$1007,MATCH(B30,'17-جلسات و دوره‌ها'!$A$8:$A$1007,0)),"")=D30),COUNTIFS('02-ماتریس الزامات'!$A$8:$A$1007,F30)=1,COUNTIFS('18-دامنه استانداردها'!$A$8:$A$1007,C30&amp;"|"&amp;G30)=1)),"شناسه یا دامنه نامعتبر",IF(IFERROR(INDEX('18-دامنه استانداردها'!$D$8:$D$1007,MATCH(C30&amp;"|"&amp;G30,'18-دامنه استانداردها'!$A$8:$A$1007,0)),"")="خیر",IF(AND(L30&lt;&gt;"",M30&lt;&gt;"",IFERROR(INDEX('18-دامنه استانداردها'!$H$8:$H$1007,MATCH(C30&amp;"|"&amp;G30,'18-دامنه استانداردها'!$A$8:$A$1007,0)),"")&lt;&gt;"",IFERROR(INDEX('18-دامنه استانداردها'!$I$8:$I$1007,MATCH(C30&amp;"|"&amp;G30,'18-دامنه استانداردها'!$A$8:$A$1007,0)),"")&lt;&gt;""),"عدم کاربرد مستند","عدم کاربرد بدون توجیه"),IF(IFERROR(INDEX('18-دامنه استانداردها'!$D$8:$D$1007,MATCH(C30&amp;"|"&amp;G30,'18-دامنه استانداردها'!$A$8:$A$1007,0)),"")&lt;&gt;"بله","دامنه نامشخص",IF(K30="","بررسی نشده؛ سابقه لازم",IF(NOT(IF(J30="ورودی",AND(COUNTIFS('03-ورودی‌های بازنگری'!$A$8:$A$1007,K30)=1,IFERROR(INDEX('03-ورودی‌های بازنگری'!$D$8:$D$1007,MATCH(K30,'03-ورودی‌های بازنگری'!$A$8:$A$1007,0)),"")=B30,IFERROR(INDEX('03-ورودی‌های بازنگری'!$R$8:$R$1007,MATCH(K30,'03-ورودی‌های بازنگری'!$A$8:$A$1007,0)),"")="معتبر"),IF(J30="تصمیم",AND(COUNTIFS('07-تصمیمات و مصوبات'!$A$8:$A$1007,K30)=1,IFERROR(INDEX('07-تصمیمات و مصوبات'!$B$8:$B$1007,MATCH(K30,'07-تصمیمات و مصوبات'!$A$8:$A$1007,0)),"")=B30,IFERROR(INDEX('07-تصمیمات و مصوبات'!$Z$8:$Z$1007,MATCH(K30,'07-تصمیمات و مصوبات'!$A$8:$A$1007,0)),"")="معتبر",COUNTIFS('15-روابط'!$B$8:$B$1007,K30,'15-روابط'!$C$8:$C$1007,"الزام",'15-روابط'!$D$8:$D$1007,F30,'15-روابط'!$E$8:$E$1007,"رابطه معتبر")&gt;0),IF(J30="نتیجه",AND(COUNTIFS('06-نتایج بازنگری'!$A$8:$A$1007,K30)=1,IFERROR(INDEX('06-نتایج بازنگری'!$D$8:$D$1007,MATCH(K30,'06-نتایج بازنگری'!$A$8:$A$1007,0)),"")=B30,IFERROR(INDEX('06-نتایج بازنگری'!$P$8:$P$1007,MATCH(K30,'06-نتایج بازنگری'!$A$8:$A$1007,0)),"")="معتبر",IFERROR(INDEX('06-نتایج بازنگری'!$F$8:$F$1007,MATCH(K30,'06-نتایج بازنگری'!$A$8:$A$1007,0)),"")=G30),IF(J30="ابلاغ",AND(COUNTIFS('20-ابلاغ نتایج'!$A$8:$A$1007,K30)=1,IFERROR(INDEX('20-ابلاغ نتایج'!$E$8:$E$1007,MATCH(K30,'20-ابلاغ نتایج'!$A$8:$A$1007,0)),"")=B30,IFERROR(INDEX('20-ابلاغ نتایج'!$L$8:$L$1007,MATCH(K30,'20-ابلاغ نتایج'!$A$8:$A$1007,0)),"")="معتبر"),FALSE))))),"سابقه یا شواهد ناقص",IF(IFERROR(INDEX('18-دامنه استانداردها'!$J$8:$J$1007,MATCH(C30&amp;"|"&amp;G30,'18-دامنه استانداردها'!$A$8:$A$1007,0)),"")="تأیید شده","شواهد مرتبط ثبت شد؛ تأیید ممیز لازم",IF(IFERROR(INDEX('18-دامنه استانداردها'!$J$8:$J$1007,MATCH(C30&amp;"|"&amp;G30,'18-دامنه استانداردها'!$A$8:$A$1007,0)),"")="فرضی","پوشش فرضی؛ آموزشی","شواهد حاضر؛ تطبیق نسخه باز"))))))))</f>
        <v>سابقه یا شواهد ناقص</v>
      </c>
      <c r="O30" s="1" t="s">
        <v>1215</v>
      </c>
    </row>
    <row r="31" spans="1:15" ht="36" customHeight="1">
      <c r="A31" s="1" t="s">
        <v>1238</v>
      </c>
      <c r="B31" s="1" t="s">
        <v>530</v>
      </c>
      <c r="C31" s="1" t="s">
        <v>99</v>
      </c>
      <c r="D31" s="1" t="s">
        <v>529</v>
      </c>
      <c r="E31" s="1" t="s">
        <v>531</v>
      </c>
      <c r="F31" s="1" t="s">
        <v>209</v>
      </c>
      <c r="G31" s="3" t="str">
        <f>IF(A31="","",IFERROR(INDEX('02-ماتریس الزامات'!$B$8:$B$1007,MATCH(F31,'02-ماتریس الزامات'!$A$8:$A$1007,0)),""))</f>
        <v>QMS</v>
      </c>
      <c r="H31" s="3" t="str">
        <f>IF(A31="","",IFERROR(INDEX('02-ماتریس الزامات'!$D$8:$D$1007,MATCH(F31,'02-ماتریس الزامات'!$A$8:$A$1007,0)),""))</f>
        <v>9.3.2</v>
      </c>
      <c r="I31" s="3" t="str">
        <f>IF(A31="","",IFERROR(INDEX('02-ماتریس الزامات'!$F$8:$F$1007,MATCH(F31,'02-ماتریس الزامات'!$A$8:$A$1007,0)),""))</f>
        <v>اثربخشی اقدامات ریسک</v>
      </c>
      <c r="J31" s="1" t="s">
        <v>174</v>
      </c>
      <c r="K31" s="1"/>
      <c r="L31" s="1"/>
      <c r="M31" s="1"/>
      <c r="N31" s="3" t="str">
        <f>IF(A31="","",IF(NOT(AND(COUNTIFS('13-کنترل انطباق'!$A$8:$A$1007,A31)=1,AND(COUNTIFS('17-جلسات و دوره‌ها'!$A$8:$A$1007,B31)=1,IFERROR(INDEX('17-جلسات و دوره‌ها'!$B$8:$B$1007,MATCH(B31,'17-جلسات و دوره‌ها'!$A$8:$A$1007,0)),"")=C31,IFERROR(INDEX('17-جلسات و دوره‌ها'!$C$8:$C$1007,MATCH(B31,'17-جلسات و دوره‌ها'!$A$8:$A$1007,0)),"")=D31),COUNTIFS('02-ماتریس الزامات'!$A$8:$A$1007,F31)=1,COUNTIFS('18-دامنه استانداردها'!$A$8:$A$1007,C31&amp;"|"&amp;G31)=1)),"شناسه یا دامنه نامعتبر",IF(IFERROR(INDEX('18-دامنه استانداردها'!$D$8:$D$1007,MATCH(C31&amp;"|"&amp;G31,'18-دامنه استانداردها'!$A$8:$A$1007,0)),"")="خیر",IF(AND(L31&lt;&gt;"",M31&lt;&gt;"",IFERROR(INDEX('18-دامنه استانداردها'!$H$8:$H$1007,MATCH(C31&amp;"|"&amp;G31,'18-دامنه استانداردها'!$A$8:$A$1007,0)),"")&lt;&gt;"",IFERROR(INDEX('18-دامنه استانداردها'!$I$8:$I$1007,MATCH(C31&amp;"|"&amp;G31,'18-دامنه استانداردها'!$A$8:$A$1007,0)),"")&lt;&gt;""),"عدم کاربرد مستند","عدم کاربرد بدون توجیه"),IF(IFERROR(INDEX('18-دامنه استانداردها'!$D$8:$D$1007,MATCH(C31&amp;"|"&amp;G31,'18-دامنه استانداردها'!$A$8:$A$1007,0)),"")&lt;&gt;"بله","دامنه نامشخص",IF(K31="","بررسی نشده؛ سابقه لازم",IF(NOT(IF(J31="ورودی",AND(COUNTIFS('03-ورودی‌های بازنگری'!$A$8:$A$1007,K31)=1,IFERROR(INDEX('03-ورودی‌های بازنگری'!$D$8:$D$1007,MATCH(K31,'03-ورودی‌های بازنگری'!$A$8:$A$1007,0)),"")=B31,IFERROR(INDEX('03-ورودی‌های بازنگری'!$R$8:$R$1007,MATCH(K31,'03-ورودی‌های بازنگری'!$A$8:$A$1007,0)),"")="معتبر"),IF(J31="تصمیم",AND(COUNTIFS('07-تصمیمات و مصوبات'!$A$8:$A$1007,K31)=1,IFERROR(INDEX('07-تصمیمات و مصوبات'!$B$8:$B$1007,MATCH(K31,'07-تصمیمات و مصوبات'!$A$8:$A$1007,0)),"")=B31,IFERROR(INDEX('07-تصمیمات و مصوبات'!$Z$8:$Z$1007,MATCH(K31,'07-تصمیمات و مصوبات'!$A$8:$A$1007,0)),"")="معتبر",COUNTIFS('15-روابط'!$B$8:$B$1007,K31,'15-روابط'!$C$8:$C$1007,"الزام",'15-روابط'!$D$8:$D$1007,F31,'15-روابط'!$E$8:$E$1007,"رابطه معتبر")&gt;0),IF(J31="نتیجه",AND(COUNTIFS('06-نتایج بازنگری'!$A$8:$A$1007,K31)=1,IFERROR(INDEX('06-نتایج بازنگری'!$D$8:$D$1007,MATCH(K31,'06-نتایج بازنگری'!$A$8:$A$1007,0)),"")=B31,IFERROR(INDEX('06-نتایج بازنگری'!$P$8:$P$1007,MATCH(K31,'06-نتایج بازنگری'!$A$8:$A$1007,0)),"")="معتبر",IFERROR(INDEX('06-نتایج بازنگری'!$F$8:$F$1007,MATCH(K31,'06-نتایج بازنگری'!$A$8:$A$1007,0)),"")=G31),IF(J31="ابلاغ",AND(COUNTIFS('20-ابلاغ نتایج'!$A$8:$A$1007,K31)=1,IFERROR(INDEX('20-ابلاغ نتایج'!$E$8:$E$1007,MATCH(K31,'20-ابلاغ نتایج'!$A$8:$A$1007,0)),"")=B31,IFERROR(INDEX('20-ابلاغ نتایج'!$L$8:$L$1007,MATCH(K31,'20-ابلاغ نتایج'!$A$8:$A$1007,0)),"")="معتبر"),FALSE))))),"سابقه یا شواهد ناقص",IF(IFERROR(INDEX('18-دامنه استانداردها'!$J$8:$J$1007,MATCH(C31&amp;"|"&amp;G31,'18-دامنه استانداردها'!$A$8:$A$1007,0)),"")="تأیید شده","شواهد مرتبط ثبت شد؛ تأیید ممیز لازم",IF(IFERROR(INDEX('18-دامنه استانداردها'!$J$8:$J$1007,MATCH(C31&amp;"|"&amp;G31,'18-دامنه استانداردها'!$A$8:$A$1007,0)),"")="فرضی","پوشش فرضی؛ آموزشی","شواهد حاضر؛ تطبیق نسخه باز"))))))))</f>
        <v>بررسی نشده؛ سابقه لازم</v>
      </c>
      <c r="O31" s="1" t="s">
        <v>1215</v>
      </c>
    </row>
    <row r="32" spans="1:15" ht="36" customHeight="1">
      <c r="A32" s="1" t="s">
        <v>1239</v>
      </c>
      <c r="B32" s="1" t="s">
        <v>83</v>
      </c>
      <c r="C32" s="1" t="s">
        <v>77</v>
      </c>
      <c r="D32" s="1" t="s">
        <v>80</v>
      </c>
      <c r="E32" s="1" t="s">
        <v>379</v>
      </c>
      <c r="F32" s="1" t="s">
        <v>211</v>
      </c>
      <c r="G32" s="3" t="str">
        <f>IF(A32="","",IFERROR(INDEX('02-ماتریس الزامات'!$B$8:$B$1007,MATCH(F32,'02-ماتریس الزامات'!$A$8:$A$1007,0)),""))</f>
        <v>QMS</v>
      </c>
      <c r="H32" s="3" t="str">
        <f>IF(A32="","",IFERROR(INDEX('02-ماتریس الزامات'!$D$8:$D$1007,MATCH(F32,'02-ماتریس الزامات'!$A$8:$A$1007,0)),""))</f>
        <v>9.3.2</v>
      </c>
      <c r="I32" s="3" t="str">
        <f>IF(A32="","",IFERROR(INDEX('02-ماتریس الزامات'!$F$8:$F$1007,MATCH(F32,'02-ماتریس الزامات'!$A$8:$A$1007,0)),""))</f>
        <v>اثربخشی اقدامات فرصت</v>
      </c>
      <c r="J32" s="1" t="s">
        <v>174</v>
      </c>
      <c r="K32" s="1" t="s">
        <v>402</v>
      </c>
      <c r="L32" s="1"/>
      <c r="M32" s="1"/>
      <c r="N32" s="3" t="str">
        <f>IF(A32="","",IF(NOT(AND(COUNTIFS('13-کنترل انطباق'!$A$8:$A$1007,A32)=1,AND(COUNTIFS('17-جلسات و دوره‌ها'!$A$8:$A$1007,B32)=1,IFERROR(INDEX('17-جلسات و دوره‌ها'!$B$8:$B$1007,MATCH(B32,'17-جلسات و دوره‌ها'!$A$8:$A$1007,0)),"")=C32,IFERROR(INDEX('17-جلسات و دوره‌ها'!$C$8:$C$1007,MATCH(B32,'17-جلسات و دوره‌ها'!$A$8:$A$1007,0)),"")=D32),COUNTIFS('02-ماتریس الزامات'!$A$8:$A$1007,F32)=1,COUNTIFS('18-دامنه استانداردها'!$A$8:$A$1007,C32&amp;"|"&amp;G32)=1)),"شناسه یا دامنه نامعتبر",IF(IFERROR(INDEX('18-دامنه استانداردها'!$D$8:$D$1007,MATCH(C32&amp;"|"&amp;G32,'18-دامنه استانداردها'!$A$8:$A$1007,0)),"")="خیر",IF(AND(L32&lt;&gt;"",M32&lt;&gt;"",IFERROR(INDEX('18-دامنه استانداردها'!$H$8:$H$1007,MATCH(C32&amp;"|"&amp;G32,'18-دامنه استانداردها'!$A$8:$A$1007,0)),"")&lt;&gt;"",IFERROR(INDEX('18-دامنه استانداردها'!$I$8:$I$1007,MATCH(C32&amp;"|"&amp;G32,'18-دامنه استانداردها'!$A$8:$A$1007,0)),"")&lt;&gt;""),"عدم کاربرد مستند","عدم کاربرد بدون توجیه"),IF(IFERROR(INDEX('18-دامنه استانداردها'!$D$8:$D$1007,MATCH(C32&amp;"|"&amp;G32,'18-دامنه استانداردها'!$A$8:$A$1007,0)),"")&lt;&gt;"بله","دامنه نامشخص",IF(K32="","بررسی نشده؛ سابقه لازم",IF(NOT(IF(J32="ورودی",AND(COUNTIFS('03-ورودی‌های بازنگری'!$A$8:$A$1007,K32)=1,IFERROR(INDEX('03-ورودی‌های بازنگری'!$D$8:$D$1007,MATCH(K32,'03-ورودی‌های بازنگری'!$A$8:$A$1007,0)),"")=B32,IFERROR(INDEX('03-ورودی‌های بازنگری'!$R$8:$R$1007,MATCH(K32,'03-ورودی‌های بازنگری'!$A$8:$A$1007,0)),"")="معتبر"),IF(J32="تصمیم",AND(COUNTIFS('07-تصمیمات و مصوبات'!$A$8:$A$1007,K32)=1,IFERROR(INDEX('07-تصمیمات و مصوبات'!$B$8:$B$1007,MATCH(K32,'07-تصمیمات و مصوبات'!$A$8:$A$1007,0)),"")=B32,IFERROR(INDEX('07-تصمیمات و مصوبات'!$Z$8:$Z$1007,MATCH(K32,'07-تصمیمات و مصوبات'!$A$8:$A$1007,0)),"")="معتبر",COUNTIFS('15-روابط'!$B$8:$B$1007,K32,'15-روابط'!$C$8:$C$1007,"الزام",'15-روابط'!$D$8:$D$1007,F32,'15-روابط'!$E$8:$E$1007,"رابطه معتبر")&gt;0),IF(J32="نتیجه",AND(COUNTIFS('06-نتایج بازنگری'!$A$8:$A$1007,K32)=1,IFERROR(INDEX('06-نتایج بازنگری'!$D$8:$D$1007,MATCH(K32,'06-نتایج بازنگری'!$A$8:$A$1007,0)),"")=B32,IFERROR(INDEX('06-نتایج بازنگری'!$P$8:$P$1007,MATCH(K32,'06-نتایج بازنگری'!$A$8:$A$1007,0)),"")="معتبر",IFERROR(INDEX('06-نتایج بازنگری'!$F$8:$F$1007,MATCH(K32,'06-نتایج بازنگری'!$A$8:$A$1007,0)),"")=G32),IF(J32="ابلاغ",AND(COUNTIFS('20-ابلاغ نتایج'!$A$8:$A$1007,K32)=1,IFERROR(INDEX('20-ابلاغ نتایج'!$E$8:$E$1007,MATCH(K32,'20-ابلاغ نتایج'!$A$8:$A$1007,0)),"")=B32,IFERROR(INDEX('20-ابلاغ نتایج'!$L$8:$L$1007,MATCH(K32,'20-ابلاغ نتایج'!$A$8:$A$1007,0)),"")="معتبر"),FALSE))))),"سابقه یا شواهد ناقص",IF(IFERROR(INDEX('18-دامنه استانداردها'!$J$8:$J$1007,MATCH(C32&amp;"|"&amp;G32,'18-دامنه استانداردها'!$A$8:$A$1007,0)),"")="تأیید شده","شواهد مرتبط ثبت شد؛ تأیید ممیز لازم",IF(IFERROR(INDEX('18-دامنه استانداردها'!$J$8:$J$1007,MATCH(C32&amp;"|"&amp;G32,'18-دامنه استانداردها'!$A$8:$A$1007,0)),"")="فرضی","پوشش فرضی؛ آموزشی","شواهد حاضر؛ تطبیق نسخه باز"))))))))</f>
        <v>سابقه یا شواهد ناقص</v>
      </c>
      <c r="O32" s="1" t="s">
        <v>1215</v>
      </c>
    </row>
    <row r="33" spans="1:15" ht="36" customHeight="1">
      <c r="A33" s="1" t="s">
        <v>1240</v>
      </c>
      <c r="B33" s="1" t="s">
        <v>530</v>
      </c>
      <c r="C33" s="1" t="s">
        <v>99</v>
      </c>
      <c r="D33" s="1" t="s">
        <v>529</v>
      </c>
      <c r="E33" s="1" t="s">
        <v>531</v>
      </c>
      <c r="F33" s="1" t="s">
        <v>211</v>
      </c>
      <c r="G33" s="3" t="str">
        <f>IF(A33="","",IFERROR(INDEX('02-ماتریس الزامات'!$B$8:$B$1007,MATCH(F33,'02-ماتریس الزامات'!$A$8:$A$1007,0)),""))</f>
        <v>QMS</v>
      </c>
      <c r="H33" s="3" t="str">
        <f>IF(A33="","",IFERROR(INDEX('02-ماتریس الزامات'!$D$8:$D$1007,MATCH(F33,'02-ماتریس الزامات'!$A$8:$A$1007,0)),""))</f>
        <v>9.3.2</v>
      </c>
      <c r="I33" s="3" t="str">
        <f>IF(A33="","",IFERROR(INDEX('02-ماتریس الزامات'!$F$8:$F$1007,MATCH(F33,'02-ماتریس الزامات'!$A$8:$A$1007,0)),""))</f>
        <v>اثربخشی اقدامات فرصت</v>
      </c>
      <c r="J33" s="1" t="s">
        <v>174</v>
      </c>
      <c r="K33" s="1"/>
      <c r="L33" s="1"/>
      <c r="M33" s="1"/>
      <c r="N33" s="3" t="str">
        <f>IF(A33="","",IF(NOT(AND(COUNTIFS('13-کنترل انطباق'!$A$8:$A$1007,A33)=1,AND(COUNTIFS('17-جلسات و دوره‌ها'!$A$8:$A$1007,B33)=1,IFERROR(INDEX('17-جلسات و دوره‌ها'!$B$8:$B$1007,MATCH(B33,'17-جلسات و دوره‌ها'!$A$8:$A$1007,0)),"")=C33,IFERROR(INDEX('17-جلسات و دوره‌ها'!$C$8:$C$1007,MATCH(B33,'17-جلسات و دوره‌ها'!$A$8:$A$1007,0)),"")=D33),COUNTIFS('02-ماتریس الزامات'!$A$8:$A$1007,F33)=1,COUNTIFS('18-دامنه استانداردها'!$A$8:$A$1007,C33&amp;"|"&amp;G33)=1)),"شناسه یا دامنه نامعتبر",IF(IFERROR(INDEX('18-دامنه استانداردها'!$D$8:$D$1007,MATCH(C33&amp;"|"&amp;G33,'18-دامنه استانداردها'!$A$8:$A$1007,0)),"")="خیر",IF(AND(L33&lt;&gt;"",M33&lt;&gt;"",IFERROR(INDEX('18-دامنه استانداردها'!$H$8:$H$1007,MATCH(C33&amp;"|"&amp;G33,'18-دامنه استانداردها'!$A$8:$A$1007,0)),"")&lt;&gt;"",IFERROR(INDEX('18-دامنه استانداردها'!$I$8:$I$1007,MATCH(C33&amp;"|"&amp;G33,'18-دامنه استانداردها'!$A$8:$A$1007,0)),"")&lt;&gt;""),"عدم کاربرد مستند","عدم کاربرد بدون توجیه"),IF(IFERROR(INDEX('18-دامنه استانداردها'!$D$8:$D$1007,MATCH(C33&amp;"|"&amp;G33,'18-دامنه استانداردها'!$A$8:$A$1007,0)),"")&lt;&gt;"بله","دامنه نامشخص",IF(K33="","بررسی نشده؛ سابقه لازم",IF(NOT(IF(J33="ورودی",AND(COUNTIFS('03-ورودی‌های بازنگری'!$A$8:$A$1007,K33)=1,IFERROR(INDEX('03-ورودی‌های بازنگری'!$D$8:$D$1007,MATCH(K33,'03-ورودی‌های بازنگری'!$A$8:$A$1007,0)),"")=B33,IFERROR(INDEX('03-ورودی‌های بازنگری'!$R$8:$R$1007,MATCH(K33,'03-ورودی‌های بازنگری'!$A$8:$A$1007,0)),"")="معتبر"),IF(J33="تصمیم",AND(COUNTIFS('07-تصمیمات و مصوبات'!$A$8:$A$1007,K33)=1,IFERROR(INDEX('07-تصمیمات و مصوبات'!$B$8:$B$1007,MATCH(K33,'07-تصمیمات و مصوبات'!$A$8:$A$1007,0)),"")=B33,IFERROR(INDEX('07-تصمیمات و مصوبات'!$Z$8:$Z$1007,MATCH(K33,'07-تصمیمات و مصوبات'!$A$8:$A$1007,0)),"")="معتبر",COUNTIFS('15-روابط'!$B$8:$B$1007,K33,'15-روابط'!$C$8:$C$1007,"الزام",'15-روابط'!$D$8:$D$1007,F33,'15-روابط'!$E$8:$E$1007,"رابطه معتبر")&gt;0),IF(J33="نتیجه",AND(COUNTIFS('06-نتایج بازنگری'!$A$8:$A$1007,K33)=1,IFERROR(INDEX('06-نتایج بازنگری'!$D$8:$D$1007,MATCH(K33,'06-نتایج بازنگری'!$A$8:$A$1007,0)),"")=B33,IFERROR(INDEX('06-نتایج بازنگری'!$P$8:$P$1007,MATCH(K33,'06-نتایج بازنگری'!$A$8:$A$1007,0)),"")="معتبر",IFERROR(INDEX('06-نتایج بازنگری'!$F$8:$F$1007,MATCH(K33,'06-نتایج بازنگری'!$A$8:$A$1007,0)),"")=G33),IF(J33="ابلاغ",AND(COUNTIFS('20-ابلاغ نتایج'!$A$8:$A$1007,K33)=1,IFERROR(INDEX('20-ابلاغ نتایج'!$E$8:$E$1007,MATCH(K33,'20-ابلاغ نتایج'!$A$8:$A$1007,0)),"")=B33,IFERROR(INDEX('20-ابلاغ نتایج'!$L$8:$L$1007,MATCH(K33,'20-ابلاغ نتایج'!$A$8:$A$1007,0)),"")="معتبر"),FALSE))))),"سابقه یا شواهد ناقص",IF(IFERROR(INDEX('18-دامنه استانداردها'!$J$8:$J$1007,MATCH(C33&amp;"|"&amp;G33,'18-دامنه استانداردها'!$A$8:$A$1007,0)),"")="تأیید شده","شواهد مرتبط ثبت شد؛ تأیید ممیز لازم",IF(IFERROR(INDEX('18-دامنه استانداردها'!$J$8:$J$1007,MATCH(C33&amp;"|"&amp;G33,'18-دامنه استانداردها'!$A$8:$A$1007,0)),"")="فرضی","پوشش فرضی؛ آموزشی","شواهد حاضر؛ تطبیق نسخه باز"))))))))</f>
        <v>بررسی نشده؛ سابقه لازم</v>
      </c>
      <c r="O33" s="1" t="s">
        <v>1215</v>
      </c>
    </row>
    <row r="34" spans="1:15" ht="36" customHeight="1">
      <c r="A34" s="1" t="s">
        <v>1241</v>
      </c>
      <c r="B34" s="1" t="s">
        <v>83</v>
      </c>
      <c r="C34" s="1" t="s">
        <v>77</v>
      </c>
      <c r="D34" s="1" t="s">
        <v>80</v>
      </c>
      <c r="E34" s="1" t="s">
        <v>379</v>
      </c>
      <c r="F34" s="1" t="s">
        <v>214</v>
      </c>
      <c r="G34" s="3" t="str">
        <f>IF(A34="","",IFERROR(INDEX('02-ماتریس الزامات'!$B$8:$B$1007,MATCH(F34,'02-ماتریس الزامات'!$A$8:$A$1007,0)),""))</f>
        <v>QMS</v>
      </c>
      <c r="H34" s="3" t="str">
        <f>IF(A34="","",IFERROR(INDEX('02-ماتریس الزامات'!$D$8:$D$1007,MATCH(F34,'02-ماتریس الزامات'!$A$8:$A$1007,0)),""))</f>
        <v>9.3.2</v>
      </c>
      <c r="I34" s="3" t="str">
        <f>IF(A34="","",IFERROR(INDEX('02-ماتریس الزامات'!$F$8:$F$1007,MATCH(F34,'02-ماتریس الزامات'!$A$8:$A$1007,0)),""))</f>
        <v>فرصت بهبود</v>
      </c>
      <c r="J34" s="1" t="s">
        <v>174</v>
      </c>
      <c r="K34" s="1" t="s">
        <v>392</v>
      </c>
      <c r="L34" s="1"/>
      <c r="M34" s="1"/>
      <c r="N34" s="3" t="str">
        <f>IF(A34="","",IF(NOT(AND(COUNTIFS('13-کنترل انطباق'!$A$8:$A$1007,A34)=1,AND(COUNTIFS('17-جلسات و دوره‌ها'!$A$8:$A$1007,B34)=1,IFERROR(INDEX('17-جلسات و دوره‌ها'!$B$8:$B$1007,MATCH(B34,'17-جلسات و دوره‌ها'!$A$8:$A$1007,0)),"")=C34,IFERROR(INDEX('17-جلسات و دوره‌ها'!$C$8:$C$1007,MATCH(B34,'17-جلسات و دوره‌ها'!$A$8:$A$1007,0)),"")=D34),COUNTIFS('02-ماتریس الزامات'!$A$8:$A$1007,F34)=1,COUNTIFS('18-دامنه استانداردها'!$A$8:$A$1007,C34&amp;"|"&amp;G34)=1)),"شناسه یا دامنه نامعتبر",IF(IFERROR(INDEX('18-دامنه استانداردها'!$D$8:$D$1007,MATCH(C34&amp;"|"&amp;G34,'18-دامنه استانداردها'!$A$8:$A$1007,0)),"")="خیر",IF(AND(L34&lt;&gt;"",M34&lt;&gt;"",IFERROR(INDEX('18-دامنه استانداردها'!$H$8:$H$1007,MATCH(C34&amp;"|"&amp;G34,'18-دامنه استانداردها'!$A$8:$A$1007,0)),"")&lt;&gt;"",IFERROR(INDEX('18-دامنه استانداردها'!$I$8:$I$1007,MATCH(C34&amp;"|"&amp;G34,'18-دامنه استانداردها'!$A$8:$A$1007,0)),"")&lt;&gt;""),"عدم کاربرد مستند","عدم کاربرد بدون توجیه"),IF(IFERROR(INDEX('18-دامنه استانداردها'!$D$8:$D$1007,MATCH(C34&amp;"|"&amp;G34,'18-دامنه استانداردها'!$A$8:$A$1007,0)),"")&lt;&gt;"بله","دامنه نامشخص",IF(K34="","بررسی نشده؛ سابقه لازم",IF(NOT(IF(J34="ورودی",AND(COUNTIFS('03-ورودی‌های بازنگری'!$A$8:$A$1007,K34)=1,IFERROR(INDEX('03-ورودی‌های بازنگری'!$D$8:$D$1007,MATCH(K34,'03-ورودی‌های بازنگری'!$A$8:$A$1007,0)),"")=B34,IFERROR(INDEX('03-ورودی‌های بازنگری'!$R$8:$R$1007,MATCH(K34,'03-ورودی‌های بازنگری'!$A$8:$A$1007,0)),"")="معتبر"),IF(J34="تصمیم",AND(COUNTIFS('07-تصمیمات و مصوبات'!$A$8:$A$1007,K34)=1,IFERROR(INDEX('07-تصمیمات و مصوبات'!$B$8:$B$1007,MATCH(K34,'07-تصمیمات و مصوبات'!$A$8:$A$1007,0)),"")=B34,IFERROR(INDEX('07-تصمیمات و مصوبات'!$Z$8:$Z$1007,MATCH(K34,'07-تصمیمات و مصوبات'!$A$8:$A$1007,0)),"")="معتبر",COUNTIFS('15-روابط'!$B$8:$B$1007,K34,'15-روابط'!$C$8:$C$1007,"الزام",'15-روابط'!$D$8:$D$1007,F34,'15-روابط'!$E$8:$E$1007,"رابطه معتبر")&gt;0),IF(J34="نتیجه",AND(COUNTIFS('06-نتایج بازنگری'!$A$8:$A$1007,K34)=1,IFERROR(INDEX('06-نتایج بازنگری'!$D$8:$D$1007,MATCH(K34,'06-نتایج بازنگری'!$A$8:$A$1007,0)),"")=B34,IFERROR(INDEX('06-نتایج بازنگری'!$P$8:$P$1007,MATCH(K34,'06-نتایج بازنگری'!$A$8:$A$1007,0)),"")="معتبر",IFERROR(INDEX('06-نتایج بازنگری'!$F$8:$F$1007,MATCH(K34,'06-نتایج بازنگری'!$A$8:$A$1007,0)),"")=G34),IF(J34="ابلاغ",AND(COUNTIFS('20-ابلاغ نتایج'!$A$8:$A$1007,K34)=1,IFERROR(INDEX('20-ابلاغ نتایج'!$E$8:$E$1007,MATCH(K34,'20-ابلاغ نتایج'!$A$8:$A$1007,0)),"")=B34,IFERROR(INDEX('20-ابلاغ نتایج'!$L$8:$L$1007,MATCH(K34,'20-ابلاغ نتایج'!$A$8:$A$1007,0)),"")="معتبر"),FALSE))))),"سابقه یا شواهد ناقص",IF(IFERROR(INDEX('18-دامنه استانداردها'!$J$8:$J$1007,MATCH(C34&amp;"|"&amp;G34,'18-دامنه استانداردها'!$A$8:$A$1007,0)),"")="تأیید شده","شواهد مرتبط ثبت شد؛ تأیید ممیز لازم",IF(IFERROR(INDEX('18-دامنه استانداردها'!$J$8:$J$1007,MATCH(C34&amp;"|"&amp;G34,'18-دامنه استانداردها'!$A$8:$A$1007,0)),"")="فرضی","پوشش فرضی؛ آموزشی","شواهد حاضر؛ تطبیق نسخه باز"))))))))</f>
        <v>سابقه یا شواهد ناقص</v>
      </c>
      <c r="O34" s="1" t="s">
        <v>1215</v>
      </c>
    </row>
    <row r="35" spans="1:15" ht="36" customHeight="1">
      <c r="A35" s="1" t="s">
        <v>1242</v>
      </c>
      <c r="B35" s="1" t="s">
        <v>530</v>
      </c>
      <c r="C35" s="1" t="s">
        <v>99</v>
      </c>
      <c r="D35" s="1" t="s">
        <v>529</v>
      </c>
      <c r="E35" s="1" t="s">
        <v>531</v>
      </c>
      <c r="F35" s="1" t="s">
        <v>214</v>
      </c>
      <c r="G35" s="3" t="str">
        <f>IF(A35="","",IFERROR(INDEX('02-ماتریس الزامات'!$B$8:$B$1007,MATCH(F35,'02-ماتریس الزامات'!$A$8:$A$1007,0)),""))</f>
        <v>QMS</v>
      </c>
      <c r="H35" s="3" t="str">
        <f>IF(A35="","",IFERROR(INDEX('02-ماتریس الزامات'!$D$8:$D$1007,MATCH(F35,'02-ماتریس الزامات'!$A$8:$A$1007,0)),""))</f>
        <v>9.3.2</v>
      </c>
      <c r="I35" s="3" t="str">
        <f>IF(A35="","",IFERROR(INDEX('02-ماتریس الزامات'!$F$8:$F$1007,MATCH(F35,'02-ماتریس الزامات'!$A$8:$A$1007,0)),""))</f>
        <v>فرصت بهبود</v>
      </c>
      <c r="J35" s="1" t="s">
        <v>174</v>
      </c>
      <c r="K35" s="1"/>
      <c r="L35" s="1"/>
      <c r="M35" s="1"/>
      <c r="N35" s="3" t="str">
        <f>IF(A35="","",IF(NOT(AND(COUNTIFS('13-کنترل انطباق'!$A$8:$A$1007,A35)=1,AND(COUNTIFS('17-جلسات و دوره‌ها'!$A$8:$A$1007,B35)=1,IFERROR(INDEX('17-جلسات و دوره‌ها'!$B$8:$B$1007,MATCH(B35,'17-جلسات و دوره‌ها'!$A$8:$A$1007,0)),"")=C35,IFERROR(INDEX('17-جلسات و دوره‌ها'!$C$8:$C$1007,MATCH(B35,'17-جلسات و دوره‌ها'!$A$8:$A$1007,0)),"")=D35),COUNTIFS('02-ماتریس الزامات'!$A$8:$A$1007,F35)=1,COUNTIFS('18-دامنه استانداردها'!$A$8:$A$1007,C35&amp;"|"&amp;G35)=1)),"شناسه یا دامنه نامعتبر",IF(IFERROR(INDEX('18-دامنه استانداردها'!$D$8:$D$1007,MATCH(C35&amp;"|"&amp;G35,'18-دامنه استانداردها'!$A$8:$A$1007,0)),"")="خیر",IF(AND(L35&lt;&gt;"",M35&lt;&gt;"",IFERROR(INDEX('18-دامنه استانداردها'!$H$8:$H$1007,MATCH(C35&amp;"|"&amp;G35,'18-دامنه استانداردها'!$A$8:$A$1007,0)),"")&lt;&gt;"",IFERROR(INDEX('18-دامنه استانداردها'!$I$8:$I$1007,MATCH(C35&amp;"|"&amp;G35,'18-دامنه استانداردها'!$A$8:$A$1007,0)),"")&lt;&gt;""),"عدم کاربرد مستند","عدم کاربرد بدون توجیه"),IF(IFERROR(INDEX('18-دامنه استانداردها'!$D$8:$D$1007,MATCH(C35&amp;"|"&amp;G35,'18-دامنه استانداردها'!$A$8:$A$1007,0)),"")&lt;&gt;"بله","دامنه نامشخص",IF(K35="","بررسی نشده؛ سابقه لازم",IF(NOT(IF(J35="ورودی",AND(COUNTIFS('03-ورودی‌های بازنگری'!$A$8:$A$1007,K35)=1,IFERROR(INDEX('03-ورودی‌های بازنگری'!$D$8:$D$1007,MATCH(K35,'03-ورودی‌های بازنگری'!$A$8:$A$1007,0)),"")=B35,IFERROR(INDEX('03-ورودی‌های بازنگری'!$R$8:$R$1007,MATCH(K35,'03-ورودی‌های بازنگری'!$A$8:$A$1007,0)),"")="معتبر"),IF(J35="تصمیم",AND(COUNTIFS('07-تصمیمات و مصوبات'!$A$8:$A$1007,K35)=1,IFERROR(INDEX('07-تصمیمات و مصوبات'!$B$8:$B$1007,MATCH(K35,'07-تصمیمات و مصوبات'!$A$8:$A$1007,0)),"")=B35,IFERROR(INDEX('07-تصمیمات و مصوبات'!$Z$8:$Z$1007,MATCH(K35,'07-تصمیمات و مصوبات'!$A$8:$A$1007,0)),"")="معتبر",COUNTIFS('15-روابط'!$B$8:$B$1007,K35,'15-روابط'!$C$8:$C$1007,"الزام",'15-روابط'!$D$8:$D$1007,F35,'15-روابط'!$E$8:$E$1007,"رابطه معتبر")&gt;0),IF(J35="نتیجه",AND(COUNTIFS('06-نتایج بازنگری'!$A$8:$A$1007,K35)=1,IFERROR(INDEX('06-نتایج بازنگری'!$D$8:$D$1007,MATCH(K35,'06-نتایج بازنگری'!$A$8:$A$1007,0)),"")=B35,IFERROR(INDEX('06-نتایج بازنگری'!$P$8:$P$1007,MATCH(K35,'06-نتایج بازنگری'!$A$8:$A$1007,0)),"")="معتبر",IFERROR(INDEX('06-نتایج بازنگری'!$F$8:$F$1007,MATCH(K35,'06-نتایج بازنگری'!$A$8:$A$1007,0)),"")=G35),IF(J35="ابلاغ",AND(COUNTIFS('20-ابلاغ نتایج'!$A$8:$A$1007,K35)=1,IFERROR(INDEX('20-ابلاغ نتایج'!$E$8:$E$1007,MATCH(K35,'20-ابلاغ نتایج'!$A$8:$A$1007,0)),"")=B35,IFERROR(INDEX('20-ابلاغ نتایج'!$L$8:$L$1007,MATCH(K35,'20-ابلاغ نتایج'!$A$8:$A$1007,0)),"")="معتبر"),FALSE))))),"سابقه یا شواهد ناقص",IF(IFERROR(INDEX('18-دامنه استانداردها'!$J$8:$J$1007,MATCH(C35&amp;"|"&amp;G35,'18-دامنه استانداردها'!$A$8:$A$1007,0)),"")="تأیید شده","شواهد مرتبط ثبت شد؛ تأیید ممیز لازم",IF(IFERROR(INDEX('18-دامنه استانداردها'!$J$8:$J$1007,MATCH(C35&amp;"|"&amp;G35,'18-دامنه استانداردها'!$A$8:$A$1007,0)),"")="فرضی","پوشش فرضی؛ آموزشی","شواهد حاضر؛ تطبیق نسخه باز"))))))))</f>
        <v>بررسی نشده؛ سابقه لازم</v>
      </c>
      <c r="O35" s="1" t="s">
        <v>1215</v>
      </c>
    </row>
    <row r="36" spans="1:15" ht="36" customHeight="1">
      <c r="A36" s="1" t="s">
        <v>1243</v>
      </c>
      <c r="B36" s="1" t="s">
        <v>83</v>
      </c>
      <c r="C36" s="1" t="s">
        <v>77</v>
      </c>
      <c r="D36" s="1" t="s">
        <v>80</v>
      </c>
      <c r="E36" s="1" t="s">
        <v>379</v>
      </c>
      <c r="F36" s="1" t="s">
        <v>216</v>
      </c>
      <c r="G36" s="3" t="str">
        <f>IF(A36="","",IFERROR(INDEX('02-ماتریس الزامات'!$B$8:$B$1007,MATCH(F36,'02-ماتریس الزامات'!$A$8:$A$1007,0)),""))</f>
        <v>QMS</v>
      </c>
      <c r="H36" s="3" t="str">
        <f>IF(A36="","",IFERROR(INDEX('02-ماتریس الزامات'!$D$8:$D$1007,MATCH(F36,'02-ماتریس الزامات'!$A$8:$A$1007,0)),""))</f>
        <v>9.3.1</v>
      </c>
      <c r="I36" s="3" t="str">
        <f>IF(A36="","",IFERROR(INDEX('02-ماتریس الزامات'!$F$8:$F$1007,MATCH(F36,'02-ماتریس الزامات'!$A$8:$A$1007,0)),""))</f>
        <v>برنامه‌ریزی بازنگری، تناسب، کفایت، اثربخشی و هم‌راستایی راهبردی</v>
      </c>
      <c r="J36" s="1" t="s">
        <v>1244</v>
      </c>
      <c r="K36" s="1"/>
      <c r="L36" s="1"/>
      <c r="M36" s="1"/>
      <c r="N36" s="3" t="str">
        <f>IF(A36="","",IF(NOT(AND(COUNTIFS('13-کنترل انطباق'!$A$8:$A$1007,A36)=1,AND(COUNTIFS('17-جلسات و دوره‌ها'!$A$8:$A$1007,B36)=1,IFERROR(INDEX('17-جلسات و دوره‌ها'!$B$8:$B$1007,MATCH(B36,'17-جلسات و دوره‌ها'!$A$8:$A$1007,0)),"")=C36,IFERROR(INDEX('17-جلسات و دوره‌ها'!$C$8:$C$1007,MATCH(B36,'17-جلسات و دوره‌ها'!$A$8:$A$1007,0)),"")=D36),COUNTIFS('02-ماتریس الزامات'!$A$8:$A$1007,F36)=1,COUNTIFS('18-دامنه استانداردها'!$A$8:$A$1007,C36&amp;"|"&amp;G36)=1)),"شناسه یا دامنه نامعتبر",IF(IFERROR(INDEX('18-دامنه استانداردها'!$D$8:$D$1007,MATCH(C36&amp;"|"&amp;G36,'18-دامنه استانداردها'!$A$8:$A$1007,0)),"")="خیر",IF(AND(L36&lt;&gt;"",M36&lt;&gt;"",IFERROR(INDEX('18-دامنه استانداردها'!$H$8:$H$1007,MATCH(C36&amp;"|"&amp;G36,'18-دامنه استانداردها'!$A$8:$A$1007,0)),"")&lt;&gt;"",IFERROR(INDEX('18-دامنه استانداردها'!$I$8:$I$1007,MATCH(C36&amp;"|"&amp;G36,'18-دامنه استانداردها'!$A$8:$A$1007,0)),"")&lt;&gt;""),"عدم کاربرد مستند","عدم کاربرد بدون توجیه"),IF(IFERROR(INDEX('18-دامنه استانداردها'!$D$8:$D$1007,MATCH(C36&amp;"|"&amp;G36,'18-دامنه استانداردها'!$A$8:$A$1007,0)),"")&lt;&gt;"بله","دامنه نامشخص",IF(K36="","بررسی نشده؛ سابقه لازم",IF(NOT(IF(J36="ورودی",AND(COUNTIFS('03-ورودی‌های بازنگری'!$A$8:$A$1007,K36)=1,IFERROR(INDEX('03-ورودی‌های بازنگری'!$D$8:$D$1007,MATCH(K36,'03-ورودی‌های بازنگری'!$A$8:$A$1007,0)),"")=B36,IFERROR(INDEX('03-ورودی‌های بازنگری'!$R$8:$R$1007,MATCH(K36,'03-ورودی‌های بازنگری'!$A$8:$A$1007,0)),"")="معتبر"),IF(J36="تصمیم",AND(COUNTIFS('07-تصمیمات و مصوبات'!$A$8:$A$1007,K36)=1,IFERROR(INDEX('07-تصمیمات و مصوبات'!$B$8:$B$1007,MATCH(K36,'07-تصمیمات و مصوبات'!$A$8:$A$1007,0)),"")=B36,IFERROR(INDEX('07-تصمیمات و مصوبات'!$Z$8:$Z$1007,MATCH(K36,'07-تصمیمات و مصوبات'!$A$8:$A$1007,0)),"")="معتبر",COUNTIFS('15-روابط'!$B$8:$B$1007,K36,'15-روابط'!$C$8:$C$1007,"الزام",'15-روابط'!$D$8:$D$1007,F36,'15-روابط'!$E$8:$E$1007,"رابطه معتبر")&gt;0),IF(J36="نتیجه",AND(COUNTIFS('06-نتایج بازنگری'!$A$8:$A$1007,K36)=1,IFERROR(INDEX('06-نتایج بازنگری'!$D$8:$D$1007,MATCH(K36,'06-نتایج بازنگری'!$A$8:$A$1007,0)),"")=B36,IFERROR(INDEX('06-نتایج بازنگری'!$P$8:$P$1007,MATCH(K36,'06-نتایج بازنگری'!$A$8:$A$1007,0)),"")="معتبر",IFERROR(INDEX('06-نتایج بازنگری'!$F$8:$F$1007,MATCH(K36,'06-نتایج بازنگری'!$A$8:$A$1007,0)),"")=G36),IF(J36="ابلاغ",AND(COUNTIFS('20-ابلاغ نتایج'!$A$8:$A$1007,K36)=1,IFERROR(INDEX('20-ابلاغ نتایج'!$E$8:$E$1007,MATCH(K36,'20-ابلاغ نتایج'!$A$8:$A$1007,0)),"")=B36,IFERROR(INDEX('20-ابلاغ نتایج'!$L$8:$L$1007,MATCH(K36,'20-ابلاغ نتایج'!$A$8:$A$1007,0)),"")="معتبر"),FALSE))))),"سابقه یا شواهد ناقص",IF(IFERROR(INDEX('18-دامنه استانداردها'!$J$8:$J$1007,MATCH(C36&amp;"|"&amp;G36,'18-دامنه استانداردها'!$A$8:$A$1007,0)),"")="تأیید شده","شواهد مرتبط ثبت شد؛ تأیید ممیز لازم",IF(IFERROR(INDEX('18-دامنه استانداردها'!$J$8:$J$1007,MATCH(C36&amp;"|"&amp;G36,'18-دامنه استانداردها'!$A$8:$A$1007,0)),"")="فرضی","پوشش فرضی؛ آموزشی","شواهد حاضر؛ تطبیق نسخه باز"))))))))</f>
        <v>بررسی نشده؛ سابقه لازم</v>
      </c>
      <c r="O36" s="1" t="s">
        <v>1215</v>
      </c>
    </row>
    <row r="37" spans="1:15" ht="36" customHeight="1">
      <c r="A37" s="1" t="s">
        <v>1245</v>
      </c>
      <c r="B37" s="1" t="s">
        <v>530</v>
      </c>
      <c r="C37" s="1" t="s">
        <v>99</v>
      </c>
      <c r="D37" s="1" t="s">
        <v>529</v>
      </c>
      <c r="E37" s="1" t="s">
        <v>531</v>
      </c>
      <c r="F37" s="1" t="s">
        <v>216</v>
      </c>
      <c r="G37" s="3" t="str">
        <f>IF(A37="","",IFERROR(INDEX('02-ماتریس الزامات'!$B$8:$B$1007,MATCH(F37,'02-ماتریس الزامات'!$A$8:$A$1007,0)),""))</f>
        <v>QMS</v>
      </c>
      <c r="H37" s="3" t="str">
        <f>IF(A37="","",IFERROR(INDEX('02-ماتریس الزامات'!$D$8:$D$1007,MATCH(F37,'02-ماتریس الزامات'!$A$8:$A$1007,0)),""))</f>
        <v>9.3.1</v>
      </c>
      <c r="I37" s="3" t="str">
        <f>IF(A37="","",IFERROR(INDEX('02-ماتریس الزامات'!$F$8:$F$1007,MATCH(F37,'02-ماتریس الزامات'!$A$8:$A$1007,0)),""))</f>
        <v>برنامه‌ریزی بازنگری، تناسب، کفایت، اثربخشی و هم‌راستایی راهبردی</v>
      </c>
      <c r="J37" s="1" t="s">
        <v>1244</v>
      </c>
      <c r="K37" s="1"/>
      <c r="L37" s="1"/>
      <c r="M37" s="1"/>
      <c r="N37" s="3" t="str">
        <f>IF(A37="","",IF(NOT(AND(COUNTIFS('13-کنترل انطباق'!$A$8:$A$1007,A37)=1,AND(COUNTIFS('17-جلسات و دوره‌ها'!$A$8:$A$1007,B37)=1,IFERROR(INDEX('17-جلسات و دوره‌ها'!$B$8:$B$1007,MATCH(B37,'17-جلسات و دوره‌ها'!$A$8:$A$1007,0)),"")=C37,IFERROR(INDEX('17-جلسات و دوره‌ها'!$C$8:$C$1007,MATCH(B37,'17-جلسات و دوره‌ها'!$A$8:$A$1007,0)),"")=D37),COUNTIFS('02-ماتریس الزامات'!$A$8:$A$1007,F37)=1,COUNTIFS('18-دامنه استانداردها'!$A$8:$A$1007,C37&amp;"|"&amp;G37)=1)),"شناسه یا دامنه نامعتبر",IF(IFERROR(INDEX('18-دامنه استانداردها'!$D$8:$D$1007,MATCH(C37&amp;"|"&amp;G37,'18-دامنه استانداردها'!$A$8:$A$1007,0)),"")="خیر",IF(AND(L37&lt;&gt;"",M37&lt;&gt;"",IFERROR(INDEX('18-دامنه استانداردها'!$H$8:$H$1007,MATCH(C37&amp;"|"&amp;G37,'18-دامنه استانداردها'!$A$8:$A$1007,0)),"")&lt;&gt;"",IFERROR(INDEX('18-دامنه استانداردها'!$I$8:$I$1007,MATCH(C37&amp;"|"&amp;G37,'18-دامنه استانداردها'!$A$8:$A$1007,0)),"")&lt;&gt;""),"عدم کاربرد مستند","عدم کاربرد بدون توجیه"),IF(IFERROR(INDEX('18-دامنه استانداردها'!$D$8:$D$1007,MATCH(C37&amp;"|"&amp;G37,'18-دامنه استانداردها'!$A$8:$A$1007,0)),"")&lt;&gt;"بله","دامنه نامشخص",IF(K37="","بررسی نشده؛ سابقه لازم",IF(NOT(IF(J37="ورودی",AND(COUNTIFS('03-ورودی‌های بازنگری'!$A$8:$A$1007,K37)=1,IFERROR(INDEX('03-ورودی‌های بازنگری'!$D$8:$D$1007,MATCH(K37,'03-ورودی‌های بازنگری'!$A$8:$A$1007,0)),"")=B37,IFERROR(INDEX('03-ورودی‌های بازنگری'!$R$8:$R$1007,MATCH(K37,'03-ورودی‌های بازنگری'!$A$8:$A$1007,0)),"")="معتبر"),IF(J37="تصمیم",AND(COUNTIFS('07-تصمیمات و مصوبات'!$A$8:$A$1007,K37)=1,IFERROR(INDEX('07-تصمیمات و مصوبات'!$B$8:$B$1007,MATCH(K37,'07-تصمیمات و مصوبات'!$A$8:$A$1007,0)),"")=B37,IFERROR(INDEX('07-تصمیمات و مصوبات'!$Z$8:$Z$1007,MATCH(K37,'07-تصمیمات و مصوبات'!$A$8:$A$1007,0)),"")="معتبر",COUNTIFS('15-روابط'!$B$8:$B$1007,K37,'15-روابط'!$C$8:$C$1007,"الزام",'15-روابط'!$D$8:$D$1007,F37,'15-روابط'!$E$8:$E$1007,"رابطه معتبر")&gt;0),IF(J37="نتیجه",AND(COUNTIFS('06-نتایج بازنگری'!$A$8:$A$1007,K37)=1,IFERROR(INDEX('06-نتایج بازنگری'!$D$8:$D$1007,MATCH(K37,'06-نتایج بازنگری'!$A$8:$A$1007,0)),"")=B37,IFERROR(INDEX('06-نتایج بازنگری'!$P$8:$P$1007,MATCH(K37,'06-نتایج بازنگری'!$A$8:$A$1007,0)),"")="معتبر",IFERROR(INDEX('06-نتایج بازنگری'!$F$8:$F$1007,MATCH(K37,'06-نتایج بازنگری'!$A$8:$A$1007,0)),"")=G37),IF(J37="ابلاغ",AND(COUNTIFS('20-ابلاغ نتایج'!$A$8:$A$1007,K37)=1,IFERROR(INDEX('20-ابلاغ نتایج'!$E$8:$E$1007,MATCH(K37,'20-ابلاغ نتایج'!$A$8:$A$1007,0)),"")=B37,IFERROR(INDEX('20-ابلاغ نتایج'!$L$8:$L$1007,MATCH(K37,'20-ابلاغ نتایج'!$A$8:$A$1007,0)),"")="معتبر"),FALSE))))),"سابقه یا شواهد ناقص",IF(IFERROR(INDEX('18-دامنه استانداردها'!$J$8:$J$1007,MATCH(C37&amp;"|"&amp;G37,'18-دامنه استانداردها'!$A$8:$A$1007,0)),"")="تأیید شده","شواهد مرتبط ثبت شد؛ تأیید ممیز لازم",IF(IFERROR(INDEX('18-دامنه استانداردها'!$J$8:$J$1007,MATCH(C37&amp;"|"&amp;G37,'18-دامنه استانداردها'!$A$8:$A$1007,0)),"")="فرضی","پوشش فرضی؛ آموزشی","شواهد حاضر؛ تطبیق نسخه باز"))))))))</f>
        <v>بررسی نشده؛ سابقه لازم</v>
      </c>
      <c r="O37" s="1" t="s">
        <v>1215</v>
      </c>
    </row>
    <row r="38" spans="1:15" ht="36" customHeight="1">
      <c r="A38" s="1" t="s">
        <v>1246</v>
      </c>
      <c r="B38" s="1" t="s">
        <v>83</v>
      </c>
      <c r="C38" s="1" t="s">
        <v>77</v>
      </c>
      <c r="D38" s="1" t="s">
        <v>80</v>
      </c>
      <c r="E38" s="1" t="s">
        <v>379</v>
      </c>
      <c r="F38" s="1" t="s">
        <v>223</v>
      </c>
      <c r="G38" s="3" t="str">
        <f>IF(A38="","",IFERROR(INDEX('02-ماتریس الزامات'!$B$8:$B$1007,MATCH(F38,'02-ماتریس الزامات'!$A$8:$A$1007,0)),""))</f>
        <v>QMS</v>
      </c>
      <c r="H38" s="3" t="str">
        <f>IF(A38="","",IFERROR(INDEX('02-ماتریس الزامات'!$D$8:$D$1007,MATCH(F38,'02-ماتریس الزامات'!$A$8:$A$1007,0)),""))</f>
        <v>9.3.3</v>
      </c>
      <c r="I38" s="3" t="str">
        <f>IF(A38="","",IFERROR(INDEX('02-ماتریس الزامات'!$F$8:$F$1007,MATCH(F38,'02-ماتریس الزامات'!$A$8:$A$1007,0)),""))</f>
        <v>بهبود مستمر</v>
      </c>
      <c r="J38" s="1" t="s">
        <v>1116</v>
      </c>
      <c r="K38" s="1"/>
      <c r="L38" s="1"/>
      <c r="M38" s="1"/>
      <c r="N38" s="3" t="str">
        <f>IF(A38="","",IF(NOT(AND(COUNTIFS('13-کنترل انطباق'!$A$8:$A$1007,A38)=1,AND(COUNTIFS('17-جلسات و دوره‌ها'!$A$8:$A$1007,B38)=1,IFERROR(INDEX('17-جلسات و دوره‌ها'!$B$8:$B$1007,MATCH(B38,'17-جلسات و دوره‌ها'!$A$8:$A$1007,0)),"")=C38,IFERROR(INDEX('17-جلسات و دوره‌ها'!$C$8:$C$1007,MATCH(B38,'17-جلسات و دوره‌ها'!$A$8:$A$1007,0)),"")=D38),COUNTIFS('02-ماتریس الزامات'!$A$8:$A$1007,F38)=1,COUNTIFS('18-دامنه استانداردها'!$A$8:$A$1007,C38&amp;"|"&amp;G38)=1)),"شناسه یا دامنه نامعتبر",IF(IFERROR(INDEX('18-دامنه استانداردها'!$D$8:$D$1007,MATCH(C38&amp;"|"&amp;G38,'18-دامنه استانداردها'!$A$8:$A$1007,0)),"")="خیر",IF(AND(L38&lt;&gt;"",M38&lt;&gt;"",IFERROR(INDEX('18-دامنه استانداردها'!$H$8:$H$1007,MATCH(C38&amp;"|"&amp;G38,'18-دامنه استانداردها'!$A$8:$A$1007,0)),"")&lt;&gt;"",IFERROR(INDEX('18-دامنه استانداردها'!$I$8:$I$1007,MATCH(C38&amp;"|"&amp;G38,'18-دامنه استانداردها'!$A$8:$A$1007,0)),"")&lt;&gt;""),"عدم کاربرد مستند","عدم کاربرد بدون توجیه"),IF(IFERROR(INDEX('18-دامنه استانداردها'!$D$8:$D$1007,MATCH(C38&amp;"|"&amp;G38,'18-دامنه استانداردها'!$A$8:$A$1007,0)),"")&lt;&gt;"بله","دامنه نامشخص",IF(K38="","بررسی نشده؛ سابقه لازم",IF(NOT(IF(J38="ورودی",AND(COUNTIFS('03-ورودی‌های بازنگری'!$A$8:$A$1007,K38)=1,IFERROR(INDEX('03-ورودی‌های بازنگری'!$D$8:$D$1007,MATCH(K38,'03-ورودی‌های بازنگری'!$A$8:$A$1007,0)),"")=B38,IFERROR(INDEX('03-ورودی‌های بازنگری'!$R$8:$R$1007,MATCH(K38,'03-ورودی‌های بازنگری'!$A$8:$A$1007,0)),"")="معتبر"),IF(J38="تصمیم",AND(COUNTIFS('07-تصمیمات و مصوبات'!$A$8:$A$1007,K38)=1,IFERROR(INDEX('07-تصمیمات و مصوبات'!$B$8:$B$1007,MATCH(K38,'07-تصمیمات و مصوبات'!$A$8:$A$1007,0)),"")=B38,IFERROR(INDEX('07-تصمیمات و مصوبات'!$Z$8:$Z$1007,MATCH(K38,'07-تصمیمات و مصوبات'!$A$8:$A$1007,0)),"")="معتبر",COUNTIFS('15-روابط'!$B$8:$B$1007,K38,'15-روابط'!$C$8:$C$1007,"الزام",'15-روابط'!$D$8:$D$1007,F38,'15-روابط'!$E$8:$E$1007,"رابطه معتبر")&gt;0),IF(J38="نتیجه",AND(COUNTIFS('06-نتایج بازنگری'!$A$8:$A$1007,K38)=1,IFERROR(INDEX('06-نتایج بازنگری'!$D$8:$D$1007,MATCH(K38,'06-نتایج بازنگری'!$A$8:$A$1007,0)),"")=B38,IFERROR(INDEX('06-نتایج بازنگری'!$P$8:$P$1007,MATCH(K38,'06-نتایج بازنگری'!$A$8:$A$1007,0)),"")="معتبر",IFERROR(INDEX('06-نتایج بازنگری'!$F$8:$F$1007,MATCH(K38,'06-نتایج بازنگری'!$A$8:$A$1007,0)),"")=G38),IF(J38="ابلاغ",AND(COUNTIFS('20-ابلاغ نتایج'!$A$8:$A$1007,K38)=1,IFERROR(INDEX('20-ابلاغ نتایج'!$E$8:$E$1007,MATCH(K38,'20-ابلاغ نتایج'!$A$8:$A$1007,0)),"")=B38,IFERROR(INDEX('20-ابلاغ نتایج'!$L$8:$L$1007,MATCH(K38,'20-ابلاغ نتایج'!$A$8:$A$1007,0)),"")="معتبر"),FALSE))))),"سابقه یا شواهد ناقص",IF(IFERROR(INDEX('18-دامنه استانداردها'!$J$8:$J$1007,MATCH(C38&amp;"|"&amp;G38,'18-دامنه استانداردها'!$A$8:$A$1007,0)),"")="تأیید شده","شواهد مرتبط ثبت شد؛ تأیید ممیز لازم",IF(IFERROR(INDEX('18-دامنه استانداردها'!$J$8:$J$1007,MATCH(C38&amp;"|"&amp;G38,'18-دامنه استانداردها'!$A$8:$A$1007,0)),"")="فرضی","پوشش فرضی؛ آموزشی","شواهد حاضر؛ تطبیق نسخه باز"))))))))</f>
        <v>بررسی نشده؛ سابقه لازم</v>
      </c>
      <c r="O38" s="1" t="s">
        <v>1215</v>
      </c>
    </row>
    <row r="39" spans="1:15" ht="36" customHeight="1">
      <c r="A39" s="1" t="s">
        <v>1247</v>
      </c>
      <c r="B39" s="1" t="s">
        <v>530</v>
      </c>
      <c r="C39" s="1" t="s">
        <v>99</v>
      </c>
      <c r="D39" s="1" t="s">
        <v>529</v>
      </c>
      <c r="E39" s="1" t="s">
        <v>531</v>
      </c>
      <c r="F39" s="1" t="s">
        <v>223</v>
      </c>
      <c r="G39" s="3" t="str">
        <f>IF(A39="","",IFERROR(INDEX('02-ماتریس الزامات'!$B$8:$B$1007,MATCH(F39,'02-ماتریس الزامات'!$A$8:$A$1007,0)),""))</f>
        <v>QMS</v>
      </c>
      <c r="H39" s="3" t="str">
        <f>IF(A39="","",IFERROR(INDEX('02-ماتریس الزامات'!$D$8:$D$1007,MATCH(F39,'02-ماتریس الزامات'!$A$8:$A$1007,0)),""))</f>
        <v>9.3.3</v>
      </c>
      <c r="I39" s="3" t="str">
        <f>IF(A39="","",IFERROR(INDEX('02-ماتریس الزامات'!$F$8:$F$1007,MATCH(F39,'02-ماتریس الزامات'!$A$8:$A$1007,0)),""))</f>
        <v>بهبود مستمر</v>
      </c>
      <c r="J39" s="1" t="s">
        <v>1116</v>
      </c>
      <c r="K39" s="1"/>
      <c r="L39" s="1"/>
      <c r="M39" s="1"/>
      <c r="N39" s="3" t="str">
        <f>IF(A39="","",IF(NOT(AND(COUNTIFS('13-کنترل انطباق'!$A$8:$A$1007,A39)=1,AND(COUNTIFS('17-جلسات و دوره‌ها'!$A$8:$A$1007,B39)=1,IFERROR(INDEX('17-جلسات و دوره‌ها'!$B$8:$B$1007,MATCH(B39,'17-جلسات و دوره‌ها'!$A$8:$A$1007,0)),"")=C39,IFERROR(INDEX('17-جلسات و دوره‌ها'!$C$8:$C$1007,MATCH(B39,'17-جلسات و دوره‌ها'!$A$8:$A$1007,0)),"")=D39),COUNTIFS('02-ماتریس الزامات'!$A$8:$A$1007,F39)=1,COUNTIFS('18-دامنه استانداردها'!$A$8:$A$1007,C39&amp;"|"&amp;G39)=1)),"شناسه یا دامنه نامعتبر",IF(IFERROR(INDEX('18-دامنه استانداردها'!$D$8:$D$1007,MATCH(C39&amp;"|"&amp;G39,'18-دامنه استانداردها'!$A$8:$A$1007,0)),"")="خیر",IF(AND(L39&lt;&gt;"",M39&lt;&gt;"",IFERROR(INDEX('18-دامنه استانداردها'!$H$8:$H$1007,MATCH(C39&amp;"|"&amp;G39,'18-دامنه استانداردها'!$A$8:$A$1007,0)),"")&lt;&gt;"",IFERROR(INDEX('18-دامنه استانداردها'!$I$8:$I$1007,MATCH(C39&amp;"|"&amp;G39,'18-دامنه استانداردها'!$A$8:$A$1007,0)),"")&lt;&gt;""),"عدم کاربرد مستند","عدم کاربرد بدون توجیه"),IF(IFERROR(INDEX('18-دامنه استانداردها'!$D$8:$D$1007,MATCH(C39&amp;"|"&amp;G39,'18-دامنه استانداردها'!$A$8:$A$1007,0)),"")&lt;&gt;"بله","دامنه نامشخص",IF(K39="","بررسی نشده؛ سابقه لازم",IF(NOT(IF(J39="ورودی",AND(COUNTIFS('03-ورودی‌های بازنگری'!$A$8:$A$1007,K39)=1,IFERROR(INDEX('03-ورودی‌های بازنگری'!$D$8:$D$1007,MATCH(K39,'03-ورودی‌های بازنگری'!$A$8:$A$1007,0)),"")=B39,IFERROR(INDEX('03-ورودی‌های بازنگری'!$R$8:$R$1007,MATCH(K39,'03-ورودی‌های بازنگری'!$A$8:$A$1007,0)),"")="معتبر"),IF(J39="تصمیم",AND(COUNTIFS('07-تصمیمات و مصوبات'!$A$8:$A$1007,K39)=1,IFERROR(INDEX('07-تصمیمات و مصوبات'!$B$8:$B$1007,MATCH(K39,'07-تصمیمات و مصوبات'!$A$8:$A$1007,0)),"")=B39,IFERROR(INDEX('07-تصمیمات و مصوبات'!$Z$8:$Z$1007,MATCH(K39,'07-تصمیمات و مصوبات'!$A$8:$A$1007,0)),"")="معتبر",COUNTIFS('15-روابط'!$B$8:$B$1007,K39,'15-روابط'!$C$8:$C$1007,"الزام",'15-روابط'!$D$8:$D$1007,F39,'15-روابط'!$E$8:$E$1007,"رابطه معتبر")&gt;0),IF(J39="نتیجه",AND(COUNTIFS('06-نتایج بازنگری'!$A$8:$A$1007,K39)=1,IFERROR(INDEX('06-نتایج بازنگری'!$D$8:$D$1007,MATCH(K39,'06-نتایج بازنگری'!$A$8:$A$1007,0)),"")=B39,IFERROR(INDEX('06-نتایج بازنگری'!$P$8:$P$1007,MATCH(K39,'06-نتایج بازنگری'!$A$8:$A$1007,0)),"")="معتبر",IFERROR(INDEX('06-نتایج بازنگری'!$F$8:$F$1007,MATCH(K39,'06-نتایج بازنگری'!$A$8:$A$1007,0)),"")=G39),IF(J39="ابلاغ",AND(COUNTIFS('20-ابلاغ نتایج'!$A$8:$A$1007,K39)=1,IFERROR(INDEX('20-ابلاغ نتایج'!$E$8:$E$1007,MATCH(K39,'20-ابلاغ نتایج'!$A$8:$A$1007,0)),"")=B39,IFERROR(INDEX('20-ابلاغ نتایج'!$L$8:$L$1007,MATCH(K39,'20-ابلاغ نتایج'!$A$8:$A$1007,0)),"")="معتبر"),FALSE))))),"سابقه یا شواهد ناقص",IF(IFERROR(INDEX('18-دامنه استانداردها'!$J$8:$J$1007,MATCH(C39&amp;"|"&amp;G39,'18-دامنه استانداردها'!$A$8:$A$1007,0)),"")="تأیید شده","شواهد مرتبط ثبت شد؛ تأیید ممیز لازم",IF(IFERROR(INDEX('18-دامنه استانداردها'!$J$8:$J$1007,MATCH(C39&amp;"|"&amp;G39,'18-دامنه استانداردها'!$A$8:$A$1007,0)),"")="فرضی","پوشش فرضی؛ آموزشی","شواهد حاضر؛ تطبیق نسخه باز"))))))))</f>
        <v>بررسی نشده؛ سابقه لازم</v>
      </c>
      <c r="O39" s="1" t="s">
        <v>1215</v>
      </c>
    </row>
    <row r="40" spans="1:15" ht="36" customHeight="1">
      <c r="A40" s="1" t="s">
        <v>1248</v>
      </c>
      <c r="B40" s="1" t="s">
        <v>83</v>
      </c>
      <c r="C40" s="1" t="s">
        <v>77</v>
      </c>
      <c r="D40" s="1" t="s">
        <v>80</v>
      </c>
      <c r="E40" s="1" t="s">
        <v>379</v>
      </c>
      <c r="F40" s="1" t="s">
        <v>229</v>
      </c>
      <c r="G40" s="3" t="str">
        <f>IF(A40="","",IFERROR(INDEX('02-ماتریس الزامات'!$B$8:$B$1007,MATCH(F40,'02-ماتریس الزامات'!$A$8:$A$1007,0)),""))</f>
        <v>QMS</v>
      </c>
      <c r="H40" s="3" t="str">
        <f>IF(A40="","",IFERROR(INDEX('02-ماتریس الزامات'!$D$8:$D$1007,MATCH(F40,'02-ماتریس الزامات'!$A$8:$A$1007,0)),""))</f>
        <v>9.3.3</v>
      </c>
      <c r="I40" s="3" t="str">
        <f>IF(A40="","",IFERROR(INDEX('02-ماتریس الزامات'!$F$8:$F$1007,MATCH(F40,'02-ماتریس الزامات'!$A$8:$A$1007,0)),""))</f>
        <v>تغییر سیستم</v>
      </c>
      <c r="J40" s="1" t="s">
        <v>1116</v>
      </c>
      <c r="K40" s="1"/>
      <c r="L40" s="1"/>
      <c r="M40" s="1"/>
      <c r="N40" s="3" t="str">
        <f>IF(A40="","",IF(NOT(AND(COUNTIFS('13-کنترل انطباق'!$A$8:$A$1007,A40)=1,AND(COUNTIFS('17-جلسات و دوره‌ها'!$A$8:$A$1007,B40)=1,IFERROR(INDEX('17-جلسات و دوره‌ها'!$B$8:$B$1007,MATCH(B40,'17-جلسات و دوره‌ها'!$A$8:$A$1007,0)),"")=C40,IFERROR(INDEX('17-جلسات و دوره‌ها'!$C$8:$C$1007,MATCH(B40,'17-جلسات و دوره‌ها'!$A$8:$A$1007,0)),"")=D40),COUNTIFS('02-ماتریس الزامات'!$A$8:$A$1007,F40)=1,COUNTIFS('18-دامنه استانداردها'!$A$8:$A$1007,C40&amp;"|"&amp;G40)=1)),"شناسه یا دامنه نامعتبر",IF(IFERROR(INDEX('18-دامنه استانداردها'!$D$8:$D$1007,MATCH(C40&amp;"|"&amp;G40,'18-دامنه استانداردها'!$A$8:$A$1007,0)),"")="خیر",IF(AND(L40&lt;&gt;"",M40&lt;&gt;"",IFERROR(INDEX('18-دامنه استانداردها'!$H$8:$H$1007,MATCH(C40&amp;"|"&amp;G40,'18-دامنه استانداردها'!$A$8:$A$1007,0)),"")&lt;&gt;"",IFERROR(INDEX('18-دامنه استانداردها'!$I$8:$I$1007,MATCH(C40&amp;"|"&amp;G40,'18-دامنه استانداردها'!$A$8:$A$1007,0)),"")&lt;&gt;""),"عدم کاربرد مستند","عدم کاربرد بدون توجیه"),IF(IFERROR(INDEX('18-دامنه استانداردها'!$D$8:$D$1007,MATCH(C40&amp;"|"&amp;G40,'18-دامنه استانداردها'!$A$8:$A$1007,0)),"")&lt;&gt;"بله","دامنه نامشخص",IF(K40="","بررسی نشده؛ سابقه لازم",IF(NOT(IF(J40="ورودی",AND(COUNTIFS('03-ورودی‌های بازنگری'!$A$8:$A$1007,K40)=1,IFERROR(INDEX('03-ورودی‌های بازنگری'!$D$8:$D$1007,MATCH(K40,'03-ورودی‌های بازنگری'!$A$8:$A$1007,0)),"")=B40,IFERROR(INDEX('03-ورودی‌های بازنگری'!$R$8:$R$1007,MATCH(K40,'03-ورودی‌های بازنگری'!$A$8:$A$1007,0)),"")="معتبر"),IF(J40="تصمیم",AND(COUNTIFS('07-تصمیمات و مصوبات'!$A$8:$A$1007,K40)=1,IFERROR(INDEX('07-تصمیمات و مصوبات'!$B$8:$B$1007,MATCH(K40,'07-تصمیمات و مصوبات'!$A$8:$A$1007,0)),"")=B40,IFERROR(INDEX('07-تصمیمات و مصوبات'!$Z$8:$Z$1007,MATCH(K40,'07-تصمیمات و مصوبات'!$A$8:$A$1007,0)),"")="معتبر",COUNTIFS('15-روابط'!$B$8:$B$1007,K40,'15-روابط'!$C$8:$C$1007,"الزام",'15-روابط'!$D$8:$D$1007,F40,'15-روابط'!$E$8:$E$1007,"رابطه معتبر")&gt;0),IF(J40="نتیجه",AND(COUNTIFS('06-نتایج بازنگری'!$A$8:$A$1007,K40)=1,IFERROR(INDEX('06-نتایج بازنگری'!$D$8:$D$1007,MATCH(K40,'06-نتایج بازنگری'!$A$8:$A$1007,0)),"")=B40,IFERROR(INDEX('06-نتایج بازنگری'!$P$8:$P$1007,MATCH(K40,'06-نتایج بازنگری'!$A$8:$A$1007,0)),"")="معتبر",IFERROR(INDEX('06-نتایج بازنگری'!$F$8:$F$1007,MATCH(K40,'06-نتایج بازنگری'!$A$8:$A$1007,0)),"")=G40),IF(J40="ابلاغ",AND(COUNTIFS('20-ابلاغ نتایج'!$A$8:$A$1007,K40)=1,IFERROR(INDEX('20-ابلاغ نتایج'!$E$8:$E$1007,MATCH(K40,'20-ابلاغ نتایج'!$A$8:$A$1007,0)),"")=B40,IFERROR(INDEX('20-ابلاغ نتایج'!$L$8:$L$1007,MATCH(K40,'20-ابلاغ نتایج'!$A$8:$A$1007,0)),"")="معتبر"),FALSE))))),"سابقه یا شواهد ناقص",IF(IFERROR(INDEX('18-دامنه استانداردها'!$J$8:$J$1007,MATCH(C40&amp;"|"&amp;G40,'18-دامنه استانداردها'!$A$8:$A$1007,0)),"")="تأیید شده","شواهد مرتبط ثبت شد؛ تأیید ممیز لازم",IF(IFERROR(INDEX('18-دامنه استانداردها'!$J$8:$J$1007,MATCH(C40&amp;"|"&amp;G40,'18-دامنه استانداردها'!$A$8:$A$1007,0)),"")="فرضی","پوشش فرضی؛ آموزشی","شواهد حاضر؛ تطبیق نسخه باز"))))))))</f>
        <v>بررسی نشده؛ سابقه لازم</v>
      </c>
      <c r="O40" s="1" t="s">
        <v>1215</v>
      </c>
    </row>
    <row r="41" spans="1:15" ht="36" customHeight="1">
      <c r="A41" s="1" t="s">
        <v>1249</v>
      </c>
      <c r="B41" s="1" t="s">
        <v>530</v>
      </c>
      <c r="C41" s="1" t="s">
        <v>99</v>
      </c>
      <c r="D41" s="1" t="s">
        <v>529</v>
      </c>
      <c r="E41" s="1" t="s">
        <v>531</v>
      </c>
      <c r="F41" s="1" t="s">
        <v>229</v>
      </c>
      <c r="G41" s="3" t="str">
        <f>IF(A41="","",IFERROR(INDEX('02-ماتریس الزامات'!$B$8:$B$1007,MATCH(F41,'02-ماتریس الزامات'!$A$8:$A$1007,0)),""))</f>
        <v>QMS</v>
      </c>
      <c r="H41" s="3" t="str">
        <f>IF(A41="","",IFERROR(INDEX('02-ماتریس الزامات'!$D$8:$D$1007,MATCH(F41,'02-ماتریس الزامات'!$A$8:$A$1007,0)),""))</f>
        <v>9.3.3</v>
      </c>
      <c r="I41" s="3" t="str">
        <f>IF(A41="","",IFERROR(INDEX('02-ماتریس الزامات'!$F$8:$F$1007,MATCH(F41,'02-ماتریس الزامات'!$A$8:$A$1007,0)),""))</f>
        <v>تغییر سیستم</v>
      </c>
      <c r="J41" s="1" t="s">
        <v>1116</v>
      </c>
      <c r="K41" s="1"/>
      <c r="L41" s="1"/>
      <c r="M41" s="1"/>
      <c r="N41" s="3" t="str">
        <f>IF(A41="","",IF(NOT(AND(COUNTIFS('13-کنترل انطباق'!$A$8:$A$1007,A41)=1,AND(COUNTIFS('17-جلسات و دوره‌ها'!$A$8:$A$1007,B41)=1,IFERROR(INDEX('17-جلسات و دوره‌ها'!$B$8:$B$1007,MATCH(B41,'17-جلسات و دوره‌ها'!$A$8:$A$1007,0)),"")=C41,IFERROR(INDEX('17-جلسات و دوره‌ها'!$C$8:$C$1007,MATCH(B41,'17-جلسات و دوره‌ها'!$A$8:$A$1007,0)),"")=D41),COUNTIFS('02-ماتریس الزامات'!$A$8:$A$1007,F41)=1,COUNTIFS('18-دامنه استانداردها'!$A$8:$A$1007,C41&amp;"|"&amp;G41)=1)),"شناسه یا دامنه نامعتبر",IF(IFERROR(INDEX('18-دامنه استانداردها'!$D$8:$D$1007,MATCH(C41&amp;"|"&amp;G41,'18-دامنه استانداردها'!$A$8:$A$1007,0)),"")="خیر",IF(AND(L41&lt;&gt;"",M41&lt;&gt;"",IFERROR(INDEX('18-دامنه استانداردها'!$H$8:$H$1007,MATCH(C41&amp;"|"&amp;G41,'18-دامنه استانداردها'!$A$8:$A$1007,0)),"")&lt;&gt;"",IFERROR(INDEX('18-دامنه استانداردها'!$I$8:$I$1007,MATCH(C41&amp;"|"&amp;G41,'18-دامنه استانداردها'!$A$8:$A$1007,0)),"")&lt;&gt;""),"عدم کاربرد مستند","عدم کاربرد بدون توجیه"),IF(IFERROR(INDEX('18-دامنه استانداردها'!$D$8:$D$1007,MATCH(C41&amp;"|"&amp;G41,'18-دامنه استانداردها'!$A$8:$A$1007,0)),"")&lt;&gt;"بله","دامنه نامشخص",IF(K41="","بررسی نشده؛ سابقه لازم",IF(NOT(IF(J41="ورودی",AND(COUNTIFS('03-ورودی‌های بازنگری'!$A$8:$A$1007,K41)=1,IFERROR(INDEX('03-ورودی‌های بازنگری'!$D$8:$D$1007,MATCH(K41,'03-ورودی‌های بازنگری'!$A$8:$A$1007,0)),"")=B41,IFERROR(INDEX('03-ورودی‌های بازنگری'!$R$8:$R$1007,MATCH(K41,'03-ورودی‌های بازنگری'!$A$8:$A$1007,0)),"")="معتبر"),IF(J41="تصمیم",AND(COUNTIFS('07-تصمیمات و مصوبات'!$A$8:$A$1007,K41)=1,IFERROR(INDEX('07-تصمیمات و مصوبات'!$B$8:$B$1007,MATCH(K41,'07-تصمیمات و مصوبات'!$A$8:$A$1007,0)),"")=B41,IFERROR(INDEX('07-تصمیمات و مصوبات'!$Z$8:$Z$1007,MATCH(K41,'07-تصمیمات و مصوبات'!$A$8:$A$1007,0)),"")="معتبر",COUNTIFS('15-روابط'!$B$8:$B$1007,K41,'15-روابط'!$C$8:$C$1007,"الزام",'15-روابط'!$D$8:$D$1007,F41,'15-روابط'!$E$8:$E$1007,"رابطه معتبر")&gt;0),IF(J41="نتیجه",AND(COUNTIFS('06-نتایج بازنگری'!$A$8:$A$1007,K41)=1,IFERROR(INDEX('06-نتایج بازنگری'!$D$8:$D$1007,MATCH(K41,'06-نتایج بازنگری'!$A$8:$A$1007,0)),"")=B41,IFERROR(INDEX('06-نتایج بازنگری'!$P$8:$P$1007,MATCH(K41,'06-نتایج بازنگری'!$A$8:$A$1007,0)),"")="معتبر",IFERROR(INDEX('06-نتایج بازنگری'!$F$8:$F$1007,MATCH(K41,'06-نتایج بازنگری'!$A$8:$A$1007,0)),"")=G41),IF(J41="ابلاغ",AND(COUNTIFS('20-ابلاغ نتایج'!$A$8:$A$1007,K41)=1,IFERROR(INDEX('20-ابلاغ نتایج'!$E$8:$E$1007,MATCH(K41,'20-ابلاغ نتایج'!$A$8:$A$1007,0)),"")=B41,IFERROR(INDEX('20-ابلاغ نتایج'!$L$8:$L$1007,MATCH(K41,'20-ابلاغ نتایج'!$A$8:$A$1007,0)),"")="معتبر"),FALSE))))),"سابقه یا شواهد ناقص",IF(IFERROR(INDEX('18-دامنه استانداردها'!$J$8:$J$1007,MATCH(C41&amp;"|"&amp;G41,'18-دامنه استانداردها'!$A$8:$A$1007,0)),"")="تأیید شده","شواهد مرتبط ثبت شد؛ تأیید ممیز لازم",IF(IFERROR(INDEX('18-دامنه استانداردها'!$J$8:$J$1007,MATCH(C41&amp;"|"&amp;G41,'18-دامنه استانداردها'!$A$8:$A$1007,0)),"")="فرضی","پوشش فرضی؛ آموزشی","شواهد حاضر؛ تطبیق نسخه باز"))))))))</f>
        <v>بررسی نشده؛ سابقه لازم</v>
      </c>
      <c r="O41" s="1" t="s">
        <v>1215</v>
      </c>
    </row>
    <row r="42" spans="1:15" ht="36" customHeight="1">
      <c r="A42" s="1" t="s">
        <v>1250</v>
      </c>
      <c r="B42" s="1" t="s">
        <v>83</v>
      </c>
      <c r="C42" s="1" t="s">
        <v>77</v>
      </c>
      <c r="D42" s="1" t="s">
        <v>80</v>
      </c>
      <c r="E42" s="1" t="s">
        <v>379</v>
      </c>
      <c r="F42" s="1" t="s">
        <v>231</v>
      </c>
      <c r="G42" s="3" t="str">
        <f>IF(A42="","",IFERROR(INDEX('02-ماتریس الزامات'!$B$8:$B$1007,MATCH(F42,'02-ماتریس الزامات'!$A$8:$A$1007,0)),""))</f>
        <v>QMS</v>
      </c>
      <c r="H42" s="3" t="str">
        <f>IF(A42="","",IFERROR(INDEX('02-ماتریس الزامات'!$D$8:$D$1007,MATCH(F42,'02-ماتریس الزامات'!$A$8:$A$1007,0)),""))</f>
        <v>9.3.3</v>
      </c>
      <c r="I42" s="3" t="str">
        <f>IF(A42="","",IFERROR(INDEX('02-ماتریس الزامات'!$F$8:$F$1007,MATCH(F42,'02-ماتریس الزامات'!$A$8:$A$1007,0)),""))</f>
        <v>تأمین منابع</v>
      </c>
      <c r="J42" s="1" t="s">
        <v>1116</v>
      </c>
      <c r="K42" s="1"/>
      <c r="L42" s="1"/>
      <c r="M42" s="1"/>
      <c r="N42" s="3" t="str">
        <f>IF(A42="","",IF(NOT(AND(COUNTIFS('13-کنترل انطباق'!$A$8:$A$1007,A42)=1,AND(COUNTIFS('17-جلسات و دوره‌ها'!$A$8:$A$1007,B42)=1,IFERROR(INDEX('17-جلسات و دوره‌ها'!$B$8:$B$1007,MATCH(B42,'17-جلسات و دوره‌ها'!$A$8:$A$1007,0)),"")=C42,IFERROR(INDEX('17-جلسات و دوره‌ها'!$C$8:$C$1007,MATCH(B42,'17-جلسات و دوره‌ها'!$A$8:$A$1007,0)),"")=D42),COUNTIFS('02-ماتریس الزامات'!$A$8:$A$1007,F42)=1,COUNTIFS('18-دامنه استانداردها'!$A$8:$A$1007,C42&amp;"|"&amp;G42)=1)),"شناسه یا دامنه نامعتبر",IF(IFERROR(INDEX('18-دامنه استانداردها'!$D$8:$D$1007,MATCH(C42&amp;"|"&amp;G42,'18-دامنه استانداردها'!$A$8:$A$1007,0)),"")="خیر",IF(AND(L42&lt;&gt;"",M42&lt;&gt;"",IFERROR(INDEX('18-دامنه استانداردها'!$H$8:$H$1007,MATCH(C42&amp;"|"&amp;G42,'18-دامنه استانداردها'!$A$8:$A$1007,0)),"")&lt;&gt;"",IFERROR(INDEX('18-دامنه استانداردها'!$I$8:$I$1007,MATCH(C42&amp;"|"&amp;G42,'18-دامنه استانداردها'!$A$8:$A$1007,0)),"")&lt;&gt;""),"عدم کاربرد مستند","عدم کاربرد بدون توجیه"),IF(IFERROR(INDEX('18-دامنه استانداردها'!$D$8:$D$1007,MATCH(C42&amp;"|"&amp;G42,'18-دامنه استانداردها'!$A$8:$A$1007,0)),"")&lt;&gt;"بله","دامنه نامشخص",IF(K42="","بررسی نشده؛ سابقه لازم",IF(NOT(IF(J42="ورودی",AND(COUNTIFS('03-ورودی‌های بازنگری'!$A$8:$A$1007,K42)=1,IFERROR(INDEX('03-ورودی‌های بازنگری'!$D$8:$D$1007,MATCH(K42,'03-ورودی‌های بازنگری'!$A$8:$A$1007,0)),"")=B42,IFERROR(INDEX('03-ورودی‌های بازنگری'!$R$8:$R$1007,MATCH(K42,'03-ورودی‌های بازنگری'!$A$8:$A$1007,0)),"")="معتبر"),IF(J42="تصمیم",AND(COUNTIFS('07-تصمیمات و مصوبات'!$A$8:$A$1007,K42)=1,IFERROR(INDEX('07-تصمیمات و مصوبات'!$B$8:$B$1007,MATCH(K42,'07-تصمیمات و مصوبات'!$A$8:$A$1007,0)),"")=B42,IFERROR(INDEX('07-تصمیمات و مصوبات'!$Z$8:$Z$1007,MATCH(K42,'07-تصمیمات و مصوبات'!$A$8:$A$1007,0)),"")="معتبر",COUNTIFS('15-روابط'!$B$8:$B$1007,K42,'15-روابط'!$C$8:$C$1007,"الزام",'15-روابط'!$D$8:$D$1007,F42,'15-روابط'!$E$8:$E$1007,"رابطه معتبر")&gt;0),IF(J42="نتیجه",AND(COUNTIFS('06-نتایج بازنگری'!$A$8:$A$1007,K42)=1,IFERROR(INDEX('06-نتایج بازنگری'!$D$8:$D$1007,MATCH(K42,'06-نتایج بازنگری'!$A$8:$A$1007,0)),"")=B42,IFERROR(INDEX('06-نتایج بازنگری'!$P$8:$P$1007,MATCH(K42,'06-نتایج بازنگری'!$A$8:$A$1007,0)),"")="معتبر",IFERROR(INDEX('06-نتایج بازنگری'!$F$8:$F$1007,MATCH(K42,'06-نتایج بازنگری'!$A$8:$A$1007,0)),"")=G42),IF(J42="ابلاغ",AND(COUNTIFS('20-ابلاغ نتایج'!$A$8:$A$1007,K42)=1,IFERROR(INDEX('20-ابلاغ نتایج'!$E$8:$E$1007,MATCH(K42,'20-ابلاغ نتایج'!$A$8:$A$1007,0)),"")=B42,IFERROR(INDEX('20-ابلاغ نتایج'!$L$8:$L$1007,MATCH(K42,'20-ابلاغ نتایج'!$A$8:$A$1007,0)),"")="معتبر"),FALSE))))),"سابقه یا شواهد ناقص",IF(IFERROR(INDEX('18-دامنه استانداردها'!$J$8:$J$1007,MATCH(C42&amp;"|"&amp;G42,'18-دامنه استانداردها'!$A$8:$A$1007,0)),"")="تأیید شده","شواهد مرتبط ثبت شد؛ تأیید ممیز لازم",IF(IFERROR(INDEX('18-دامنه استانداردها'!$J$8:$J$1007,MATCH(C42&amp;"|"&amp;G42,'18-دامنه استانداردها'!$A$8:$A$1007,0)),"")="فرضی","پوشش فرضی؛ آموزشی","شواهد حاضر؛ تطبیق نسخه باز"))))))))</f>
        <v>بررسی نشده؛ سابقه لازم</v>
      </c>
      <c r="O42" s="1" t="s">
        <v>1215</v>
      </c>
    </row>
    <row r="43" spans="1:15" ht="36" customHeight="1">
      <c r="A43" s="1" t="s">
        <v>1251</v>
      </c>
      <c r="B43" s="1" t="s">
        <v>530</v>
      </c>
      <c r="C43" s="1" t="s">
        <v>99</v>
      </c>
      <c r="D43" s="1" t="s">
        <v>529</v>
      </c>
      <c r="E43" s="1" t="s">
        <v>531</v>
      </c>
      <c r="F43" s="1" t="s">
        <v>231</v>
      </c>
      <c r="G43" s="3" t="str">
        <f>IF(A43="","",IFERROR(INDEX('02-ماتریس الزامات'!$B$8:$B$1007,MATCH(F43,'02-ماتریس الزامات'!$A$8:$A$1007,0)),""))</f>
        <v>QMS</v>
      </c>
      <c r="H43" s="3" t="str">
        <f>IF(A43="","",IFERROR(INDEX('02-ماتریس الزامات'!$D$8:$D$1007,MATCH(F43,'02-ماتریس الزامات'!$A$8:$A$1007,0)),""))</f>
        <v>9.3.3</v>
      </c>
      <c r="I43" s="3" t="str">
        <f>IF(A43="","",IFERROR(INDEX('02-ماتریس الزامات'!$F$8:$F$1007,MATCH(F43,'02-ماتریس الزامات'!$A$8:$A$1007,0)),""))</f>
        <v>تأمین منابع</v>
      </c>
      <c r="J43" s="1" t="s">
        <v>1116</v>
      </c>
      <c r="K43" s="1"/>
      <c r="L43" s="1"/>
      <c r="M43" s="1"/>
      <c r="N43" s="3" t="str">
        <f>IF(A43="","",IF(NOT(AND(COUNTIFS('13-کنترل انطباق'!$A$8:$A$1007,A43)=1,AND(COUNTIFS('17-جلسات و دوره‌ها'!$A$8:$A$1007,B43)=1,IFERROR(INDEX('17-جلسات و دوره‌ها'!$B$8:$B$1007,MATCH(B43,'17-جلسات و دوره‌ها'!$A$8:$A$1007,0)),"")=C43,IFERROR(INDEX('17-جلسات و دوره‌ها'!$C$8:$C$1007,MATCH(B43,'17-جلسات و دوره‌ها'!$A$8:$A$1007,0)),"")=D43),COUNTIFS('02-ماتریس الزامات'!$A$8:$A$1007,F43)=1,COUNTIFS('18-دامنه استانداردها'!$A$8:$A$1007,C43&amp;"|"&amp;G43)=1)),"شناسه یا دامنه نامعتبر",IF(IFERROR(INDEX('18-دامنه استانداردها'!$D$8:$D$1007,MATCH(C43&amp;"|"&amp;G43,'18-دامنه استانداردها'!$A$8:$A$1007,0)),"")="خیر",IF(AND(L43&lt;&gt;"",M43&lt;&gt;"",IFERROR(INDEX('18-دامنه استانداردها'!$H$8:$H$1007,MATCH(C43&amp;"|"&amp;G43,'18-دامنه استانداردها'!$A$8:$A$1007,0)),"")&lt;&gt;"",IFERROR(INDEX('18-دامنه استانداردها'!$I$8:$I$1007,MATCH(C43&amp;"|"&amp;G43,'18-دامنه استانداردها'!$A$8:$A$1007,0)),"")&lt;&gt;""),"عدم کاربرد مستند","عدم کاربرد بدون توجیه"),IF(IFERROR(INDEX('18-دامنه استانداردها'!$D$8:$D$1007,MATCH(C43&amp;"|"&amp;G43,'18-دامنه استانداردها'!$A$8:$A$1007,0)),"")&lt;&gt;"بله","دامنه نامشخص",IF(K43="","بررسی نشده؛ سابقه لازم",IF(NOT(IF(J43="ورودی",AND(COUNTIFS('03-ورودی‌های بازنگری'!$A$8:$A$1007,K43)=1,IFERROR(INDEX('03-ورودی‌های بازنگری'!$D$8:$D$1007,MATCH(K43,'03-ورودی‌های بازنگری'!$A$8:$A$1007,0)),"")=B43,IFERROR(INDEX('03-ورودی‌های بازنگری'!$R$8:$R$1007,MATCH(K43,'03-ورودی‌های بازنگری'!$A$8:$A$1007,0)),"")="معتبر"),IF(J43="تصمیم",AND(COUNTIFS('07-تصمیمات و مصوبات'!$A$8:$A$1007,K43)=1,IFERROR(INDEX('07-تصمیمات و مصوبات'!$B$8:$B$1007,MATCH(K43,'07-تصمیمات و مصوبات'!$A$8:$A$1007,0)),"")=B43,IFERROR(INDEX('07-تصمیمات و مصوبات'!$Z$8:$Z$1007,MATCH(K43,'07-تصمیمات و مصوبات'!$A$8:$A$1007,0)),"")="معتبر",COUNTIFS('15-روابط'!$B$8:$B$1007,K43,'15-روابط'!$C$8:$C$1007,"الزام",'15-روابط'!$D$8:$D$1007,F43,'15-روابط'!$E$8:$E$1007,"رابطه معتبر")&gt;0),IF(J43="نتیجه",AND(COUNTIFS('06-نتایج بازنگری'!$A$8:$A$1007,K43)=1,IFERROR(INDEX('06-نتایج بازنگری'!$D$8:$D$1007,MATCH(K43,'06-نتایج بازنگری'!$A$8:$A$1007,0)),"")=B43,IFERROR(INDEX('06-نتایج بازنگری'!$P$8:$P$1007,MATCH(K43,'06-نتایج بازنگری'!$A$8:$A$1007,0)),"")="معتبر",IFERROR(INDEX('06-نتایج بازنگری'!$F$8:$F$1007,MATCH(K43,'06-نتایج بازنگری'!$A$8:$A$1007,0)),"")=G43),IF(J43="ابلاغ",AND(COUNTIFS('20-ابلاغ نتایج'!$A$8:$A$1007,K43)=1,IFERROR(INDEX('20-ابلاغ نتایج'!$E$8:$E$1007,MATCH(K43,'20-ابلاغ نتایج'!$A$8:$A$1007,0)),"")=B43,IFERROR(INDEX('20-ابلاغ نتایج'!$L$8:$L$1007,MATCH(K43,'20-ابلاغ نتایج'!$A$8:$A$1007,0)),"")="معتبر"),FALSE))))),"سابقه یا شواهد ناقص",IF(IFERROR(INDEX('18-دامنه استانداردها'!$J$8:$J$1007,MATCH(C43&amp;"|"&amp;G43,'18-دامنه استانداردها'!$A$8:$A$1007,0)),"")="تأیید شده","شواهد مرتبط ثبت شد؛ تأیید ممیز لازم",IF(IFERROR(INDEX('18-دامنه استانداردها'!$J$8:$J$1007,MATCH(C43&amp;"|"&amp;G43,'18-دامنه استانداردها'!$A$8:$A$1007,0)),"")="فرضی","پوشش فرضی؛ آموزشی","شواهد حاضر؛ تطبیق نسخه باز"))))))))</f>
        <v>بررسی نشده؛ سابقه لازم</v>
      </c>
      <c r="O43" s="1" t="s">
        <v>1215</v>
      </c>
    </row>
    <row r="44" spans="1:15" ht="36" customHeight="1">
      <c r="A44" s="1" t="s">
        <v>1252</v>
      </c>
      <c r="B44" s="1" t="s">
        <v>83</v>
      </c>
      <c r="C44" s="1" t="s">
        <v>77</v>
      </c>
      <c r="D44" s="1" t="s">
        <v>80</v>
      </c>
      <c r="E44" s="1" t="s">
        <v>379</v>
      </c>
      <c r="F44" s="1" t="s">
        <v>233</v>
      </c>
      <c r="G44" s="3" t="str">
        <f>IF(A44="","",IFERROR(INDEX('02-ماتریس الزامات'!$B$8:$B$1007,MATCH(F44,'02-ماتریس الزامات'!$A$8:$A$1007,0)),""))</f>
        <v>QMS</v>
      </c>
      <c r="H44" s="3" t="str">
        <f>IF(A44="","",IFERROR(INDEX('02-ماتریس الزامات'!$D$8:$D$1007,MATCH(F44,'02-ماتریس الزامات'!$A$8:$A$1007,0)),""))</f>
        <v>9.3.3</v>
      </c>
      <c r="I44" s="3" t="str">
        <f>IF(A44="","",IFERROR(INDEX('02-ماتریس الزامات'!$F$8:$F$1007,MATCH(F44,'02-ماتریس الزامات'!$A$8:$A$1007,0)),""))</f>
        <v>حفظ نتایج مستند</v>
      </c>
      <c r="J44" s="1" t="s">
        <v>1116</v>
      </c>
      <c r="K44" s="1"/>
      <c r="L44" s="1"/>
      <c r="M44" s="1"/>
      <c r="N44" s="3" t="str">
        <f>IF(A44="","",IF(NOT(AND(COUNTIFS('13-کنترل انطباق'!$A$8:$A$1007,A44)=1,AND(COUNTIFS('17-جلسات و دوره‌ها'!$A$8:$A$1007,B44)=1,IFERROR(INDEX('17-جلسات و دوره‌ها'!$B$8:$B$1007,MATCH(B44,'17-جلسات و دوره‌ها'!$A$8:$A$1007,0)),"")=C44,IFERROR(INDEX('17-جلسات و دوره‌ها'!$C$8:$C$1007,MATCH(B44,'17-جلسات و دوره‌ها'!$A$8:$A$1007,0)),"")=D44),COUNTIFS('02-ماتریس الزامات'!$A$8:$A$1007,F44)=1,COUNTIFS('18-دامنه استانداردها'!$A$8:$A$1007,C44&amp;"|"&amp;G44)=1)),"شناسه یا دامنه نامعتبر",IF(IFERROR(INDEX('18-دامنه استانداردها'!$D$8:$D$1007,MATCH(C44&amp;"|"&amp;G44,'18-دامنه استانداردها'!$A$8:$A$1007,0)),"")="خیر",IF(AND(L44&lt;&gt;"",M44&lt;&gt;"",IFERROR(INDEX('18-دامنه استانداردها'!$H$8:$H$1007,MATCH(C44&amp;"|"&amp;G44,'18-دامنه استانداردها'!$A$8:$A$1007,0)),"")&lt;&gt;"",IFERROR(INDEX('18-دامنه استانداردها'!$I$8:$I$1007,MATCH(C44&amp;"|"&amp;G44,'18-دامنه استانداردها'!$A$8:$A$1007,0)),"")&lt;&gt;""),"عدم کاربرد مستند","عدم کاربرد بدون توجیه"),IF(IFERROR(INDEX('18-دامنه استانداردها'!$D$8:$D$1007,MATCH(C44&amp;"|"&amp;G44,'18-دامنه استانداردها'!$A$8:$A$1007,0)),"")&lt;&gt;"بله","دامنه نامشخص",IF(K44="","بررسی نشده؛ سابقه لازم",IF(NOT(IF(J44="ورودی",AND(COUNTIFS('03-ورودی‌های بازنگری'!$A$8:$A$1007,K44)=1,IFERROR(INDEX('03-ورودی‌های بازنگری'!$D$8:$D$1007,MATCH(K44,'03-ورودی‌های بازنگری'!$A$8:$A$1007,0)),"")=B44,IFERROR(INDEX('03-ورودی‌های بازنگری'!$R$8:$R$1007,MATCH(K44,'03-ورودی‌های بازنگری'!$A$8:$A$1007,0)),"")="معتبر"),IF(J44="تصمیم",AND(COUNTIFS('07-تصمیمات و مصوبات'!$A$8:$A$1007,K44)=1,IFERROR(INDEX('07-تصمیمات و مصوبات'!$B$8:$B$1007,MATCH(K44,'07-تصمیمات و مصوبات'!$A$8:$A$1007,0)),"")=B44,IFERROR(INDEX('07-تصمیمات و مصوبات'!$Z$8:$Z$1007,MATCH(K44,'07-تصمیمات و مصوبات'!$A$8:$A$1007,0)),"")="معتبر",COUNTIFS('15-روابط'!$B$8:$B$1007,K44,'15-روابط'!$C$8:$C$1007,"الزام",'15-روابط'!$D$8:$D$1007,F44,'15-روابط'!$E$8:$E$1007,"رابطه معتبر")&gt;0),IF(J44="نتیجه",AND(COUNTIFS('06-نتایج بازنگری'!$A$8:$A$1007,K44)=1,IFERROR(INDEX('06-نتایج بازنگری'!$D$8:$D$1007,MATCH(K44,'06-نتایج بازنگری'!$A$8:$A$1007,0)),"")=B44,IFERROR(INDEX('06-نتایج بازنگری'!$P$8:$P$1007,MATCH(K44,'06-نتایج بازنگری'!$A$8:$A$1007,0)),"")="معتبر",IFERROR(INDEX('06-نتایج بازنگری'!$F$8:$F$1007,MATCH(K44,'06-نتایج بازنگری'!$A$8:$A$1007,0)),"")=G44),IF(J44="ابلاغ",AND(COUNTIFS('20-ابلاغ نتایج'!$A$8:$A$1007,K44)=1,IFERROR(INDEX('20-ابلاغ نتایج'!$E$8:$E$1007,MATCH(K44,'20-ابلاغ نتایج'!$A$8:$A$1007,0)),"")=B44,IFERROR(INDEX('20-ابلاغ نتایج'!$L$8:$L$1007,MATCH(K44,'20-ابلاغ نتایج'!$A$8:$A$1007,0)),"")="معتبر"),FALSE))))),"سابقه یا شواهد ناقص",IF(IFERROR(INDEX('18-دامنه استانداردها'!$J$8:$J$1007,MATCH(C44&amp;"|"&amp;G44,'18-دامنه استانداردها'!$A$8:$A$1007,0)),"")="تأیید شده","شواهد مرتبط ثبت شد؛ تأیید ممیز لازم",IF(IFERROR(INDEX('18-دامنه استانداردها'!$J$8:$J$1007,MATCH(C44&amp;"|"&amp;G44,'18-دامنه استانداردها'!$A$8:$A$1007,0)),"")="فرضی","پوشش فرضی؛ آموزشی","شواهد حاضر؛ تطبیق نسخه باز"))))))))</f>
        <v>بررسی نشده؛ سابقه لازم</v>
      </c>
      <c r="O44" s="1" t="s">
        <v>1215</v>
      </c>
    </row>
    <row r="45" spans="1:15" ht="36" customHeight="1">
      <c r="A45" s="1" t="s">
        <v>1253</v>
      </c>
      <c r="B45" s="1" t="s">
        <v>530</v>
      </c>
      <c r="C45" s="1" t="s">
        <v>99</v>
      </c>
      <c r="D45" s="1" t="s">
        <v>529</v>
      </c>
      <c r="E45" s="1" t="s">
        <v>531</v>
      </c>
      <c r="F45" s="1" t="s">
        <v>233</v>
      </c>
      <c r="G45" s="3" t="str">
        <f>IF(A45="","",IFERROR(INDEX('02-ماتریس الزامات'!$B$8:$B$1007,MATCH(F45,'02-ماتریس الزامات'!$A$8:$A$1007,0)),""))</f>
        <v>QMS</v>
      </c>
      <c r="H45" s="3" t="str">
        <f>IF(A45="","",IFERROR(INDEX('02-ماتریس الزامات'!$D$8:$D$1007,MATCH(F45,'02-ماتریس الزامات'!$A$8:$A$1007,0)),""))</f>
        <v>9.3.3</v>
      </c>
      <c r="I45" s="3" t="str">
        <f>IF(A45="","",IFERROR(INDEX('02-ماتریس الزامات'!$F$8:$F$1007,MATCH(F45,'02-ماتریس الزامات'!$A$8:$A$1007,0)),""))</f>
        <v>حفظ نتایج مستند</v>
      </c>
      <c r="J45" s="1" t="s">
        <v>1116</v>
      </c>
      <c r="K45" s="1"/>
      <c r="L45" s="1"/>
      <c r="M45" s="1"/>
      <c r="N45" s="3" t="str">
        <f>IF(A45="","",IF(NOT(AND(COUNTIFS('13-کنترل انطباق'!$A$8:$A$1007,A45)=1,AND(COUNTIFS('17-جلسات و دوره‌ها'!$A$8:$A$1007,B45)=1,IFERROR(INDEX('17-جلسات و دوره‌ها'!$B$8:$B$1007,MATCH(B45,'17-جلسات و دوره‌ها'!$A$8:$A$1007,0)),"")=C45,IFERROR(INDEX('17-جلسات و دوره‌ها'!$C$8:$C$1007,MATCH(B45,'17-جلسات و دوره‌ها'!$A$8:$A$1007,0)),"")=D45),COUNTIFS('02-ماتریس الزامات'!$A$8:$A$1007,F45)=1,COUNTIFS('18-دامنه استانداردها'!$A$8:$A$1007,C45&amp;"|"&amp;G45)=1)),"شناسه یا دامنه نامعتبر",IF(IFERROR(INDEX('18-دامنه استانداردها'!$D$8:$D$1007,MATCH(C45&amp;"|"&amp;G45,'18-دامنه استانداردها'!$A$8:$A$1007,0)),"")="خیر",IF(AND(L45&lt;&gt;"",M45&lt;&gt;"",IFERROR(INDEX('18-دامنه استانداردها'!$H$8:$H$1007,MATCH(C45&amp;"|"&amp;G45,'18-دامنه استانداردها'!$A$8:$A$1007,0)),"")&lt;&gt;"",IFERROR(INDEX('18-دامنه استانداردها'!$I$8:$I$1007,MATCH(C45&amp;"|"&amp;G45,'18-دامنه استانداردها'!$A$8:$A$1007,0)),"")&lt;&gt;""),"عدم کاربرد مستند","عدم کاربرد بدون توجیه"),IF(IFERROR(INDEX('18-دامنه استانداردها'!$D$8:$D$1007,MATCH(C45&amp;"|"&amp;G45,'18-دامنه استانداردها'!$A$8:$A$1007,0)),"")&lt;&gt;"بله","دامنه نامشخص",IF(K45="","بررسی نشده؛ سابقه لازم",IF(NOT(IF(J45="ورودی",AND(COUNTIFS('03-ورودی‌های بازنگری'!$A$8:$A$1007,K45)=1,IFERROR(INDEX('03-ورودی‌های بازنگری'!$D$8:$D$1007,MATCH(K45,'03-ورودی‌های بازنگری'!$A$8:$A$1007,0)),"")=B45,IFERROR(INDEX('03-ورودی‌های بازنگری'!$R$8:$R$1007,MATCH(K45,'03-ورودی‌های بازنگری'!$A$8:$A$1007,0)),"")="معتبر"),IF(J45="تصمیم",AND(COUNTIFS('07-تصمیمات و مصوبات'!$A$8:$A$1007,K45)=1,IFERROR(INDEX('07-تصمیمات و مصوبات'!$B$8:$B$1007,MATCH(K45,'07-تصمیمات و مصوبات'!$A$8:$A$1007,0)),"")=B45,IFERROR(INDEX('07-تصمیمات و مصوبات'!$Z$8:$Z$1007,MATCH(K45,'07-تصمیمات و مصوبات'!$A$8:$A$1007,0)),"")="معتبر",COUNTIFS('15-روابط'!$B$8:$B$1007,K45,'15-روابط'!$C$8:$C$1007,"الزام",'15-روابط'!$D$8:$D$1007,F45,'15-روابط'!$E$8:$E$1007,"رابطه معتبر")&gt;0),IF(J45="نتیجه",AND(COUNTIFS('06-نتایج بازنگری'!$A$8:$A$1007,K45)=1,IFERROR(INDEX('06-نتایج بازنگری'!$D$8:$D$1007,MATCH(K45,'06-نتایج بازنگری'!$A$8:$A$1007,0)),"")=B45,IFERROR(INDEX('06-نتایج بازنگری'!$P$8:$P$1007,MATCH(K45,'06-نتایج بازنگری'!$A$8:$A$1007,0)),"")="معتبر",IFERROR(INDEX('06-نتایج بازنگری'!$F$8:$F$1007,MATCH(K45,'06-نتایج بازنگری'!$A$8:$A$1007,0)),"")=G45),IF(J45="ابلاغ",AND(COUNTIFS('20-ابلاغ نتایج'!$A$8:$A$1007,K45)=1,IFERROR(INDEX('20-ابلاغ نتایج'!$E$8:$E$1007,MATCH(K45,'20-ابلاغ نتایج'!$A$8:$A$1007,0)),"")=B45,IFERROR(INDEX('20-ابلاغ نتایج'!$L$8:$L$1007,MATCH(K45,'20-ابلاغ نتایج'!$A$8:$A$1007,0)),"")="معتبر"),FALSE))))),"سابقه یا شواهد ناقص",IF(IFERROR(INDEX('18-دامنه استانداردها'!$J$8:$J$1007,MATCH(C45&amp;"|"&amp;G45,'18-دامنه استانداردها'!$A$8:$A$1007,0)),"")="تأیید شده","شواهد مرتبط ثبت شد؛ تأیید ممیز لازم",IF(IFERROR(INDEX('18-دامنه استانداردها'!$J$8:$J$1007,MATCH(C45&amp;"|"&amp;G45,'18-دامنه استانداردها'!$A$8:$A$1007,0)),"")="فرضی","پوشش فرضی؛ آموزشی","شواهد حاضر؛ تطبیق نسخه باز"))))))))</f>
        <v>بررسی نشده؛ سابقه لازم</v>
      </c>
      <c r="O45" s="1" t="s">
        <v>1215</v>
      </c>
    </row>
    <row r="46" spans="1:15" ht="36" customHeight="1">
      <c r="A46" s="1" t="s">
        <v>1254</v>
      </c>
      <c r="B46" s="1" t="s">
        <v>83</v>
      </c>
      <c r="C46" s="1" t="s">
        <v>77</v>
      </c>
      <c r="D46" s="1" t="s">
        <v>80</v>
      </c>
      <c r="E46" s="1" t="s">
        <v>379</v>
      </c>
      <c r="F46" s="1" t="s">
        <v>235</v>
      </c>
      <c r="G46" s="3" t="str">
        <f>IF(A46="","",IFERROR(INDEX('02-ماتریس الزامات'!$B$8:$B$1007,MATCH(F46,'02-ماتریس الزامات'!$A$8:$A$1007,0)),""))</f>
        <v>IATF</v>
      </c>
      <c r="H46" s="3" t="str">
        <f>IF(A46="","",IFERROR(INDEX('02-ماتریس الزامات'!$D$8:$D$1007,MATCH(F46,'02-ماتریس الزامات'!$A$8:$A$1007,0)),""))</f>
        <v>9.3.1.1</v>
      </c>
      <c r="I46" s="3" t="str">
        <f>IF(A46="","",IFERROR(INDEX('02-ماتریس الزامات'!$F$8:$F$1007,MATCH(F46,'02-ماتریس الزامات'!$A$8:$A$1007,0)),""))</f>
        <v>بازنگری حداقل سالانه و تناوب متناسب با ریسک</v>
      </c>
      <c r="J46" s="1" t="s">
        <v>1244</v>
      </c>
      <c r="K46" s="1"/>
      <c r="L46" s="1"/>
      <c r="M46" s="1"/>
      <c r="N46" s="3" t="str">
        <f>IF(A46="","",IF(NOT(AND(COUNTIFS('13-کنترل انطباق'!$A$8:$A$1007,A46)=1,AND(COUNTIFS('17-جلسات و دوره‌ها'!$A$8:$A$1007,B46)=1,IFERROR(INDEX('17-جلسات و دوره‌ها'!$B$8:$B$1007,MATCH(B46,'17-جلسات و دوره‌ها'!$A$8:$A$1007,0)),"")=C46,IFERROR(INDEX('17-جلسات و دوره‌ها'!$C$8:$C$1007,MATCH(B46,'17-جلسات و دوره‌ها'!$A$8:$A$1007,0)),"")=D46),COUNTIFS('02-ماتریس الزامات'!$A$8:$A$1007,F46)=1,COUNTIFS('18-دامنه استانداردها'!$A$8:$A$1007,C46&amp;"|"&amp;G46)=1)),"شناسه یا دامنه نامعتبر",IF(IFERROR(INDEX('18-دامنه استانداردها'!$D$8:$D$1007,MATCH(C46&amp;"|"&amp;G46,'18-دامنه استانداردها'!$A$8:$A$1007,0)),"")="خیر",IF(AND(L46&lt;&gt;"",M46&lt;&gt;"",IFERROR(INDEX('18-دامنه استانداردها'!$H$8:$H$1007,MATCH(C46&amp;"|"&amp;G46,'18-دامنه استانداردها'!$A$8:$A$1007,0)),"")&lt;&gt;"",IFERROR(INDEX('18-دامنه استانداردها'!$I$8:$I$1007,MATCH(C46&amp;"|"&amp;G46,'18-دامنه استانداردها'!$A$8:$A$1007,0)),"")&lt;&gt;""),"عدم کاربرد مستند","عدم کاربرد بدون توجیه"),IF(IFERROR(INDEX('18-دامنه استانداردها'!$D$8:$D$1007,MATCH(C46&amp;"|"&amp;G46,'18-دامنه استانداردها'!$A$8:$A$1007,0)),"")&lt;&gt;"بله","دامنه نامشخص",IF(K46="","بررسی نشده؛ سابقه لازم",IF(NOT(IF(J46="ورودی",AND(COUNTIFS('03-ورودی‌های بازنگری'!$A$8:$A$1007,K46)=1,IFERROR(INDEX('03-ورودی‌های بازنگری'!$D$8:$D$1007,MATCH(K46,'03-ورودی‌های بازنگری'!$A$8:$A$1007,0)),"")=B46,IFERROR(INDEX('03-ورودی‌های بازنگری'!$R$8:$R$1007,MATCH(K46,'03-ورودی‌های بازنگری'!$A$8:$A$1007,0)),"")="معتبر"),IF(J46="تصمیم",AND(COUNTIFS('07-تصمیمات و مصوبات'!$A$8:$A$1007,K46)=1,IFERROR(INDEX('07-تصمیمات و مصوبات'!$B$8:$B$1007,MATCH(K46,'07-تصمیمات و مصوبات'!$A$8:$A$1007,0)),"")=B46,IFERROR(INDEX('07-تصمیمات و مصوبات'!$Z$8:$Z$1007,MATCH(K46,'07-تصمیمات و مصوبات'!$A$8:$A$1007,0)),"")="معتبر",COUNTIFS('15-روابط'!$B$8:$B$1007,K46,'15-روابط'!$C$8:$C$1007,"الزام",'15-روابط'!$D$8:$D$1007,F46,'15-روابط'!$E$8:$E$1007,"رابطه معتبر")&gt;0),IF(J46="نتیجه",AND(COUNTIFS('06-نتایج بازنگری'!$A$8:$A$1007,K46)=1,IFERROR(INDEX('06-نتایج بازنگری'!$D$8:$D$1007,MATCH(K46,'06-نتایج بازنگری'!$A$8:$A$1007,0)),"")=B46,IFERROR(INDEX('06-نتایج بازنگری'!$P$8:$P$1007,MATCH(K46,'06-نتایج بازنگری'!$A$8:$A$1007,0)),"")="معتبر",IFERROR(INDEX('06-نتایج بازنگری'!$F$8:$F$1007,MATCH(K46,'06-نتایج بازنگری'!$A$8:$A$1007,0)),"")=G46),IF(J46="ابلاغ",AND(COUNTIFS('20-ابلاغ نتایج'!$A$8:$A$1007,K46)=1,IFERROR(INDEX('20-ابلاغ نتایج'!$E$8:$E$1007,MATCH(K46,'20-ابلاغ نتایج'!$A$8:$A$1007,0)),"")=B46,IFERROR(INDEX('20-ابلاغ نتایج'!$L$8:$L$1007,MATCH(K46,'20-ابلاغ نتایج'!$A$8:$A$1007,0)),"")="معتبر"),FALSE))))),"سابقه یا شواهد ناقص",IF(IFERROR(INDEX('18-دامنه استانداردها'!$J$8:$J$1007,MATCH(C46&amp;"|"&amp;G46,'18-دامنه استانداردها'!$A$8:$A$1007,0)),"")="تأیید شده","شواهد مرتبط ثبت شد؛ تأیید ممیز لازم",IF(IFERROR(INDEX('18-دامنه استانداردها'!$J$8:$J$1007,MATCH(C46&amp;"|"&amp;G46,'18-دامنه استانداردها'!$A$8:$A$1007,0)),"")="فرضی","پوشش فرضی؛ آموزشی","شواهد حاضر؛ تطبیق نسخه باز"))))))))</f>
        <v>بررسی نشده؛ سابقه لازم</v>
      </c>
      <c r="O46" s="1" t="s">
        <v>1215</v>
      </c>
    </row>
    <row r="47" spans="1:15" ht="36" customHeight="1">
      <c r="A47" s="1" t="s">
        <v>1255</v>
      </c>
      <c r="B47" s="1" t="s">
        <v>530</v>
      </c>
      <c r="C47" s="1" t="s">
        <v>99</v>
      </c>
      <c r="D47" s="1" t="s">
        <v>529</v>
      </c>
      <c r="E47" s="1" t="s">
        <v>531</v>
      </c>
      <c r="F47" s="1" t="s">
        <v>235</v>
      </c>
      <c r="G47" s="3" t="str">
        <f>IF(A47="","",IFERROR(INDEX('02-ماتریس الزامات'!$B$8:$B$1007,MATCH(F47,'02-ماتریس الزامات'!$A$8:$A$1007,0)),""))</f>
        <v>IATF</v>
      </c>
      <c r="H47" s="3" t="str">
        <f>IF(A47="","",IFERROR(INDEX('02-ماتریس الزامات'!$D$8:$D$1007,MATCH(F47,'02-ماتریس الزامات'!$A$8:$A$1007,0)),""))</f>
        <v>9.3.1.1</v>
      </c>
      <c r="I47" s="3" t="str">
        <f>IF(A47="","",IFERROR(INDEX('02-ماتریس الزامات'!$F$8:$F$1007,MATCH(F47,'02-ماتریس الزامات'!$A$8:$A$1007,0)),""))</f>
        <v>بازنگری حداقل سالانه و تناوب متناسب با ریسک</v>
      </c>
      <c r="J47" s="1" t="s">
        <v>1244</v>
      </c>
      <c r="K47" s="1"/>
      <c r="L47" s="1"/>
      <c r="M47" s="1"/>
      <c r="N47" s="3" t="str">
        <f>IF(A47="","",IF(NOT(AND(COUNTIFS('13-کنترل انطباق'!$A$8:$A$1007,A47)=1,AND(COUNTIFS('17-جلسات و دوره‌ها'!$A$8:$A$1007,B47)=1,IFERROR(INDEX('17-جلسات و دوره‌ها'!$B$8:$B$1007,MATCH(B47,'17-جلسات و دوره‌ها'!$A$8:$A$1007,0)),"")=C47,IFERROR(INDEX('17-جلسات و دوره‌ها'!$C$8:$C$1007,MATCH(B47,'17-جلسات و دوره‌ها'!$A$8:$A$1007,0)),"")=D47),COUNTIFS('02-ماتریس الزامات'!$A$8:$A$1007,F47)=1,COUNTIFS('18-دامنه استانداردها'!$A$8:$A$1007,C47&amp;"|"&amp;G47)=1)),"شناسه یا دامنه نامعتبر",IF(IFERROR(INDEX('18-دامنه استانداردها'!$D$8:$D$1007,MATCH(C47&amp;"|"&amp;G47,'18-دامنه استانداردها'!$A$8:$A$1007,0)),"")="خیر",IF(AND(L47&lt;&gt;"",M47&lt;&gt;"",IFERROR(INDEX('18-دامنه استانداردها'!$H$8:$H$1007,MATCH(C47&amp;"|"&amp;G47,'18-دامنه استانداردها'!$A$8:$A$1007,0)),"")&lt;&gt;"",IFERROR(INDEX('18-دامنه استانداردها'!$I$8:$I$1007,MATCH(C47&amp;"|"&amp;G47,'18-دامنه استانداردها'!$A$8:$A$1007,0)),"")&lt;&gt;""),"عدم کاربرد مستند","عدم کاربرد بدون توجیه"),IF(IFERROR(INDEX('18-دامنه استانداردها'!$D$8:$D$1007,MATCH(C47&amp;"|"&amp;G47,'18-دامنه استانداردها'!$A$8:$A$1007,0)),"")&lt;&gt;"بله","دامنه نامشخص",IF(K47="","بررسی نشده؛ سابقه لازم",IF(NOT(IF(J47="ورودی",AND(COUNTIFS('03-ورودی‌های بازنگری'!$A$8:$A$1007,K47)=1,IFERROR(INDEX('03-ورودی‌های بازنگری'!$D$8:$D$1007,MATCH(K47,'03-ورودی‌های بازنگری'!$A$8:$A$1007,0)),"")=B47,IFERROR(INDEX('03-ورودی‌های بازنگری'!$R$8:$R$1007,MATCH(K47,'03-ورودی‌های بازنگری'!$A$8:$A$1007,0)),"")="معتبر"),IF(J47="تصمیم",AND(COUNTIFS('07-تصمیمات و مصوبات'!$A$8:$A$1007,K47)=1,IFERROR(INDEX('07-تصمیمات و مصوبات'!$B$8:$B$1007,MATCH(K47,'07-تصمیمات و مصوبات'!$A$8:$A$1007,0)),"")=B47,IFERROR(INDEX('07-تصمیمات و مصوبات'!$Z$8:$Z$1007,MATCH(K47,'07-تصمیمات و مصوبات'!$A$8:$A$1007,0)),"")="معتبر",COUNTIFS('15-روابط'!$B$8:$B$1007,K47,'15-روابط'!$C$8:$C$1007,"الزام",'15-روابط'!$D$8:$D$1007,F47,'15-روابط'!$E$8:$E$1007,"رابطه معتبر")&gt;0),IF(J47="نتیجه",AND(COUNTIFS('06-نتایج بازنگری'!$A$8:$A$1007,K47)=1,IFERROR(INDEX('06-نتایج بازنگری'!$D$8:$D$1007,MATCH(K47,'06-نتایج بازنگری'!$A$8:$A$1007,0)),"")=B47,IFERROR(INDEX('06-نتایج بازنگری'!$P$8:$P$1007,MATCH(K47,'06-نتایج بازنگری'!$A$8:$A$1007,0)),"")="معتبر",IFERROR(INDEX('06-نتایج بازنگری'!$F$8:$F$1007,MATCH(K47,'06-نتایج بازنگری'!$A$8:$A$1007,0)),"")=G47),IF(J47="ابلاغ",AND(COUNTIFS('20-ابلاغ نتایج'!$A$8:$A$1007,K47)=1,IFERROR(INDEX('20-ابلاغ نتایج'!$E$8:$E$1007,MATCH(K47,'20-ابلاغ نتایج'!$A$8:$A$1007,0)),"")=B47,IFERROR(INDEX('20-ابلاغ نتایج'!$L$8:$L$1007,MATCH(K47,'20-ابلاغ نتایج'!$A$8:$A$1007,0)),"")="معتبر"),FALSE))))),"سابقه یا شواهد ناقص",IF(IFERROR(INDEX('18-دامنه استانداردها'!$J$8:$J$1007,MATCH(C47&amp;"|"&amp;G47,'18-دامنه استانداردها'!$A$8:$A$1007,0)),"")="تأیید شده","شواهد مرتبط ثبت شد؛ تأیید ممیز لازم",IF(IFERROR(INDEX('18-دامنه استانداردها'!$J$8:$J$1007,MATCH(C47&amp;"|"&amp;G47,'18-دامنه استانداردها'!$A$8:$A$1007,0)),"")="فرضی","پوشش فرضی؛ آموزشی","شواهد حاضر؛ تطبیق نسخه باز"))))))))</f>
        <v>بررسی نشده؛ سابقه لازم</v>
      </c>
      <c r="O47" s="1" t="s">
        <v>1215</v>
      </c>
    </row>
    <row r="48" spans="1:15" ht="36" customHeight="1">
      <c r="A48" s="1" t="s">
        <v>1256</v>
      </c>
      <c r="B48" s="1" t="s">
        <v>83</v>
      </c>
      <c r="C48" s="1" t="s">
        <v>77</v>
      </c>
      <c r="D48" s="1" t="s">
        <v>80</v>
      </c>
      <c r="E48" s="1" t="s">
        <v>379</v>
      </c>
      <c r="F48" s="1" t="s">
        <v>242</v>
      </c>
      <c r="G48" s="3" t="str">
        <f>IF(A48="","",IFERROR(INDEX('02-ماتریس الزامات'!$B$8:$B$1007,MATCH(F48,'02-ماتریس الزامات'!$A$8:$A$1007,0)),""))</f>
        <v>IATF</v>
      </c>
      <c r="H48" s="3" t="str">
        <f>IF(A48="","",IFERROR(INDEX('02-ماتریس الزامات'!$D$8:$D$1007,MATCH(F48,'02-ماتریس الزامات'!$A$8:$A$1007,0)),""))</f>
        <v>9.3.2.1 a</v>
      </c>
      <c r="I48" s="3" t="str">
        <f>IF(A48="","",IFERROR(INDEX('02-ماتریس الزامات'!$F$8:$F$1007,MATCH(F48,'02-ماتریس الزامات'!$A$8:$A$1007,0)),""))</f>
        <v>هزینه شکست داخلی و خارجی / COPQ</v>
      </c>
      <c r="J48" s="1" t="s">
        <v>174</v>
      </c>
      <c r="K48" s="1" t="s">
        <v>452</v>
      </c>
      <c r="L48" s="1"/>
      <c r="M48" s="1"/>
      <c r="N48" s="3" t="str">
        <f>IF(A48="","",IF(NOT(AND(COUNTIFS('13-کنترل انطباق'!$A$8:$A$1007,A48)=1,AND(COUNTIFS('17-جلسات و دوره‌ها'!$A$8:$A$1007,B48)=1,IFERROR(INDEX('17-جلسات و دوره‌ها'!$B$8:$B$1007,MATCH(B48,'17-جلسات و دوره‌ها'!$A$8:$A$1007,0)),"")=C48,IFERROR(INDEX('17-جلسات و دوره‌ها'!$C$8:$C$1007,MATCH(B48,'17-جلسات و دوره‌ها'!$A$8:$A$1007,0)),"")=D48),COUNTIFS('02-ماتریس الزامات'!$A$8:$A$1007,F48)=1,COUNTIFS('18-دامنه استانداردها'!$A$8:$A$1007,C48&amp;"|"&amp;G48)=1)),"شناسه یا دامنه نامعتبر",IF(IFERROR(INDEX('18-دامنه استانداردها'!$D$8:$D$1007,MATCH(C48&amp;"|"&amp;G48,'18-دامنه استانداردها'!$A$8:$A$1007,0)),"")="خیر",IF(AND(L48&lt;&gt;"",M48&lt;&gt;"",IFERROR(INDEX('18-دامنه استانداردها'!$H$8:$H$1007,MATCH(C48&amp;"|"&amp;G48,'18-دامنه استانداردها'!$A$8:$A$1007,0)),"")&lt;&gt;"",IFERROR(INDEX('18-دامنه استانداردها'!$I$8:$I$1007,MATCH(C48&amp;"|"&amp;G48,'18-دامنه استانداردها'!$A$8:$A$1007,0)),"")&lt;&gt;""),"عدم کاربرد مستند","عدم کاربرد بدون توجیه"),IF(IFERROR(INDEX('18-دامنه استانداردها'!$D$8:$D$1007,MATCH(C48&amp;"|"&amp;G48,'18-دامنه استانداردها'!$A$8:$A$1007,0)),"")&lt;&gt;"بله","دامنه نامشخص",IF(K48="","بررسی نشده؛ سابقه لازم",IF(NOT(IF(J48="ورودی",AND(COUNTIFS('03-ورودی‌های بازنگری'!$A$8:$A$1007,K48)=1,IFERROR(INDEX('03-ورودی‌های بازنگری'!$D$8:$D$1007,MATCH(K48,'03-ورودی‌های بازنگری'!$A$8:$A$1007,0)),"")=B48,IFERROR(INDEX('03-ورودی‌های بازنگری'!$R$8:$R$1007,MATCH(K48,'03-ورودی‌های بازنگری'!$A$8:$A$1007,0)),"")="معتبر"),IF(J48="تصمیم",AND(COUNTIFS('07-تصمیمات و مصوبات'!$A$8:$A$1007,K48)=1,IFERROR(INDEX('07-تصمیمات و مصوبات'!$B$8:$B$1007,MATCH(K48,'07-تصمیمات و مصوبات'!$A$8:$A$1007,0)),"")=B48,IFERROR(INDEX('07-تصمیمات و مصوبات'!$Z$8:$Z$1007,MATCH(K48,'07-تصمیمات و مصوبات'!$A$8:$A$1007,0)),"")="معتبر",COUNTIFS('15-روابط'!$B$8:$B$1007,K48,'15-روابط'!$C$8:$C$1007,"الزام",'15-روابط'!$D$8:$D$1007,F48,'15-روابط'!$E$8:$E$1007,"رابطه معتبر")&gt;0),IF(J48="نتیجه",AND(COUNTIFS('06-نتایج بازنگری'!$A$8:$A$1007,K48)=1,IFERROR(INDEX('06-نتایج بازنگری'!$D$8:$D$1007,MATCH(K48,'06-نتایج بازنگری'!$A$8:$A$1007,0)),"")=B48,IFERROR(INDEX('06-نتایج بازنگری'!$P$8:$P$1007,MATCH(K48,'06-نتایج بازنگری'!$A$8:$A$1007,0)),"")="معتبر",IFERROR(INDEX('06-نتایج بازنگری'!$F$8:$F$1007,MATCH(K48,'06-نتایج بازنگری'!$A$8:$A$1007,0)),"")=G48),IF(J48="ابلاغ",AND(COUNTIFS('20-ابلاغ نتایج'!$A$8:$A$1007,K48)=1,IFERROR(INDEX('20-ابلاغ نتایج'!$E$8:$E$1007,MATCH(K48,'20-ابلاغ نتایج'!$A$8:$A$1007,0)),"")=B48,IFERROR(INDEX('20-ابلاغ نتایج'!$L$8:$L$1007,MATCH(K48,'20-ابلاغ نتایج'!$A$8:$A$1007,0)),"")="معتبر"),FALSE))))),"سابقه یا شواهد ناقص",IF(IFERROR(INDEX('18-دامنه استانداردها'!$J$8:$J$1007,MATCH(C48&amp;"|"&amp;G48,'18-دامنه استانداردها'!$A$8:$A$1007,0)),"")="تأیید شده","شواهد مرتبط ثبت شد؛ تأیید ممیز لازم",IF(IFERROR(INDEX('18-دامنه استانداردها'!$J$8:$J$1007,MATCH(C48&amp;"|"&amp;G48,'18-دامنه استانداردها'!$A$8:$A$1007,0)),"")="فرضی","پوشش فرضی؛ آموزشی","شواهد حاضر؛ تطبیق نسخه باز"))))))))</f>
        <v>سابقه یا شواهد ناقص</v>
      </c>
      <c r="O48" s="1" t="s">
        <v>1215</v>
      </c>
    </row>
    <row r="49" spans="1:15" ht="36" customHeight="1">
      <c r="A49" s="1" t="s">
        <v>1257</v>
      </c>
      <c r="B49" s="1" t="s">
        <v>530</v>
      </c>
      <c r="C49" s="1" t="s">
        <v>99</v>
      </c>
      <c r="D49" s="1" t="s">
        <v>529</v>
      </c>
      <c r="E49" s="1" t="s">
        <v>531</v>
      </c>
      <c r="F49" s="1" t="s">
        <v>242</v>
      </c>
      <c r="G49" s="3" t="str">
        <f>IF(A49="","",IFERROR(INDEX('02-ماتریس الزامات'!$B$8:$B$1007,MATCH(F49,'02-ماتریس الزامات'!$A$8:$A$1007,0)),""))</f>
        <v>IATF</v>
      </c>
      <c r="H49" s="3" t="str">
        <f>IF(A49="","",IFERROR(INDEX('02-ماتریس الزامات'!$D$8:$D$1007,MATCH(F49,'02-ماتریس الزامات'!$A$8:$A$1007,0)),""))</f>
        <v>9.3.2.1 a</v>
      </c>
      <c r="I49" s="3" t="str">
        <f>IF(A49="","",IFERROR(INDEX('02-ماتریس الزامات'!$F$8:$F$1007,MATCH(F49,'02-ماتریس الزامات'!$A$8:$A$1007,0)),""))</f>
        <v>هزینه شکست داخلی و خارجی / COPQ</v>
      </c>
      <c r="J49" s="1" t="s">
        <v>174</v>
      </c>
      <c r="K49" s="1"/>
      <c r="L49" s="1"/>
      <c r="M49" s="1"/>
      <c r="N49" s="3" t="str">
        <f>IF(A49="","",IF(NOT(AND(COUNTIFS('13-کنترل انطباق'!$A$8:$A$1007,A49)=1,AND(COUNTIFS('17-جلسات و دوره‌ها'!$A$8:$A$1007,B49)=1,IFERROR(INDEX('17-جلسات و دوره‌ها'!$B$8:$B$1007,MATCH(B49,'17-جلسات و دوره‌ها'!$A$8:$A$1007,0)),"")=C49,IFERROR(INDEX('17-جلسات و دوره‌ها'!$C$8:$C$1007,MATCH(B49,'17-جلسات و دوره‌ها'!$A$8:$A$1007,0)),"")=D49),COUNTIFS('02-ماتریس الزامات'!$A$8:$A$1007,F49)=1,COUNTIFS('18-دامنه استانداردها'!$A$8:$A$1007,C49&amp;"|"&amp;G49)=1)),"شناسه یا دامنه نامعتبر",IF(IFERROR(INDEX('18-دامنه استانداردها'!$D$8:$D$1007,MATCH(C49&amp;"|"&amp;G49,'18-دامنه استانداردها'!$A$8:$A$1007,0)),"")="خیر",IF(AND(L49&lt;&gt;"",M49&lt;&gt;"",IFERROR(INDEX('18-دامنه استانداردها'!$H$8:$H$1007,MATCH(C49&amp;"|"&amp;G49,'18-دامنه استانداردها'!$A$8:$A$1007,0)),"")&lt;&gt;"",IFERROR(INDEX('18-دامنه استانداردها'!$I$8:$I$1007,MATCH(C49&amp;"|"&amp;G49,'18-دامنه استانداردها'!$A$8:$A$1007,0)),"")&lt;&gt;""),"عدم کاربرد مستند","عدم کاربرد بدون توجیه"),IF(IFERROR(INDEX('18-دامنه استانداردها'!$D$8:$D$1007,MATCH(C49&amp;"|"&amp;G49,'18-دامنه استانداردها'!$A$8:$A$1007,0)),"")&lt;&gt;"بله","دامنه نامشخص",IF(K49="","بررسی نشده؛ سابقه لازم",IF(NOT(IF(J49="ورودی",AND(COUNTIFS('03-ورودی‌های بازنگری'!$A$8:$A$1007,K49)=1,IFERROR(INDEX('03-ورودی‌های بازنگری'!$D$8:$D$1007,MATCH(K49,'03-ورودی‌های بازنگری'!$A$8:$A$1007,0)),"")=B49,IFERROR(INDEX('03-ورودی‌های بازنگری'!$R$8:$R$1007,MATCH(K49,'03-ورودی‌های بازنگری'!$A$8:$A$1007,0)),"")="معتبر"),IF(J49="تصمیم",AND(COUNTIFS('07-تصمیمات و مصوبات'!$A$8:$A$1007,K49)=1,IFERROR(INDEX('07-تصمیمات و مصوبات'!$B$8:$B$1007,MATCH(K49,'07-تصمیمات و مصوبات'!$A$8:$A$1007,0)),"")=B49,IFERROR(INDEX('07-تصمیمات و مصوبات'!$Z$8:$Z$1007,MATCH(K49,'07-تصمیمات و مصوبات'!$A$8:$A$1007,0)),"")="معتبر",COUNTIFS('15-روابط'!$B$8:$B$1007,K49,'15-روابط'!$C$8:$C$1007,"الزام",'15-روابط'!$D$8:$D$1007,F49,'15-روابط'!$E$8:$E$1007,"رابطه معتبر")&gt;0),IF(J49="نتیجه",AND(COUNTIFS('06-نتایج بازنگری'!$A$8:$A$1007,K49)=1,IFERROR(INDEX('06-نتایج بازنگری'!$D$8:$D$1007,MATCH(K49,'06-نتایج بازنگری'!$A$8:$A$1007,0)),"")=B49,IFERROR(INDEX('06-نتایج بازنگری'!$P$8:$P$1007,MATCH(K49,'06-نتایج بازنگری'!$A$8:$A$1007,0)),"")="معتبر",IFERROR(INDEX('06-نتایج بازنگری'!$F$8:$F$1007,MATCH(K49,'06-نتایج بازنگری'!$A$8:$A$1007,0)),"")=G49),IF(J49="ابلاغ",AND(COUNTIFS('20-ابلاغ نتایج'!$A$8:$A$1007,K49)=1,IFERROR(INDEX('20-ابلاغ نتایج'!$E$8:$E$1007,MATCH(K49,'20-ابلاغ نتایج'!$A$8:$A$1007,0)),"")=B49,IFERROR(INDEX('20-ابلاغ نتایج'!$L$8:$L$1007,MATCH(K49,'20-ابلاغ نتایج'!$A$8:$A$1007,0)),"")="معتبر"),FALSE))))),"سابقه یا شواهد ناقص",IF(IFERROR(INDEX('18-دامنه استانداردها'!$J$8:$J$1007,MATCH(C49&amp;"|"&amp;G49,'18-دامنه استانداردها'!$A$8:$A$1007,0)),"")="تأیید شده","شواهد مرتبط ثبت شد؛ تأیید ممیز لازم",IF(IFERROR(INDEX('18-دامنه استانداردها'!$J$8:$J$1007,MATCH(C49&amp;"|"&amp;G49,'18-دامنه استانداردها'!$A$8:$A$1007,0)),"")="فرضی","پوشش فرضی؛ آموزشی","شواهد حاضر؛ تطبیق نسخه باز"))))))))</f>
        <v>بررسی نشده؛ سابقه لازم</v>
      </c>
      <c r="O49" s="1" t="s">
        <v>1215</v>
      </c>
    </row>
    <row r="50" spans="1:15" ht="36" customHeight="1">
      <c r="A50" s="1" t="s">
        <v>1258</v>
      </c>
      <c r="B50" s="1" t="s">
        <v>83</v>
      </c>
      <c r="C50" s="1" t="s">
        <v>77</v>
      </c>
      <c r="D50" s="1" t="s">
        <v>80</v>
      </c>
      <c r="E50" s="1" t="s">
        <v>379</v>
      </c>
      <c r="F50" s="1" t="s">
        <v>247</v>
      </c>
      <c r="G50" s="3" t="str">
        <f>IF(A50="","",IFERROR(INDEX('02-ماتریس الزامات'!$B$8:$B$1007,MATCH(F50,'02-ماتریس الزامات'!$A$8:$A$1007,0)),""))</f>
        <v>IATF</v>
      </c>
      <c r="H50" s="3" t="str">
        <f>IF(A50="","",IFERROR(INDEX('02-ماتریس الزامات'!$D$8:$D$1007,MATCH(F50,'02-ماتریس الزامات'!$A$8:$A$1007,0)),""))</f>
        <v>9.3.2.1 b-c</v>
      </c>
      <c r="I50" s="3" t="str">
        <f>IF(A50="","",IFERROR(INDEX('02-ماتریس الزامات'!$F$8:$F$1007,MATCH(F50,'02-ماتریس الزامات'!$A$8:$A$1007,0)),""))</f>
        <v>اثربخشی و کارایی فرآیندهای تحقق محصول</v>
      </c>
      <c r="J50" s="1" t="s">
        <v>174</v>
      </c>
      <c r="K50" s="1" t="s">
        <v>412</v>
      </c>
      <c r="L50" s="1"/>
      <c r="M50" s="1"/>
      <c r="N50" s="3" t="str">
        <f>IF(A50="","",IF(NOT(AND(COUNTIFS('13-کنترل انطباق'!$A$8:$A$1007,A50)=1,AND(COUNTIFS('17-جلسات و دوره‌ها'!$A$8:$A$1007,B50)=1,IFERROR(INDEX('17-جلسات و دوره‌ها'!$B$8:$B$1007,MATCH(B50,'17-جلسات و دوره‌ها'!$A$8:$A$1007,0)),"")=C50,IFERROR(INDEX('17-جلسات و دوره‌ها'!$C$8:$C$1007,MATCH(B50,'17-جلسات و دوره‌ها'!$A$8:$A$1007,0)),"")=D50),COUNTIFS('02-ماتریس الزامات'!$A$8:$A$1007,F50)=1,COUNTIFS('18-دامنه استانداردها'!$A$8:$A$1007,C50&amp;"|"&amp;G50)=1)),"شناسه یا دامنه نامعتبر",IF(IFERROR(INDEX('18-دامنه استانداردها'!$D$8:$D$1007,MATCH(C50&amp;"|"&amp;G50,'18-دامنه استانداردها'!$A$8:$A$1007,0)),"")="خیر",IF(AND(L50&lt;&gt;"",M50&lt;&gt;"",IFERROR(INDEX('18-دامنه استانداردها'!$H$8:$H$1007,MATCH(C50&amp;"|"&amp;G50,'18-دامنه استانداردها'!$A$8:$A$1007,0)),"")&lt;&gt;"",IFERROR(INDEX('18-دامنه استانداردها'!$I$8:$I$1007,MATCH(C50&amp;"|"&amp;G50,'18-دامنه استانداردها'!$A$8:$A$1007,0)),"")&lt;&gt;""),"عدم کاربرد مستند","عدم کاربرد بدون توجیه"),IF(IFERROR(INDEX('18-دامنه استانداردها'!$D$8:$D$1007,MATCH(C50&amp;"|"&amp;G50,'18-دامنه استانداردها'!$A$8:$A$1007,0)),"")&lt;&gt;"بله","دامنه نامشخص",IF(K50="","بررسی نشده؛ سابقه لازم",IF(NOT(IF(J50="ورودی",AND(COUNTIFS('03-ورودی‌های بازنگری'!$A$8:$A$1007,K50)=1,IFERROR(INDEX('03-ورودی‌های بازنگری'!$D$8:$D$1007,MATCH(K50,'03-ورودی‌های بازنگری'!$A$8:$A$1007,0)),"")=B50,IFERROR(INDEX('03-ورودی‌های بازنگری'!$R$8:$R$1007,MATCH(K50,'03-ورودی‌های بازنگری'!$A$8:$A$1007,0)),"")="معتبر"),IF(J50="تصمیم",AND(COUNTIFS('07-تصمیمات و مصوبات'!$A$8:$A$1007,K50)=1,IFERROR(INDEX('07-تصمیمات و مصوبات'!$B$8:$B$1007,MATCH(K50,'07-تصمیمات و مصوبات'!$A$8:$A$1007,0)),"")=B50,IFERROR(INDEX('07-تصمیمات و مصوبات'!$Z$8:$Z$1007,MATCH(K50,'07-تصمیمات و مصوبات'!$A$8:$A$1007,0)),"")="معتبر",COUNTIFS('15-روابط'!$B$8:$B$1007,K50,'15-روابط'!$C$8:$C$1007,"الزام",'15-روابط'!$D$8:$D$1007,F50,'15-روابط'!$E$8:$E$1007,"رابطه معتبر")&gt;0),IF(J50="نتیجه",AND(COUNTIFS('06-نتایج بازنگری'!$A$8:$A$1007,K50)=1,IFERROR(INDEX('06-نتایج بازنگری'!$D$8:$D$1007,MATCH(K50,'06-نتایج بازنگری'!$A$8:$A$1007,0)),"")=B50,IFERROR(INDEX('06-نتایج بازنگری'!$P$8:$P$1007,MATCH(K50,'06-نتایج بازنگری'!$A$8:$A$1007,0)),"")="معتبر",IFERROR(INDEX('06-نتایج بازنگری'!$F$8:$F$1007,MATCH(K50,'06-نتایج بازنگری'!$A$8:$A$1007,0)),"")=G50),IF(J50="ابلاغ",AND(COUNTIFS('20-ابلاغ نتایج'!$A$8:$A$1007,K50)=1,IFERROR(INDEX('20-ابلاغ نتایج'!$E$8:$E$1007,MATCH(K50,'20-ابلاغ نتایج'!$A$8:$A$1007,0)),"")=B50,IFERROR(INDEX('20-ابلاغ نتایج'!$L$8:$L$1007,MATCH(K50,'20-ابلاغ نتایج'!$A$8:$A$1007,0)),"")="معتبر"),FALSE))))),"سابقه یا شواهد ناقص",IF(IFERROR(INDEX('18-دامنه استانداردها'!$J$8:$J$1007,MATCH(C50&amp;"|"&amp;G50,'18-دامنه استانداردها'!$A$8:$A$1007,0)),"")="تأیید شده","شواهد مرتبط ثبت شد؛ تأیید ممیز لازم",IF(IFERROR(INDEX('18-دامنه استانداردها'!$J$8:$J$1007,MATCH(C50&amp;"|"&amp;G50,'18-دامنه استانداردها'!$A$8:$A$1007,0)),"")="فرضی","پوشش فرضی؛ آموزشی","شواهد حاضر؛ تطبیق نسخه باز"))))))))</f>
        <v>سابقه یا شواهد ناقص</v>
      </c>
      <c r="O50" s="1" t="s">
        <v>1215</v>
      </c>
    </row>
    <row r="51" spans="1:15" ht="36" customHeight="1">
      <c r="A51" s="1" t="s">
        <v>1259</v>
      </c>
      <c r="B51" s="1" t="s">
        <v>530</v>
      </c>
      <c r="C51" s="1" t="s">
        <v>99</v>
      </c>
      <c r="D51" s="1" t="s">
        <v>529</v>
      </c>
      <c r="E51" s="1" t="s">
        <v>531</v>
      </c>
      <c r="F51" s="1" t="s">
        <v>247</v>
      </c>
      <c r="G51" s="3" t="str">
        <f>IF(A51="","",IFERROR(INDEX('02-ماتریس الزامات'!$B$8:$B$1007,MATCH(F51,'02-ماتریس الزامات'!$A$8:$A$1007,0)),""))</f>
        <v>IATF</v>
      </c>
      <c r="H51" s="3" t="str">
        <f>IF(A51="","",IFERROR(INDEX('02-ماتریس الزامات'!$D$8:$D$1007,MATCH(F51,'02-ماتریس الزامات'!$A$8:$A$1007,0)),""))</f>
        <v>9.3.2.1 b-c</v>
      </c>
      <c r="I51" s="3" t="str">
        <f>IF(A51="","",IFERROR(INDEX('02-ماتریس الزامات'!$F$8:$F$1007,MATCH(F51,'02-ماتریس الزامات'!$A$8:$A$1007,0)),""))</f>
        <v>اثربخشی و کارایی فرآیندهای تحقق محصول</v>
      </c>
      <c r="J51" s="1" t="s">
        <v>174</v>
      </c>
      <c r="K51" s="1"/>
      <c r="L51" s="1"/>
      <c r="M51" s="1"/>
      <c r="N51" s="3" t="str">
        <f>IF(A51="","",IF(NOT(AND(COUNTIFS('13-کنترل انطباق'!$A$8:$A$1007,A51)=1,AND(COUNTIFS('17-جلسات و دوره‌ها'!$A$8:$A$1007,B51)=1,IFERROR(INDEX('17-جلسات و دوره‌ها'!$B$8:$B$1007,MATCH(B51,'17-جلسات و دوره‌ها'!$A$8:$A$1007,0)),"")=C51,IFERROR(INDEX('17-جلسات و دوره‌ها'!$C$8:$C$1007,MATCH(B51,'17-جلسات و دوره‌ها'!$A$8:$A$1007,0)),"")=D51),COUNTIFS('02-ماتریس الزامات'!$A$8:$A$1007,F51)=1,COUNTIFS('18-دامنه استانداردها'!$A$8:$A$1007,C51&amp;"|"&amp;G51)=1)),"شناسه یا دامنه نامعتبر",IF(IFERROR(INDEX('18-دامنه استانداردها'!$D$8:$D$1007,MATCH(C51&amp;"|"&amp;G51,'18-دامنه استانداردها'!$A$8:$A$1007,0)),"")="خیر",IF(AND(L51&lt;&gt;"",M51&lt;&gt;"",IFERROR(INDEX('18-دامنه استانداردها'!$H$8:$H$1007,MATCH(C51&amp;"|"&amp;G51,'18-دامنه استانداردها'!$A$8:$A$1007,0)),"")&lt;&gt;"",IFERROR(INDEX('18-دامنه استانداردها'!$I$8:$I$1007,MATCH(C51&amp;"|"&amp;G51,'18-دامنه استانداردها'!$A$8:$A$1007,0)),"")&lt;&gt;""),"عدم کاربرد مستند","عدم کاربرد بدون توجیه"),IF(IFERROR(INDEX('18-دامنه استانداردها'!$D$8:$D$1007,MATCH(C51&amp;"|"&amp;G51,'18-دامنه استانداردها'!$A$8:$A$1007,0)),"")&lt;&gt;"بله","دامنه نامشخص",IF(K51="","بررسی نشده؛ سابقه لازم",IF(NOT(IF(J51="ورودی",AND(COUNTIFS('03-ورودی‌های بازنگری'!$A$8:$A$1007,K51)=1,IFERROR(INDEX('03-ورودی‌های بازنگری'!$D$8:$D$1007,MATCH(K51,'03-ورودی‌های بازنگری'!$A$8:$A$1007,0)),"")=B51,IFERROR(INDEX('03-ورودی‌های بازنگری'!$R$8:$R$1007,MATCH(K51,'03-ورودی‌های بازنگری'!$A$8:$A$1007,0)),"")="معتبر"),IF(J51="تصمیم",AND(COUNTIFS('07-تصمیمات و مصوبات'!$A$8:$A$1007,K51)=1,IFERROR(INDEX('07-تصمیمات و مصوبات'!$B$8:$B$1007,MATCH(K51,'07-تصمیمات و مصوبات'!$A$8:$A$1007,0)),"")=B51,IFERROR(INDEX('07-تصمیمات و مصوبات'!$Z$8:$Z$1007,MATCH(K51,'07-تصمیمات و مصوبات'!$A$8:$A$1007,0)),"")="معتبر",COUNTIFS('15-روابط'!$B$8:$B$1007,K51,'15-روابط'!$C$8:$C$1007,"الزام",'15-روابط'!$D$8:$D$1007,F51,'15-روابط'!$E$8:$E$1007,"رابطه معتبر")&gt;0),IF(J51="نتیجه",AND(COUNTIFS('06-نتایج بازنگری'!$A$8:$A$1007,K51)=1,IFERROR(INDEX('06-نتایج بازنگری'!$D$8:$D$1007,MATCH(K51,'06-نتایج بازنگری'!$A$8:$A$1007,0)),"")=B51,IFERROR(INDEX('06-نتایج بازنگری'!$P$8:$P$1007,MATCH(K51,'06-نتایج بازنگری'!$A$8:$A$1007,0)),"")="معتبر",IFERROR(INDEX('06-نتایج بازنگری'!$F$8:$F$1007,MATCH(K51,'06-نتایج بازنگری'!$A$8:$A$1007,0)),"")=G51),IF(J51="ابلاغ",AND(COUNTIFS('20-ابلاغ نتایج'!$A$8:$A$1007,K51)=1,IFERROR(INDEX('20-ابلاغ نتایج'!$E$8:$E$1007,MATCH(K51,'20-ابلاغ نتایج'!$A$8:$A$1007,0)),"")=B51,IFERROR(INDEX('20-ابلاغ نتایج'!$L$8:$L$1007,MATCH(K51,'20-ابلاغ نتایج'!$A$8:$A$1007,0)),"")="معتبر"),FALSE))))),"سابقه یا شواهد ناقص",IF(IFERROR(INDEX('18-دامنه استانداردها'!$J$8:$J$1007,MATCH(C51&amp;"|"&amp;G51,'18-دامنه استانداردها'!$A$8:$A$1007,0)),"")="تأیید شده","شواهد مرتبط ثبت شد؛ تأیید ممیز لازم",IF(IFERROR(INDEX('18-دامنه استانداردها'!$J$8:$J$1007,MATCH(C51&amp;"|"&amp;G51,'18-دامنه استانداردها'!$A$8:$A$1007,0)),"")="فرضی","پوشش فرضی؛ آموزشی","شواهد حاضر؛ تطبیق نسخه باز"))))))))</f>
        <v>بررسی نشده؛ سابقه لازم</v>
      </c>
      <c r="O51" s="1" t="s">
        <v>1215</v>
      </c>
    </row>
    <row r="52" spans="1:15" ht="36" customHeight="1">
      <c r="A52" s="1" t="s">
        <v>1260</v>
      </c>
      <c r="B52" s="1" t="s">
        <v>83</v>
      </c>
      <c r="C52" s="1" t="s">
        <v>77</v>
      </c>
      <c r="D52" s="1" t="s">
        <v>80</v>
      </c>
      <c r="E52" s="1" t="s">
        <v>379</v>
      </c>
      <c r="F52" s="1" t="s">
        <v>250</v>
      </c>
      <c r="G52" s="3" t="str">
        <f>IF(A52="","",IFERROR(INDEX('02-ماتریس الزامات'!$B$8:$B$1007,MATCH(F52,'02-ماتریس الزامات'!$A$8:$A$1007,0)),""))</f>
        <v>IATF</v>
      </c>
      <c r="H52" s="3" t="str">
        <f>IF(A52="","",IFERROR(INDEX('02-ماتریس الزامات'!$D$8:$D$1007,MATCH(F52,'02-ماتریس الزامات'!$A$8:$A$1007,0)),""))</f>
        <v>9.3.2.1 d</v>
      </c>
      <c r="I52" s="3" t="str">
        <f>IF(A52="","",IFERROR(INDEX('02-ماتریس الزامات'!$F$8:$F$1007,MATCH(F52,'02-ماتریس الزامات'!$A$8:$A$1007,0)),""))</f>
        <v>انطباق محصول</v>
      </c>
      <c r="J52" s="1" t="s">
        <v>174</v>
      </c>
      <c r="K52" s="1" t="s">
        <v>432</v>
      </c>
      <c r="L52" s="1"/>
      <c r="M52" s="1"/>
      <c r="N52" s="3" t="str">
        <f>IF(A52="","",IF(NOT(AND(COUNTIFS('13-کنترل انطباق'!$A$8:$A$1007,A52)=1,AND(COUNTIFS('17-جلسات و دوره‌ها'!$A$8:$A$1007,B52)=1,IFERROR(INDEX('17-جلسات و دوره‌ها'!$B$8:$B$1007,MATCH(B52,'17-جلسات و دوره‌ها'!$A$8:$A$1007,0)),"")=C52,IFERROR(INDEX('17-جلسات و دوره‌ها'!$C$8:$C$1007,MATCH(B52,'17-جلسات و دوره‌ها'!$A$8:$A$1007,0)),"")=D52),COUNTIFS('02-ماتریس الزامات'!$A$8:$A$1007,F52)=1,COUNTIFS('18-دامنه استانداردها'!$A$8:$A$1007,C52&amp;"|"&amp;G52)=1)),"شناسه یا دامنه نامعتبر",IF(IFERROR(INDEX('18-دامنه استانداردها'!$D$8:$D$1007,MATCH(C52&amp;"|"&amp;G52,'18-دامنه استانداردها'!$A$8:$A$1007,0)),"")="خیر",IF(AND(L52&lt;&gt;"",M52&lt;&gt;"",IFERROR(INDEX('18-دامنه استانداردها'!$H$8:$H$1007,MATCH(C52&amp;"|"&amp;G52,'18-دامنه استانداردها'!$A$8:$A$1007,0)),"")&lt;&gt;"",IFERROR(INDEX('18-دامنه استانداردها'!$I$8:$I$1007,MATCH(C52&amp;"|"&amp;G52,'18-دامنه استانداردها'!$A$8:$A$1007,0)),"")&lt;&gt;""),"عدم کاربرد مستند","عدم کاربرد بدون توجیه"),IF(IFERROR(INDEX('18-دامنه استانداردها'!$D$8:$D$1007,MATCH(C52&amp;"|"&amp;G52,'18-دامنه استانداردها'!$A$8:$A$1007,0)),"")&lt;&gt;"بله","دامنه نامشخص",IF(K52="","بررسی نشده؛ سابقه لازم",IF(NOT(IF(J52="ورودی",AND(COUNTIFS('03-ورودی‌های بازنگری'!$A$8:$A$1007,K52)=1,IFERROR(INDEX('03-ورودی‌های بازنگری'!$D$8:$D$1007,MATCH(K52,'03-ورودی‌های بازنگری'!$A$8:$A$1007,0)),"")=B52,IFERROR(INDEX('03-ورودی‌های بازنگری'!$R$8:$R$1007,MATCH(K52,'03-ورودی‌های بازنگری'!$A$8:$A$1007,0)),"")="معتبر"),IF(J52="تصمیم",AND(COUNTIFS('07-تصمیمات و مصوبات'!$A$8:$A$1007,K52)=1,IFERROR(INDEX('07-تصمیمات و مصوبات'!$B$8:$B$1007,MATCH(K52,'07-تصمیمات و مصوبات'!$A$8:$A$1007,0)),"")=B52,IFERROR(INDEX('07-تصمیمات و مصوبات'!$Z$8:$Z$1007,MATCH(K52,'07-تصمیمات و مصوبات'!$A$8:$A$1007,0)),"")="معتبر",COUNTIFS('15-روابط'!$B$8:$B$1007,K52,'15-روابط'!$C$8:$C$1007,"الزام",'15-روابط'!$D$8:$D$1007,F52,'15-روابط'!$E$8:$E$1007,"رابطه معتبر")&gt;0),IF(J52="نتیجه",AND(COUNTIFS('06-نتایج بازنگری'!$A$8:$A$1007,K52)=1,IFERROR(INDEX('06-نتایج بازنگری'!$D$8:$D$1007,MATCH(K52,'06-نتایج بازنگری'!$A$8:$A$1007,0)),"")=B52,IFERROR(INDEX('06-نتایج بازنگری'!$P$8:$P$1007,MATCH(K52,'06-نتایج بازنگری'!$A$8:$A$1007,0)),"")="معتبر",IFERROR(INDEX('06-نتایج بازنگری'!$F$8:$F$1007,MATCH(K52,'06-نتایج بازنگری'!$A$8:$A$1007,0)),"")=G52),IF(J52="ابلاغ",AND(COUNTIFS('20-ابلاغ نتایج'!$A$8:$A$1007,K52)=1,IFERROR(INDEX('20-ابلاغ نتایج'!$E$8:$E$1007,MATCH(K52,'20-ابلاغ نتایج'!$A$8:$A$1007,0)),"")=B52,IFERROR(INDEX('20-ابلاغ نتایج'!$L$8:$L$1007,MATCH(K52,'20-ابلاغ نتایج'!$A$8:$A$1007,0)),"")="معتبر"),FALSE))))),"سابقه یا شواهد ناقص",IF(IFERROR(INDEX('18-دامنه استانداردها'!$J$8:$J$1007,MATCH(C52&amp;"|"&amp;G52,'18-دامنه استانداردها'!$A$8:$A$1007,0)),"")="تأیید شده","شواهد مرتبط ثبت شد؛ تأیید ممیز لازم",IF(IFERROR(INDEX('18-دامنه استانداردها'!$J$8:$J$1007,MATCH(C52&amp;"|"&amp;G52,'18-دامنه استانداردها'!$A$8:$A$1007,0)),"")="فرضی","پوشش فرضی؛ آموزشی","شواهد حاضر؛ تطبیق نسخه باز"))))))))</f>
        <v>سابقه یا شواهد ناقص</v>
      </c>
      <c r="O52" s="1" t="s">
        <v>1215</v>
      </c>
    </row>
    <row r="53" spans="1:15" ht="36" customHeight="1">
      <c r="A53" s="1" t="s">
        <v>1261</v>
      </c>
      <c r="B53" s="1" t="s">
        <v>530</v>
      </c>
      <c r="C53" s="1" t="s">
        <v>99</v>
      </c>
      <c r="D53" s="1" t="s">
        <v>529</v>
      </c>
      <c r="E53" s="1" t="s">
        <v>531</v>
      </c>
      <c r="F53" s="1" t="s">
        <v>250</v>
      </c>
      <c r="G53" s="3" t="str">
        <f>IF(A53="","",IFERROR(INDEX('02-ماتریس الزامات'!$B$8:$B$1007,MATCH(F53,'02-ماتریس الزامات'!$A$8:$A$1007,0)),""))</f>
        <v>IATF</v>
      </c>
      <c r="H53" s="3" t="str">
        <f>IF(A53="","",IFERROR(INDEX('02-ماتریس الزامات'!$D$8:$D$1007,MATCH(F53,'02-ماتریس الزامات'!$A$8:$A$1007,0)),""))</f>
        <v>9.3.2.1 d</v>
      </c>
      <c r="I53" s="3" t="str">
        <f>IF(A53="","",IFERROR(INDEX('02-ماتریس الزامات'!$F$8:$F$1007,MATCH(F53,'02-ماتریس الزامات'!$A$8:$A$1007,0)),""))</f>
        <v>انطباق محصول</v>
      </c>
      <c r="J53" s="1" t="s">
        <v>174</v>
      </c>
      <c r="K53" s="1"/>
      <c r="L53" s="1"/>
      <c r="M53" s="1"/>
      <c r="N53" s="3" t="str">
        <f>IF(A53="","",IF(NOT(AND(COUNTIFS('13-کنترل انطباق'!$A$8:$A$1007,A53)=1,AND(COUNTIFS('17-جلسات و دوره‌ها'!$A$8:$A$1007,B53)=1,IFERROR(INDEX('17-جلسات و دوره‌ها'!$B$8:$B$1007,MATCH(B53,'17-جلسات و دوره‌ها'!$A$8:$A$1007,0)),"")=C53,IFERROR(INDEX('17-جلسات و دوره‌ها'!$C$8:$C$1007,MATCH(B53,'17-جلسات و دوره‌ها'!$A$8:$A$1007,0)),"")=D53),COUNTIFS('02-ماتریس الزامات'!$A$8:$A$1007,F53)=1,COUNTIFS('18-دامنه استانداردها'!$A$8:$A$1007,C53&amp;"|"&amp;G53)=1)),"شناسه یا دامنه نامعتبر",IF(IFERROR(INDEX('18-دامنه استانداردها'!$D$8:$D$1007,MATCH(C53&amp;"|"&amp;G53,'18-دامنه استانداردها'!$A$8:$A$1007,0)),"")="خیر",IF(AND(L53&lt;&gt;"",M53&lt;&gt;"",IFERROR(INDEX('18-دامنه استانداردها'!$H$8:$H$1007,MATCH(C53&amp;"|"&amp;G53,'18-دامنه استانداردها'!$A$8:$A$1007,0)),"")&lt;&gt;"",IFERROR(INDEX('18-دامنه استانداردها'!$I$8:$I$1007,MATCH(C53&amp;"|"&amp;G53,'18-دامنه استانداردها'!$A$8:$A$1007,0)),"")&lt;&gt;""),"عدم کاربرد مستند","عدم کاربرد بدون توجیه"),IF(IFERROR(INDEX('18-دامنه استانداردها'!$D$8:$D$1007,MATCH(C53&amp;"|"&amp;G53,'18-دامنه استانداردها'!$A$8:$A$1007,0)),"")&lt;&gt;"بله","دامنه نامشخص",IF(K53="","بررسی نشده؛ سابقه لازم",IF(NOT(IF(J53="ورودی",AND(COUNTIFS('03-ورودی‌های بازنگری'!$A$8:$A$1007,K53)=1,IFERROR(INDEX('03-ورودی‌های بازنگری'!$D$8:$D$1007,MATCH(K53,'03-ورودی‌های بازنگری'!$A$8:$A$1007,0)),"")=B53,IFERROR(INDEX('03-ورودی‌های بازنگری'!$R$8:$R$1007,MATCH(K53,'03-ورودی‌های بازنگری'!$A$8:$A$1007,0)),"")="معتبر"),IF(J53="تصمیم",AND(COUNTIFS('07-تصمیمات و مصوبات'!$A$8:$A$1007,K53)=1,IFERROR(INDEX('07-تصمیمات و مصوبات'!$B$8:$B$1007,MATCH(K53,'07-تصمیمات و مصوبات'!$A$8:$A$1007,0)),"")=B53,IFERROR(INDEX('07-تصمیمات و مصوبات'!$Z$8:$Z$1007,MATCH(K53,'07-تصمیمات و مصوبات'!$A$8:$A$1007,0)),"")="معتبر",COUNTIFS('15-روابط'!$B$8:$B$1007,K53,'15-روابط'!$C$8:$C$1007,"الزام",'15-روابط'!$D$8:$D$1007,F53,'15-روابط'!$E$8:$E$1007,"رابطه معتبر")&gt;0),IF(J53="نتیجه",AND(COUNTIFS('06-نتایج بازنگری'!$A$8:$A$1007,K53)=1,IFERROR(INDEX('06-نتایج بازنگری'!$D$8:$D$1007,MATCH(K53,'06-نتایج بازنگری'!$A$8:$A$1007,0)),"")=B53,IFERROR(INDEX('06-نتایج بازنگری'!$P$8:$P$1007,MATCH(K53,'06-نتایج بازنگری'!$A$8:$A$1007,0)),"")="معتبر",IFERROR(INDEX('06-نتایج بازنگری'!$F$8:$F$1007,MATCH(K53,'06-نتایج بازنگری'!$A$8:$A$1007,0)),"")=G53),IF(J53="ابلاغ",AND(COUNTIFS('20-ابلاغ نتایج'!$A$8:$A$1007,K53)=1,IFERROR(INDEX('20-ابلاغ نتایج'!$E$8:$E$1007,MATCH(K53,'20-ابلاغ نتایج'!$A$8:$A$1007,0)),"")=B53,IFERROR(INDEX('20-ابلاغ نتایج'!$L$8:$L$1007,MATCH(K53,'20-ابلاغ نتایج'!$A$8:$A$1007,0)),"")="معتبر"),FALSE))))),"سابقه یا شواهد ناقص",IF(IFERROR(INDEX('18-دامنه استانداردها'!$J$8:$J$1007,MATCH(C53&amp;"|"&amp;G53,'18-دامنه استانداردها'!$A$8:$A$1007,0)),"")="تأیید شده","شواهد مرتبط ثبت شد؛ تأیید ممیز لازم",IF(IFERROR(INDEX('18-دامنه استانداردها'!$J$8:$J$1007,MATCH(C53&amp;"|"&amp;G53,'18-دامنه استانداردها'!$A$8:$A$1007,0)),"")="فرضی","پوشش فرضی؛ آموزشی","شواهد حاضر؛ تطبیق نسخه باز"))))))))</f>
        <v>بررسی نشده؛ سابقه لازم</v>
      </c>
      <c r="O53" s="1" t="s">
        <v>1215</v>
      </c>
    </row>
    <row r="54" spans="1:15" ht="36" customHeight="1">
      <c r="A54" s="1" t="s">
        <v>1262</v>
      </c>
      <c r="B54" s="1" t="s">
        <v>83</v>
      </c>
      <c r="C54" s="1" t="s">
        <v>77</v>
      </c>
      <c r="D54" s="1" t="s">
        <v>80</v>
      </c>
      <c r="E54" s="1" t="s">
        <v>379</v>
      </c>
      <c r="F54" s="1" t="s">
        <v>253</v>
      </c>
      <c r="G54" s="3" t="str">
        <f>IF(A54="","",IFERROR(INDEX('02-ماتریس الزامات'!$B$8:$B$1007,MATCH(F54,'02-ماتریس الزامات'!$A$8:$A$1007,0)),""))</f>
        <v>IATF</v>
      </c>
      <c r="H54" s="3" t="str">
        <f>IF(A54="","",IFERROR(INDEX('02-ماتریس الزامات'!$D$8:$D$1007,MATCH(F54,'02-ماتریس الزامات'!$A$8:$A$1007,0)),""))</f>
        <v>9.3.2.1 e</v>
      </c>
      <c r="I54" s="3" t="str">
        <f>IF(A54="","",IFERROR(INDEX('02-ماتریس الزامات'!$F$8:$F$1007,MATCH(F54,'02-ماتریس الزامات'!$A$8:$A$1007,0)),""))</f>
        <v>امکان‌سنجی ساخت و تغییرات</v>
      </c>
      <c r="J54" s="1" t="s">
        <v>174</v>
      </c>
      <c r="K54" s="1" t="s">
        <v>447</v>
      </c>
      <c r="L54" s="1"/>
      <c r="M54" s="1"/>
      <c r="N54" s="3" t="str">
        <f>IF(A54="","",IF(NOT(AND(COUNTIFS('13-کنترل انطباق'!$A$8:$A$1007,A54)=1,AND(COUNTIFS('17-جلسات و دوره‌ها'!$A$8:$A$1007,B54)=1,IFERROR(INDEX('17-جلسات و دوره‌ها'!$B$8:$B$1007,MATCH(B54,'17-جلسات و دوره‌ها'!$A$8:$A$1007,0)),"")=C54,IFERROR(INDEX('17-جلسات و دوره‌ها'!$C$8:$C$1007,MATCH(B54,'17-جلسات و دوره‌ها'!$A$8:$A$1007,0)),"")=D54),COUNTIFS('02-ماتریس الزامات'!$A$8:$A$1007,F54)=1,COUNTIFS('18-دامنه استانداردها'!$A$8:$A$1007,C54&amp;"|"&amp;G54)=1)),"شناسه یا دامنه نامعتبر",IF(IFERROR(INDEX('18-دامنه استانداردها'!$D$8:$D$1007,MATCH(C54&amp;"|"&amp;G54,'18-دامنه استانداردها'!$A$8:$A$1007,0)),"")="خیر",IF(AND(L54&lt;&gt;"",M54&lt;&gt;"",IFERROR(INDEX('18-دامنه استانداردها'!$H$8:$H$1007,MATCH(C54&amp;"|"&amp;G54,'18-دامنه استانداردها'!$A$8:$A$1007,0)),"")&lt;&gt;"",IFERROR(INDEX('18-دامنه استانداردها'!$I$8:$I$1007,MATCH(C54&amp;"|"&amp;G54,'18-دامنه استانداردها'!$A$8:$A$1007,0)),"")&lt;&gt;""),"عدم کاربرد مستند","عدم کاربرد بدون توجیه"),IF(IFERROR(INDEX('18-دامنه استانداردها'!$D$8:$D$1007,MATCH(C54&amp;"|"&amp;G54,'18-دامنه استانداردها'!$A$8:$A$1007,0)),"")&lt;&gt;"بله","دامنه نامشخص",IF(K54="","بررسی نشده؛ سابقه لازم",IF(NOT(IF(J54="ورودی",AND(COUNTIFS('03-ورودی‌های بازنگری'!$A$8:$A$1007,K54)=1,IFERROR(INDEX('03-ورودی‌های بازنگری'!$D$8:$D$1007,MATCH(K54,'03-ورودی‌های بازنگری'!$A$8:$A$1007,0)),"")=B54,IFERROR(INDEX('03-ورودی‌های بازنگری'!$R$8:$R$1007,MATCH(K54,'03-ورودی‌های بازنگری'!$A$8:$A$1007,0)),"")="معتبر"),IF(J54="تصمیم",AND(COUNTIFS('07-تصمیمات و مصوبات'!$A$8:$A$1007,K54)=1,IFERROR(INDEX('07-تصمیمات و مصوبات'!$B$8:$B$1007,MATCH(K54,'07-تصمیمات و مصوبات'!$A$8:$A$1007,0)),"")=B54,IFERROR(INDEX('07-تصمیمات و مصوبات'!$Z$8:$Z$1007,MATCH(K54,'07-تصمیمات و مصوبات'!$A$8:$A$1007,0)),"")="معتبر",COUNTIFS('15-روابط'!$B$8:$B$1007,K54,'15-روابط'!$C$8:$C$1007,"الزام",'15-روابط'!$D$8:$D$1007,F54,'15-روابط'!$E$8:$E$1007,"رابطه معتبر")&gt;0),IF(J54="نتیجه",AND(COUNTIFS('06-نتایج بازنگری'!$A$8:$A$1007,K54)=1,IFERROR(INDEX('06-نتایج بازنگری'!$D$8:$D$1007,MATCH(K54,'06-نتایج بازنگری'!$A$8:$A$1007,0)),"")=B54,IFERROR(INDEX('06-نتایج بازنگری'!$P$8:$P$1007,MATCH(K54,'06-نتایج بازنگری'!$A$8:$A$1007,0)),"")="معتبر",IFERROR(INDEX('06-نتایج بازنگری'!$F$8:$F$1007,MATCH(K54,'06-نتایج بازنگری'!$A$8:$A$1007,0)),"")=G54),IF(J54="ابلاغ",AND(COUNTIFS('20-ابلاغ نتایج'!$A$8:$A$1007,K54)=1,IFERROR(INDEX('20-ابلاغ نتایج'!$E$8:$E$1007,MATCH(K54,'20-ابلاغ نتایج'!$A$8:$A$1007,0)),"")=B54,IFERROR(INDEX('20-ابلاغ نتایج'!$L$8:$L$1007,MATCH(K54,'20-ابلاغ نتایج'!$A$8:$A$1007,0)),"")="معتبر"),FALSE))))),"سابقه یا شواهد ناقص",IF(IFERROR(INDEX('18-دامنه استانداردها'!$J$8:$J$1007,MATCH(C54&amp;"|"&amp;G54,'18-دامنه استانداردها'!$A$8:$A$1007,0)),"")="تأیید شده","شواهد مرتبط ثبت شد؛ تأیید ممیز لازم",IF(IFERROR(INDEX('18-دامنه استانداردها'!$J$8:$J$1007,MATCH(C54&amp;"|"&amp;G54,'18-دامنه استانداردها'!$A$8:$A$1007,0)),"")="فرضی","پوشش فرضی؛ آموزشی","شواهد حاضر؛ تطبیق نسخه باز"))))))))</f>
        <v>سابقه یا شواهد ناقص</v>
      </c>
      <c r="O54" s="1" t="s">
        <v>1215</v>
      </c>
    </row>
    <row r="55" spans="1:15" ht="36" customHeight="1">
      <c r="A55" s="1" t="s">
        <v>1263</v>
      </c>
      <c r="B55" s="1" t="s">
        <v>530</v>
      </c>
      <c r="C55" s="1" t="s">
        <v>99</v>
      </c>
      <c r="D55" s="1" t="s">
        <v>529</v>
      </c>
      <c r="E55" s="1" t="s">
        <v>531</v>
      </c>
      <c r="F55" s="1" t="s">
        <v>253</v>
      </c>
      <c r="G55" s="3" t="str">
        <f>IF(A55="","",IFERROR(INDEX('02-ماتریس الزامات'!$B$8:$B$1007,MATCH(F55,'02-ماتریس الزامات'!$A$8:$A$1007,0)),""))</f>
        <v>IATF</v>
      </c>
      <c r="H55" s="3" t="str">
        <f>IF(A55="","",IFERROR(INDEX('02-ماتریس الزامات'!$D$8:$D$1007,MATCH(F55,'02-ماتریس الزامات'!$A$8:$A$1007,0)),""))</f>
        <v>9.3.2.1 e</v>
      </c>
      <c r="I55" s="3" t="str">
        <f>IF(A55="","",IFERROR(INDEX('02-ماتریس الزامات'!$F$8:$F$1007,MATCH(F55,'02-ماتریس الزامات'!$A$8:$A$1007,0)),""))</f>
        <v>امکان‌سنجی ساخت و تغییرات</v>
      </c>
      <c r="J55" s="1" t="s">
        <v>174</v>
      </c>
      <c r="K55" s="1"/>
      <c r="L55" s="1"/>
      <c r="M55" s="1"/>
      <c r="N55" s="3" t="str">
        <f>IF(A55="","",IF(NOT(AND(COUNTIFS('13-کنترل انطباق'!$A$8:$A$1007,A55)=1,AND(COUNTIFS('17-جلسات و دوره‌ها'!$A$8:$A$1007,B55)=1,IFERROR(INDEX('17-جلسات و دوره‌ها'!$B$8:$B$1007,MATCH(B55,'17-جلسات و دوره‌ها'!$A$8:$A$1007,0)),"")=C55,IFERROR(INDEX('17-جلسات و دوره‌ها'!$C$8:$C$1007,MATCH(B55,'17-جلسات و دوره‌ها'!$A$8:$A$1007,0)),"")=D55),COUNTIFS('02-ماتریس الزامات'!$A$8:$A$1007,F55)=1,COUNTIFS('18-دامنه استانداردها'!$A$8:$A$1007,C55&amp;"|"&amp;G55)=1)),"شناسه یا دامنه نامعتبر",IF(IFERROR(INDEX('18-دامنه استانداردها'!$D$8:$D$1007,MATCH(C55&amp;"|"&amp;G55,'18-دامنه استانداردها'!$A$8:$A$1007,0)),"")="خیر",IF(AND(L55&lt;&gt;"",M55&lt;&gt;"",IFERROR(INDEX('18-دامنه استانداردها'!$H$8:$H$1007,MATCH(C55&amp;"|"&amp;G55,'18-دامنه استانداردها'!$A$8:$A$1007,0)),"")&lt;&gt;"",IFERROR(INDEX('18-دامنه استانداردها'!$I$8:$I$1007,MATCH(C55&amp;"|"&amp;G55,'18-دامنه استانداردها'!$A$8:$A$1007,0)),"")&lt;&gt;""),"عدم کاربرد مستند","عدم کاربرد بدون توجیه"),IF(IFERROR(INDEX('18-دامنه استانداردها'!$D$8:$D$1007,MATCH(C55&amp;"|"&amp;G55,'18-دامنه استانداردها'!$A$8:$A$1007,0)),"")&lt;&gt;"بله","دامنه نامشخص",IF(K55="","بررسی نشده؛ سابقه لازم",IF(NOT(IF(J55="ورودی",AND(COUNTIFS('03-ورودی‌های بازنگری'!$A$8:$A$1007,K55)=1,IFERROR(INDEX('03-ورودی‌های بازنگری'!$D$8:$D$1007,MATCH(K55,'03-ورودی‌های بازنگری'!$A$8:$A$1007,0)),"")=B55,IFERROR(INDEX('03-ورودی‌های بازنگری'!$R$8:$R$1007,MATCH(K55,'03-ورودی‌های بازنگری'!$A$8:$A$1007,0)),"")="معتبر"),IF(J55="تصمیم",AND(COUNTIFS('07-تصمیمات و مصوبات'!$A$8:$A$1007,K55)=1,IFERROR(INDEX('07-تصمیمات و مصوبات'!$B$8:$B$1007,MATCH(K55,'07-تصمیمات و مصوبات'!$A$8:$A$1007,0)),"")=B55,IFERROR(INDEX('07-تصمیمات و مصوبات'!$Z$8:$Z$1007,MATCH(K55,'07-تصمیمات و مصوبات'!$A$8:$A$1007,0)),"")="معتبر",COUNTIFS('15-روابط'!$B$8:$B$1007,K55,'15-روابط'!$C$8:$C$1007,"الزام",'15-روابط'!$D$8:$D$1007,F55,'15-روابط'!$E$8:$E$1007,"رابطه معتبر")&gt;0),IF(J55="نتیجه",AND(COUNTIFS('06-نتایج بازنگری'!$A$8:$A$1007,K55)=1,IFERROR(INDEX('06-نتایج بازنگری'!$D$8:$D$1007,MATCH(K55,'06-نتایج بازنگری'!$A$8:$A$1007,0)),"")=B55,IFERROR(INDEX('06-نتایج بازنگری'!$P$8:$P$1007,MATCH(K55,'06-نتایج بازنگری'!$A$8:$A$1007,0)),"")="معتبر",IFERROR(INDEX('06-نتایج بازنگری'!$F$8:$F$1007,MATCH(K55,'06-نتایج بازنگری'!$A$8:$A$1007,0)),"")=G55),IF(J55="ابلاغ",AND(COUNTIFS('20-ابلاغ نتایج'!$A$8:$A$1007,K55)=1,IFERROR(INDEX('20-ابلاغ نتایج'!$E$8:$E$1007,MATCH(K55,'20-ابلاغ نتایج'!$A$8:$A$1007,0)),"")=B55,IFERROR(INDEX('20-ابلاغ نتایج'!$L$8:$L$1007,MATCH(K55,'20-ابلاغ نتایج'!$A$8:$A$1007,0)),"")="معتبر"),FALSE))))),"سابقه یا شواهد ناقص",IF(IFERROR(INDEX('18-دامنه استانداردها'!$J$8:$J$1007,MATCH(C55&amp;"|"&amp;G55,'18-دامنه استانداردها'!$A$8:$A$1007,0)),"")="تأیید شده","شواهد مرتبط ثبت شد؛ تأیید ممیز لازم",IF(IFERROR(INDEX('18-دامنه استانداردها'!$J$8:$J$1007,MATCH(C55&amp;"|"&amp;G55,'18-دامنه استانداردها'!$A$8:$A$1007,0)),"")="فرضی","پوشش فرضی؛ آموزشی","شواهد حاضر؛ تطبیق نسخه باز"))))))))</f>
        <v>بررسی نشده؛ سابقه لازم</v>
      </c>
      <c r="O55" s="1" t="s">
        <v>1215</v>
      </c>
    </row>
    <row r="56" spans="1:15" ht="36" customHeight="1">
      <c r="A56" s="1" t="s">
        <v>1264</v>
      </c>
      <c r="B56" s="1" t="s">
        <v>83</v>
      </c>
      <c r="C56" s="1" t="s">
        <v>77</v>
      </c>
      <c r="D56" s="1" t="s">
        <v>80</v>
      </c>
      <c r="E56" s="1" t="s">
        <v>379</v>
      </c>
      <c r="F56" s="1" t="s">
        <v>257</v>
      </c>
      <c r="G56" s="3" t="str">
        <f>IF(A56="","",IFERROR(INDEX('02-ماتریس الزامات'!$B$8:$B$1007,MATCH(F56,'02-ماتریس الزامات'!$A$8:$A$1007,0)),""))</f>
        <v>IATF</v>
      </c>
      <c r="H56" s="3" t="str">
        <f>IF(A56="","",IFERROR(INDEX('02-ماتریس الزامات'!$D$8:$D$1007,MATCH(F56,'02-ماتریس الزامات'!$A$8:$A$1007,0)),""))</f>
        <v>9.3.2.1 f</v>
      </c>
      <c r="I56" s="3" t="str">
        <f>IF(A56="","",IFERROR(INDEX('02-ماتریس الزامات'!$F$8:$F$1007,MATCH(F56,'02-ماتریس الزامات'!$A$8:$A$1007,0)),""))</f>
        <v>رضایت مشتری</v>
      </c>
      <c r="J56" s="1" t="s">
        <v>174</v>
      </c>
      <c r="K56" s="1" t="s">
        <v>407</v>
      </c>
      <c r="L56" s="1"/>
      <c r="M56" s="1"/>
      <c r="N56" s="3" t="str">
        <f>IF(A56="","",IF(NOT(AND(COUNTIFS('13-کنترل انطباق'!$A$8:$A$1007,A56)=1,AND(COUNTIFS('17-جلسات و دوره‌ها'!$A$8:$A$1007,B56)=1,IFERROR(INDEX('17-جلسات و دوره‌ها'!$B$8:$B$1007,MATCH(B56,'17-جلسات و دوره‌ها'!$A$8:$A$1007,0)),"")=C56,IFERROR(INDEX('17-جلسات و دوره‌ها'!$C$8:$C$1007,MATCH(B56,'17-جلسات و دوره‌ها'!$A$8:$A$1007,0)),"")=D56),COUNTIFS('02-ماتریس الزامات'!$A$8:$A$1007,F56)=1,COUNTIFS('18-دامنه استانداردها'!$A$8:$A$1007,C56&amp;"|"&amp;G56)=1)),"شناسه یا دامنه نامعتبر",IF(IFERROR(INDEX('18-دامنه استانداردها'!$D$8:$D$1007,MATCH(C56&amp;"|"&amp;G56,'18-دامنه استانداردها'!$A$8:$A$1007,0)),"")="خیر",IF(AND(L56&lt;&gt;"",M56&lt;&gt;"",IFERROR(INDEX('18-دامنه استانداردها'!$H$8:$H$1007,MATCH(C56&amp;"|"&amp;G56,'18-دامنه استانداردها'!$A$8:$A$1007,0)),"")&lt;&gt;"",IFERROR(INDEX('18-دامنه استانداردها'!$I$8:$I$1007,MATCH(C56&amp;"|"&amp;G56,'18-دامنه استانداردها'!$A$8:$A$1007,0)),"")&lt;&gt;""),"عدم کاربرد مستند","عدم کاربرد بدون توجیه"),IF(IFERROR(INDEX('18-دامنه استانداردها'!$D$8:$D$1007,MATCH(C56&amp;"|"&amp;G56,'18-دامنه استانداردها'!$A$8:$A$1007,0)),"")&lt;&gt;"بله","دامنه نامشخص",IF(K56="","بررسی نشده؛ سابقه لازم",IF(NOT(IF(J56="ورودی",AND(COUNTIFS('03-ورودی‌های بازنگری'!$A$8:$A$1007,K56)=1,IFERROR(INDEX('03-ورودی‌های بازنگری'!$D$8:$D$1007,MATCH(K56,'03-ورودی‌های بازنگری'!$A$8:$A$1007,0)),"")=B56,IFERROR(INDEX('03-ورودی‌های بازنگری'!$R$8:$R$1007,MATCH(K56,'03-ورودی‌های بازنگری'!$A$8:$A$1007,0)),"")="معتبر"),IF(J56="تصمیم",AND(COUNTIFS('07-تصمیمات و مصوبات'!$A$8:$A$1007,K56)=1,IFERROR(INDEX('07-تصمیمات و مصوبات'!$B$8:$B$1007,MATCH(K56,'07-تصمیمات و مصوبات'!$A$8:$A$1007,0)),"")=B56,IFERROR(INDEX('07-تصمیمات و مصوبات'!$Z$8:$Z$1007,MATCH(K56,'07-تصمیمات و مصوبات'!$A$8:$A$1007,0)),"")="معتبر",COUNTIFS('15-روابط'!$B$8:$B$1007,K56,'15-روابط'!$C$8:$C$1007,"الزام",'15-روابط'!$D$8:$D$1007,F56,'15-روابط'!$E$8:$E$1007,"رابطه معتبر")&gt;0),IF(J56="نتیجه",AND(COUNTIFS('06-نتایج بازنگری'!$A$8:$A$1007,K56)=1,IFERROR(INDEX('06-نتایج بازنگری'!$D$8:$D$1007,MATCH(K56,'06-نتایج بازنگری'!$A$8:$A$1007,0)),"")=B56,IFERROR(INDEX('06-نتایج بازنگری'!$P$8:$P$1007,MATCH(K56,'06-نتایج بازنگری'!$A$8:$A$1007,0)),"")="معتبر",IFERROR(INDEX('06-نتایج بازنگری'!$F$8:$F$1007,MATCH(K56,'06-نتایج بازنگری'!$A$8:$A$1007,0)),"")=G56),IF(J56="ابلاغ",AND(COUNTIFS('20-ابلاغ نتایج'!$A$8:$A$1007,K56)=1,IFERROR(INDEX('20-ابلاغ نتایج'!$E$8:$E$1007,MATCH(K56,'20-ابلاغ نتایج'!$A$8:$A$1007,0)),"")=B56,IFERROR(INDEX('20-ابلاغ نتایج'!$L$8:$L$1007,MATCH(K56,'20-ابلاغ نتایج'!$A$8:$A$1007,0)),"")="معتبر"),FALSE))))),"سابقه یا شواهد ناقص",IF(IFERROR(INDEX('18-دامنه استانداردها'!$J$8:$J$1007,MATCH(C56&amp;"|"&amp;G56,'18-دامنه استانداردها'!$A$8:$A$1007,0)),"")="تأیید شده","شواهد مرتبط ثبت شد؛ تأیید ممیز لازم",IF(IFERROR(INDEX('18-دامنه استانداردها'!$J$8:$J$1007,MATCH(C56&amp;"|"&amp;G56,'18-دامنه استانداردها'!$A$8:$A$1007,0)),"")="فرضی","پوشش فرضی؛ آموزشی","شواهد حاضر؛ تطبیق نسخه باز"))))))))</f>
        <v>سابقه یا شواهد ناقص</v>
      </c>
      <c r="O56" s="1" t="s">
        <v>1215</v>
      </c>
    </row>
    <row r="57" spans="1:15" ht="36" customHeight="1">
      <c r="A57" s="1" t="s">
        <v>1265</v>
      </c>
      <c r="B57" s="1" t="s">
        <v>530</v>
      </c>
      <c r="C57" s="1" t="s">
        <v>99</v>
      </c>
      <c r="D57" s="1" t="s">
        <v>529</v>
      </c>
      <c r="E57" s="1" t="s">
        <v>531</v>
      </c>
      <c r="F57" s="1" t="s">
        <v>257</v>
      </c>
      <c r="G57" s="3" t="str">
        <f>IF(A57="","",IFERROR(INDEX('02-ماتریس الزامات'!$B$8:$B$1007,MATCH(F57,'02-ماتریس الزامات'!$A$8:$A$1007,0)),""))</f>
        <v>IATF</v>
      </c>
      <c r="H57" s="3" t="str">
        <f>IF(A57="","",IFERROR(INDEX('02-ماتریس الزامات'!$D$8:$D$1007,MATCH(F57,'02-ماتریس الزامات'!$A$8:$A$1007,0)),""))</f>
        <v>9.3.2.1 f</v>
      </c>
      <c r="I57" s="3" t="str">
        <f>IF(A57="","",IFERROR(INDEX('02-ماتریس الزامات'!$F$8:$F$1007,MATCH(F57,'02-ماتریس الزامات'!$A$8:$A$1007,0)),""))</f>
        <v>رضایت مشتری</v>
      </c>
      <c r="J57" s="1" t="s">
        <v>174</v>
      </c>
      <c r="K57" s="1"/>
      <c r="L57" s="1"/>
      <c r="M57" s="1"/>
      <c r="N57" s="3" t="str">
        <f>IF(A57="","",IF(NOT(AND(COUNTIFS('13-کنترل انطباق'!$A$8:$A$1007,A57)=1,AND(COUNTIFS('17-جلسات و دوره‌ها'!$A$8:$A$1007,B57)=1,IFERROR(INDEX('17-جلسات و دوره‌ها'!$B$8:$B$1007,MATCH(B57,'17-جلسات و دوره‌ها'!$A$8:$A$1007,0)),"")=C57,IFERROR(INDEX('17-جلسات و دوره‌ها'!$C$8:$C$1007,MATCH(B57,'17-جلسات و دوره‌ها'!$A$8:$A$1007,0)),"")=D57),COUNTIFS('02-ماتریس الزامات'!$A$8:$A$1007,F57)=1,COUNTIFS('18-دامنه استانداردها'!$A$8:$A$1007,C57&amp;"|"&amp;G57)=1)),"شناسه یا دامنه نامعتبر",IF(IFERROR(INDEX('18-دامنه استانداردها'!$D$8:$D$1007,MATCH(C57&amp;"|"&amp;G57,'18-دامنه استانداردها'!$A$8:$A$1007,0)),"")="خیر",IF(AND(L57&lt;&gt;"",M57&lt;&gt;"",IFERROR(INDEX('18-دامنه استانداردها'!$H$8:$H$1007,MATCH(C57&amp;"|"&amp;G57,'18-دامنه استانداردها'!$A$8:$A$1007,0)),"")&lt;&gt;"",IFERROR(INDEX('18-دامنه استانداردها'!$I$8:$I$1007,MATCH(C57&amp;"|"&amp;G57,'18-دامنه استانداردها'!$A$8:$A$1007,0)),"")&lt;&gt;""),"عدم کاربرد مستند","عدم کاربرد بدون توجیه"),IF(IFERROR(INDEX('18-دامنه استانداردها'!$D$8:$D$1007,MATCH(C57&amp;"|"&amp;G57,'18-دامنه استانداردها'!$A$8:$A$1007,0)),"")&lt;&gt;"بله","دامنه نامشخص",IF(K57="","بررسی نشده؛ سابقه لازم",IF(NOT(IF(J57="ورودی",AND(COUNTIFS('03-ورودی‌های بازنگری'!$A$8:$A$1007,K57)=1,IFERROR(INDEX('03-ورودی‌های بازنگری'!$D$8:$D$1007,MATCH(K57,'03-ورودی‌های بازنگری'!$A$8:$A$1007,0)),"")=B57,IFERROR(INDEX('03-ورودی‌های بازنگری'!$R$8:$R$1007,MATCH(K57,'03-ورودی‌های بازنگری'!$A$8:$A$1007,0)),"")="معتبر"),IF(J57="تصمیم",AND(COUNTIFS('07-تصمیمات و مصوبات'!$A$8:$A$1007,K57)=1,IFERROR(INDEX('07-تصمیمات و مصوبات'!$B$8:$B$1007,MATCH(K57,'07-تصمیمات و مصوبات'!$A$8:$A$1007,0)),"")=B57,IFERROR(INDEX('07-تصمیمات و مصوبات'!$Z$8:$Z$1007,MATCH(K57,'07-تصمیمات و مصوبات'!$A$8:$A$1007,0)),"")="معتبر",COUNTIFS('15-روابط'!$B$8:$B$1007,K57,'15-روابط'!$C$8:$C$1007,"الزام",'15-روابط'!$D$8:$D$1007,F57,'15-روابط'!$E$8:$E$1007,"رابطه معتبر")&gt;0),IF(J57="نتیجه",AND(COUNTIFS('06-نتایج بازنگری'!$A$8:$A$1007,K57)=1,IFERROR(INDEX('06-نتایج بازنگری'!$D$8:$D$1007,MATCH(K57,'06-نتایج بازنگری'!$A$8:$A$1007,0)),"")=B57,IFERROR(INDEX('06-نتایج بازنگری'!$P$8:$P$1007,MATCH(K57,'06-نتایج بازنگری'!$A$8:$A$1007,0)),"")="معتبر",IFERROR(INDEX('06-نتایج بازنگری'!$F$8:$F$1007,MATCH(K57,'06-نتایج بازنگری'!$A$8:$A$1007,0)),"")=G57),IF(J57="ابلاغ",AND(COUNTIFS('20-ابلاغ نتایج'!$A$8:$A$1007,K57)=1,IFERROR(INDEX('20-ابلاغ نتایج'!$E$8:$E$1007,MATCH(K57,'20-ابلاغ نتایج'!$A$8:$A$1007,0)),"")=B57,IFERROR(INDEX('20-ابلاغ نتایج'!$L$8:$L$1007,MATCH(K57,'20-ابلاغ نتایج'!$A$8:$A$1007,0)),"")="معتبر"),FALSE))))),"سابقه یا شواهد ناقص",IF(IFERROR(INDEX('18-دامنه استانداردها'!$J$8:$J$1007,MATCH(C57&amp;"|"&amp;G57,'18-دامنه استانداردها'!$A$8:$A$1007,0)),"")="تأیید شده","شواهد مرتبط ثبت شد؛ تأیید ممیز لازم",IF(IFERROR(INDEX('18-دامنه استانداردها'!$J$8:$J$1007,MATCH(C57&amp;"|"&amp;G57,'18-دامنه استانداردها'!$A$8:$A$1007,0)),"")="فرضی","پوشش فرضی؛ آموزشی","شواهد حاضر؛ تطبیق نسخه باز"))))))))</f>
        <v>بررسی نشده؛ سابقه لازم</v>
      </c>
      <c r="O57" s="1" t="s">
        <v>1215</v>
      </c>
    </row>
    <row r="58" spans="1:15" ht="36" customHeight="1">
      <c r="A58" s="1" t="s">
        <v>1266</v>
      </c>
      <c r="B58" s="1" t="s">
        <v>83</v>
      </c>
      <c r="C58" s="1" t="s">
        <v>77</v>
      </c>
      <c r="D58" s="1" t="s">
        <v>80</v>
      </c>
      <c r="E58" s="1" t="s">
        <v>379</v>
      </c>
      <c r="F58" s="1" t="s">
        <v>260</v>
      </c>
      <c r="G58" s="3" t="str">
        <f>IF(A58="","",IFERROR(INDEX('02-ماتریس الزامات'!$B$8:$B$1007,MATCH(F58,'02-ماتریس الزامات'!$A$8:$A$1007,0)),""))</f>
        <v>IATF</v>
      </c>
      <c r="H58" s="3" t="str">
        <f>IF(A58="","",IFERROR(INDEX('02-ماتریس الزامات'!$D$8:$D$1007,MATCH(F58,'02-ماتریس الزامات'!$A$8:$A$1007,0)),""))</f>
        <v>9.3.2.1 g</v>
      </c>
      <c r="I58" s="3" t="str">
        <f>IF(A58="","",IFERROR(INDEX('02-ماتریس الزامات'!$F$8:$F$1007,MATCH(F58,'02-ماتریس الزامات'!$A$8:$A$1007,0)),""))</f>
        <v>اهداف نگهداری و تعمیرات</v>
      </c>
      <c r="J58" s="1" t="s">
        <v>174</v>
      </c>
      <c r="K58" s="1" t="s">
        <v>442</v>
      </c>
      <c r="L58" s="1"/>
      <c r="M58" s="1"/>
      <c r="N58" s="3" t="str">
        <f>IF(A58="","",IF(NOT(AND(COUNTIFS('13-کنترل انطباق'!$A$8:$A$1007,A58)=1,AND(COUNTIFS('17-جلسات و دوره‌ها'!$A$8:$A$1007,B58)=1,IFERROR(INDEX('17-جلسات و دوره‌ها'!$B$8:$B$1007,MATCH(B58,'17-جلسات و دوره‌ها'!$A$8:$A$1007,0)),"")=C58,IFERROR(INDEX('17-جلسات و دوره‌ها'!$C$8:$C$1007,MATCH(B58,'17-جلسات و دوره‌ها'!$A$8:$A$1007,0)),"")=D58),COUNTIFS('02-ماتریس الزامات'!$A$8:$A$1007,F58)=1,COUNTIFS('18-دامنه استانداردها'!$A$8:$A$1007,C58&amp;"|"&amp;G58)=1)),"شناسه یا دامنه نامعتبر",IF(IFERROR(INDEX('18-دامنه استانداردها'!$D$8:$D$1007,MATCH(C58&amp;"|"&amp;G58,'18-دامنه استانداردها'!$A$8:$A$1007,0)),"")="خیر",IF(AND(L58&lt;&gt;"",M58&lt;&gt;"",IFERROR(INDEX('18-دامنه استانداردها'!$H$8:$H$1007,MATCH(C58&amp;"|"&amp;G58,'18-دامنه استانداردها'!$A$8:$A$1007,0)),"")&lt;&gt;"",IFERROR(INDEX('18-دامنه استانداردها'!$I$8:$I$1007,MATCH(C58&amp;"|"&amp;G58,'18-دامنه استانداردها'!$A$8:$A$1007,0)),"")&lt;&gt;""),"عدم کاربرد مستند","عدم کاربرد بدون توجیه"),IF(IFERROR(INDEX('18-دامنه استانداردها'!$D$8:$D$1007,MATCH(C58&amp;"|"&amp;G58,'18-دامنه استانداردها'!$A$8:$A$1007,0)),"")&lt;&gt;"بله","دامنه نامشخص",IF(K58="","بررسی نشده؛ سابقه لازم",IF(NOT(IF(J58="ورودی",AND(COUNTIFS('03-ورودی‌های بازنگری'!$A$8:$A$1007,K58)=1,IFERROR(INDEX('03-ورودی‌های بازنگری'!$D$8:$D$1007,MATCH(K58,'03-ورودی‌های بازنگری'!$A$8:$A$1007,0)),"")=B58,IFERROR(INDEX('03-ورودی‌های بازنگری'!$R$8:$R$1007,MATCH(K58,'03-ورودی‌های بازنگری'!$A$8:$A$1007,0)),"")="معتبر"),IF(J58="تصمیم",AND(COUNTIFS('07-تصمیمات و مصوبات'!$A$8:$A$1007,K58)=1,IFERROR(INDEX('07-تصمیمات و مصوبات'!$B$8:$B$1007,MATCH(K58,'07-تصمیمات و مصوبات'!$A$8:$A$1007,0)),"")=B58,IFERROR(INDEX('07-تصمیمات و مصوبات'!$Z$8:$Z$1007,MATCH(K58,'07-تصمیمات و مصوبات'!$A$8:$A$1007,0)),"")="معتبر",COUNTIFS('15-روابط'!$B$8:$B$1007,K58,'15-روابط'!$C$8:$C$1007,"الزام",'15-روابط'!$D$8:$D$1007,F58,'15-روابط'!$E$8:$E$1007,"رابطه معتبر")&gt;0),IF(J58="نتیجه",AND(COUNTIFS('06-نتایج بازنگری'!$A$8:$A$1007,K58)=1,IFERROR(INDEX('06-نتایج بازنگری'!$D$8:$D$1007,MATCH(K58,'06-نتایج بازنگری'!$A$8:$A$1007,0)),"")=B58,IFERROR(INDEX('06-نتایج بازنگری'!$P$8:$P$1007,MATCH(K58,'06-نتایج بازنگری'!$A$8:$A$1007,0)),"")="معتبر",IFERROR(INDEX('06-نتایج بازنگری'!$F$8:$F$1007,MATCH(K58,'06-نتایج بازنگری'!$A$8:$A$1007,0)),"")=G58),IF(J58="ابلاغ",AND(COUNTIFS('20-ابلاغ نتایج'!$A$8:$A$1007,K58)=1,IFERROR(INDEX('20-ابلاغ نتایج'!$E$8:$E$1007,MATCH(K58,'20-ابلاغ نتایج'!$A$8:$A$1007,0)),"")=B58,IFERROR(INDEX('20-ابلاغ نتایج'!$L$8:$L$1007,MATCH(K58,'20-ابلاغ نتایج'!$A$8:$A$1007,0)),"")="معتبر"),FALSE))))),"سابقه یا شواهد ناقص",IF(IFERROR(INDEX('18-دامنه استانداردها'!$J$8:$J$1007,MATCH(C58&amp;"|"&amp;G58,'18-دامنه استانداردها'!$A$8:$A$1007,0)),"")="تأیید شده","شواهد مرتبط ثبت شد؛ تأیید ممیز لازم",IF(IFERROR(INDEX('18-دامنه استانداردها'!$J$8:$J$1007,MATCH(C58&amp;"|"&amp;G58,'18-دامنه استانداردها'!$A$8:$A$1007,0)),"")="فرضی","پوشش فرضی؛ آموزشی","شواهد حاضر؛ تطبیق نسخه باز"))))))))</f>
        <v>سابقه یا شواهد ناقص</v>
      </c>
      <c r="O58" s="1" t="s">
        <v>1215</v>
      </c>
    </row>
    <row r="59" spans="1:15" ht="36" customHeight="1">
      <c r="A59" s="1" t="s">
        <v>1267</v>
      </c>
      <c r="B59" s="1" t="s">
        <v>530</v>
      </c>
      <c r="C59" s="1" t="s">
        <v>99</v>
      </c>
      <c r="D59" s="1" t="s">
        <v>529</v>
      </c>
      <c r="E59" s="1" t="s">
        <v>531</v>
      </c>
      <c r="F59" s="1" t="s">
        <v>260</v>
      </c>
      <c r="G59" s="3" t="str">
        <f>IF(A59="","",IFERROR(INDEX('02-ماتریس الزامات'!$B$8:$B$1007,MATCH(F59,'02-ماتریس الزامات'!$A$8:$A$1007,0)),""))</f>
        <v>IATF</v>
      </c>
      <c r="H59" s="3" t="str">
        <f>IF(A59="","",IFERROR(INDEX('02-ماتریس الزامات'!$D$8:$D$1007,MATCH(F59,'02-ماتریس الزامات'!$A$8:$A$1007,0)),""))</f>
        <v>9.3.2.1 g</v>
      </c>
      <c r="I59" s="3" t="str">
        <f>IF(A59="","",IFERROR(INDEX('02-ماتریس الزامات'!$F$8:$F$1007,MATCH(F59,'02-ماتریس الزامات'!$A$8:$A$1007,0)),""))</f>
        <v>اهداف نگهداری و تعمیرات</v>
      </c>
      <c r="J59" s="1" t="s">
        <v>174</v>
      </c>
      <c r="K59" s="1"/>
      <c r="L59" s="1"/>
      <c r="M59" s="1"/>
      <c r="N59" s="3" t="str">
        <f>IF(A59="","",IF(NOT(AND(COUNTIFS('13-کنترل انطباق'!$A$8:$A$1007,A59)=1,AND(COUNTIFS('17-جلسات و دوره‌ها'!$A$8:$A$1007,B59)=1,IFERROR(INDEX('17-جلسات و دوره‌ها'!$B$8:$B$1007,MATCH(B59,'17-جلسات و دوره‌ها'!$A$8:$A$1007,0)),"")=C59,IFERROR(INDEX('17-جلسات و دوره‌ها'!$C$8:$C$1007,MATCH(B59,'17-جلسات و دوره‌ها'!$A$8:$A$1007,0)),"")=D59),COUNTIFS('02-ماتریس الزامات'!$A$8:$A$1007,F59)=1,COUNTIFS('18-دامنه استانداردها'!$A$8:$A$1007,C59&amp;"|"&amp;G59)=1)),"شناسه یا دامنه نامعتبر",IF(IFERROR(INDEX('18-دامنه استانداردها'!$D$8:$D$1007,MATCH(C59&amp;"|"&amp;G59,'18-دامنه استانداردها'!$A$8:$A$1007,0)),"")="خیر",IF(AND(L59&lt;&gt;"",M59&lt;&gt;"",IFERROR(INDEX('18-دامنه استانداردها'!$H$8:$H$1007,MATCH(C59&amp;"|"&amp;G59,'18-دامنه استانداردها'!$A$8:$A$1007,0)),"")&lt;&gt;"",IFERROR(INDEX('18-دامنه استانداردها'!$I$8:$I$1007,MATCH(C59&amp;"|"&amp;G59,'18-دامنه استانداردها'!$A$8:$A$1007,0)),"")&lt;&gt;""),"عدم کاربرد مستند","عدم کاربرد بدون توجیه"),IF(IFERROR(INDEX('18-دامنه استانداردها'!$D$8:$D$1007,MATCH(C59&amp;"|"&amp;G59,'18-دامنه استانداردها'!$A$8:$A$1007,0)),"")&lt;&gt;"بله","دامنه نامشخص",IF(K59="","بررسی نشده؛ سابقه لازم",IF(NOT(IF(J59="ورودی",AND(COUNTIFS('03-ورودی‌های بازنگری'!$A$8:$A$1007,K59)=1,IFERROR(INDEX('03-ورودی‌های بازنگری'!$D$8:$D$1007,MATCH(K59,'03-ورودی‌های بازنگری'!$A$8:$A$1007,0)),"")=B59,IFERROR(INDEX('03-ورودی‌های بازنگری'!$R$8:$R$1007,MATCH(K59,'03-ورودی‌های بازنگری'!$A$8:$A$1007,0)),"")="معتبر"),IF(J59="تصمیم",AND(COUNTIFS('07-تصمیمات و مصوبات'!$A$8:$A$1007,K59)=1,IFERROR(INDEX('07-تصمیمات و مصوبات'!$B$8:$B$1007,MATCH(K59,'07-تصمیمات و مصوبات'!$A$8:$A$1007,0)),"")=B59,IFERROR(INDEX('07-تصمیمات و مصوبات'!$Z$8:$Z$1007,MATCH(K59,'07-تصمیمات و مصوبات'!$A$8:$A$1007,0)),"")="معتبر",COUNTIFS('15-روابط'!$B$8:$B$1007,K59,'15-روابط'!$C$8:$C$1007,"الزام",'15-روابط'!$D$8:$D$1007,F59,'15-روابط'!$E$8:$E$1007,"رابطه معتبر")&gt;0),IF(J59="نتیجه",AND(COUNTIFS('06-نتایج بازنگری'!$A$8:$A$1007,K59)=1,IFERROR(INDEX('06-نتایج بازنگری'!$D$8:$D$1007,MATCH(K59,'06-نتایج بازنگری'!$A$8:$A$1007,0)),"")=B59,IFERROR(INDEX('06-نتایج بازنگری'!$P$8:$P$1007,MATCH(K59,'06-نتایج بازنگری'!$A$8:$A$1007,0)),"")="معتبر",IFERROR(INDEX('06-نتایج بازنگری'!$F$8:$F$1007,MATCH(K59,'06-نتایج بازنگری'!$A$8:$A$1007,0)),"")=G59),IF(J59="ابلاغ",AND(COUNTIFS('20-ابلاغ نتایج'!$A$8:$A$1007,K59)=1,IFERROR(INDEX('20-ابلاغ نتایج'!$E$8:$E$1007,MATCH(K59,'20-ابلاغ نتایج'!$A$8:$A$1007,0)),"")=B59,IFERROR(INDEX('20-ابلاغ نتایج'!$L$8:$L$1007,MATCH(K59,'20-ابلاغ نتایج'!$A$8:$A$1007,0)),"")="معتبر"),FALSE))))),"سابقه یا شواهد ناقص",IF(IFERROR(INDEX('18-دامنه استانداردها'!$J$8:$J$1007,MATCH(C59&amp;"|"&amp;G59,'18-دامنه استانداردها'!$A$8:$A$1007,0)),"")="تأیید شده","شواهد مرتبط ثبت شد؛ تأیید ممیز لازم",IF(IFERROR(INDEX('18-دامنه استانداردها'!$J$8:$J$1007,MATCH(C59&amp;"|"&amp;G59,'18-دامنه استانداردها'!$A$8:$A$1007,0)),"")="فرضی","پوشش فرضی؛ آموزشی","شواهد حاضر؛ تطبیق نسخه باز"))))))))</f>
        <v>بررسی نشده؛ سابقه لازم</v>
      </c>
      <c r="O59" s="1" t="s">
        <v>1215</v>
      </c>
    </row>
    <row r="60" spans="1:15" ht="36" customHeight="1">
      <c r="A60" s="1" t="s">
        <v>1268</v>
      </c>
      <c r="B60" s="1" t="s">
        <v>83</v>
      </c>
      <c r="C60" s="1" t="s">
        <v>77</v>
      </c>
      <c r="D60" s="1" t="s">
        <v>80</v>
      </c>
      <c r="E60" s="1" t="s">
        <v>379</v>
      </c>
      <c r="F60" s="1" t="s">
        <v>264</v>
      </c>
      <c r="G60" s="3" t="str">
        <f>IF(A60="","",IFERROR(INDEX('02-ماتریس الزامات'!$B$8:$B$1007,MATCH(F60,'02-ماتریس الزامات'!$A$8:$A$1007,0)),""))</f>
        <v>IATF</v>
      </c>
      <c r="H60" s="3" t="str">
        <f>IF(A60="","",IFERROR(INDEX('02-ماتریس الزامات'!$D$8:$D$1007,MATCH(F60,'02-ماتریس الزامات'!$A$8:$A$1007,0)),""))</f>
        <v>9.3.2.1 h</v>
      </c>
      <c r="I60" s="3" t="str">
        <f>IF(A60="","",IFERROR(INDEX('02-ماتریس الزامات'!$F$8:$F$1007,MATCH(F60,'02-ماتریس الزامات'!$A$8:$A$1007,0)),""))</f>
        <v>عملکرد ضمانت؛ در صورت کاربرد</v>
      </c>
      <c r="J60" s="1" t="s">
        <v>174</v>
      </c>
      <c r="K60" s="1" t="s">
        <v>432</v>
      </c>
      <c r="L60" s="1"/>
      <c r="M60" s="1"/>
      <c r="N60" s="3" t="str">
        <f>IF(A60="","",IF(NOT(AND(COUNTIFS('13-کنترل انطباق'!$A$8:$A$1007,A60)=1,AND(COUNTIFS('17-جلسات و دوره‌ها'!$A$8:$A$1007,B60)=1,IFERROR(INDEX('17-جلسات و دوره‌ها'!$B$8:$B$1007,MATCH(B60,'17-جلسات و دوره‌ها'!$A$8:$A$1007,0)),"")=C60,IFERROR(INDEX('17-جلسات و دوره‌ها'!$C$8:$C$1007,MATCH(B60,'17-جلسات و دوره‌ها'!$A$8:$A$1007,0)),"")=D60),COUNTIFS('02-ماتریس الزامات'!$A$8:$A$1007,F60)=1,COUNTIFS('18-دامنه استانداردها'!$A$8:$A$1007,C60&amp;"|"&amp;G60)=1)),"شناسه یا دامنه نامعتبر",IF(IFERROR(INDEX('18-دامنه استانداردها'!$D$8:$D$1007,MATCH(C60&amp;"|"&amp;G60,'18-دامنه استانداردها'!$A$8:$A$1007,0)),"")="خیر",IF(AND(L60&lt;&gt;"",M60&lt;&gt;"",IFERROR(INDEX('18-دامنه استانداردها'!$H$8:$H$1007,MATCH(C60&amp;"|"&amp;G60,'18-دامنه استانداردها'!$A$8:$A$1007,0)),"")&lt;&gt;"",IFERROR(INDEX('18-دامنه استانداردها'!$I$8:$I$1007,MATCH(C60&amp;"|"&amp;G60,'18-دامنه استانداردها'!$A$8:$A$1007,0)),"")&lt;&gt;""),"عدم کاربرد مستند","عدم کاربرد بدون توجیه"),IF(IFERROR(INDEX('18-دامنه استانداردها'!$D$8:$D$1007,MATCH(C60&amp;"|"&amp;G60,'18-دامنه استانداردها'!$A$8:$A$1007,0)),"")&lt;&gt;"بله","دامنه نامشخص",IF(K60="","بررسی نشده؛ سابقه لازم",IF(NOT(IF(J60="ورودی",AND(COUNTIFS('03-ورودی‌های بازنگری'!$A$8:$A$1007,K60)=1,IFERROR(INDEX('03-ورودی‌های بازنگری'!$D$8:$D$1007,MATCH(K60,'03-ورودی‌های بازنگری'!$A$8:$A$1007,0)),"")=B60,IFERROR(INDEX('03-ورودی‌های بازنگری'!$R$8:$R$1007,MATCH(K60,'03-ورودی‌های بازنگری'!$A$8:$A$1007,0)),"")="معتبر"),IF(J60="تصمیم",AND(COUNTIFS('07-تصمیمات و مصوبات'!$A$8:$A$1007,K60)=1,IFERROR(INDEX('07-تصمیمات و مصوبات'!$B$8:$B$1007,MATCH(K60,'07-تصمیمات و مصوبات'!$A$8:$A$1007,0)),"")=B60,IFERROR(INDEX('07-تصمیمات و مصوبات'!$Z$8:$Z$1007,MATCH(K60,'07-تصمیمات و مصوبات'!$A$8:$A$1007,0)),"")="معتبر",COUNTIFS('15-روابط'!$B$8:$B$1007,K60,'15-روابط'!$C$8:$C$1007,"الزام",'15-روابط'!$D$8:$D$1007,F60,'15-روابط'!$E$8:$E$1007,"رابطه معتبر")&gt;0),IF(J60="نتیجه",AND(COUNTIFS('06-نتایج بازنگری'!$A$8:$A$1007,K60)=1,IFERROR(INDEX('06-نتایج بازنگری'!$D$8:$D$1007,MATCH(K60,'06-نتایج بازنگری'!$A$8:$A$1007,0)),"")=B60,IFERROR(INDEX('06-نتایج بازنگری'!$P$8:$P$1007,MATCH(K60,'06-نتایج بازنگری'!$A$8:$A$1007,0)),"")="معتبر",IFERROR(INDEX('06-نتایج بازنگری'!$F$8:$F$1007,MATCH(K60,'06-نتایج بازنگری'!$A$8:$A$1007,0)),"")=G60),IF(J60="ابلاغ",AND(COUNTIFS('20-ابلاغ نتایج'!$A$8:$A$1007,K60)=1,IFERROR(INDEX('20-ابلاغ نتایج'!$E$8:$E$1007,MATCH(K60,'20-ابلاغ نتایج'!$A$8:$A$1007,0)),"")=B60,IFERROR(INDEX('20-ابلاغ نتایج'!$L$8:$L$1007,MATCH(K60,'20-ابلاغ نتایج'!$A$8:$A$1007,0)),"")="معتبر"),FALSE))))),"سابقه یا شواهد ناقص",IF(IFERROR(INDEX('18-دامنه استانداردها'!$J$8:$J$1007,MATCH(C60&amp;"|"&amp;G60,'18-دامنه استانداردها'!$A$8:$A$1007,0)),"")="تأیید شده","شواهد مرتبط ثبت شد؛ تأیید ممیز لازم",IF(IFERROR(INDEX('18-دامنه استانداردها'!$J$8:$J$1007,MATCH(C60&amp;"|"&amp;G60,'18-دامنه استانداردها'!$A$8:$A$1007,0)),"")="فرضی","پوشش فرضی؛ آموزشی","شواهد حاضر؛ تطبیق نسخه باز"))))))))</f>
        <v>سابقه یا شواهد ناقص</v>
      </c>
      <c r="O60" s="1" t="s">
        <v>1215</v>
      </c>
    </row>
    <row r="61" spans="1:15" ht="36" customHeight="1">
      <c r="A61" s="1" t="s">
        <v>1269</v>
      </c>
      <c r="B61" s="1" t="s">
        <v>530</v>
      </c>
      <c r="C61" s="1" t="s">
        <v>99</v>
      </c>
      <c r="D61" s="1" t="s">
        <v>529</v>
      </c>
      <c r="E61" s="1" t="s">
        <v>531</v>
      </c>
      <c r="F61" s="1" t="s">
        <v>264</v>
      </c>
      <c r="G61" s="3" t="str">
        <f>IF(A61="","",IFERROR(INDEX('02-ماتریس الزامات'!$B$8:$B$1007,MATCH(F61,'02-ماتریس الزامات'!$A$8:$A$1007,0)),""))</f>
        <v>IATF</v>
      </c>
      <c r="H61" s="3" t="str">
        <f>IF(A61="","",IFERROR(INDEX('02-ماتریس الزامات'!$D$8:$D$1007,MATCH(F61,'02-ماتریس الزامات'!$A$8:$A$1007,0)),""))</f>
        <v>9.3.2.1 h</v>
      </c>
      <c r="I61" s="3" t="str">
        <f>IF(A61="","",IFERROR(INDEX('02-ماتریس الزامات'!$F$8:$F$1007,MATCH(F61,'02-ماتریس الزامات'!$A$8:$A$1007,0)),""))</f>
        <v>عملکرد ضمانت؛ در صورت کاربرد</v>
      </c>
      <c r="J61" s="1" t="s">
        <v>174</v>
      </c>
      <c r="K61" s="1"/>
      <c r="L61" s="1"/>
      <c r="M61" s="1"/>
      <c r="N61" s="3" t="str">
        <f>IF(A61="","",IF(NOT(AND(COUNTIFS('13-کنترل انطباق'!$A$8:$A$1007,A61)=1,AND(COUNTIFS('17-جلسات و دوره‌ها'!$A$8:$A$1007,B61)=1,IFERROR(INDEX('17-جلسات و دوره‌ها'!$B$8:$B$1007,MATCH(B61,'17-جلسات و دوره‌ها'!$A$8:$A$1007,0)),"")=C61,IFERROR(INDEX('17-جلسات و دوره‌ها'!$C$8:$C$1007,MATCH(B61,'17-جلسات و دوره‌ها'!$A$8:$A$1007,0)),"")=D61),COUNTIFS('02-ماتریس الزامات'!$A$8:$A$1007,F61)=1,COUNTIFS('18-دامنه استانداردها'!$A$8:$A$1007,C61&amp;"|"&amp;G61)=1)),"شناسه یا دامنه نامعتبر",IF(IFERROR(INDEX('18-دامنه استانداردها'!$D$8:$D$1007,MATCH(C61&amp;"|"&amp;G61,'18-دامنه استانداردها'!$A$8:$A$1007,0)),"")="خیر",IF(AND(L61&lt;&gt;"",M61&lt;&gt;"",IFERROR(INDEX('18-دامنه استانداردها'!$H$8:$H$1007,MATCH(C61&amp;"|"&amp;G61,'18-دامنه استانداردها'!$A$8:$A$1007,0)),"")&lt;&gt;"",IFERROR(INDEX('18-دامنه استانداردها'!$I$8:$I$1007,MATCH(C61&amp;"|"&amp;G61,'18-دامنه استانداردها'!$A$8:$A$1007,0)),"")&lt;&gt;""),"عدم کاربرد مستند","عدم کاربرد بدون توجیه"),IF(IFERROR(INDEX('18-دامنه استانداردها'!$D$8:$D$1007,MATCH(C61&amp;"|"&amp;G61,'18-دامنه استانداردها'!$A$8:$A$1007,0)),"")&lt;&gt;"بله","دامنه نامشخص",IF(K61="","بررسی نشده؛ سابقه لازم",IF(NOT(IF(J61="ورودی",AND(COUNTIFS('03-ورودی‌های بازنگری'!$A$8:$A$1007,K61)=1,IFERROR(INDEX('03-ورودی‌های بازنگری'!$D$8:$D$1007,MATCH(K61,'03-ورودی‌های بازنگری'!$A$8:$A$1007,0)),"")=B61,IFERROR(INDEX('03-ورودی‌های بازنگری'!$R$8:$R$1007,MATCH(K61,'03-ورودی‌های بازنگری'!$A$8:$A$1007,0)),"")="معتبر"),IF(J61="تصمیم",AND(COUNTIFS('07-تصمیمات و مصوبات'!$A$8:$A$1007,K61)=1,IFERROR(INDEX('07-تصمیمات و مصوبات'!$B$8:$B$1007,MATCH(K61,'07-تصمیمات و مصوبات'!$A$8:$A$1007,0)),"")=B61,IFERROR(INDEX('07-تصمیمات و مصوبات'!$Z$8:$Z$1007,MATCH(K61,'07-تصمیمات و مصوبات'!$A$8:$A$1007,0)),"")="معتبر",COUNTIFS('15-روابط'!$B$8:$B$1007,K61,'15-روابط'!$C$8:$C$1007,"الزام",'15-روابط'!$D$8:$D$1007,F61,'15-روابط'!$E$8:$E$1007,"رابطه معتبر")&gt;0),IF(J61="نتیجه",AND(COUNTIFS('06-نتایج بازنگری'!$A$8:$A$1007,K61)=1,IFERROR(INDEX('06-نتایج بازنگری'!$D$8:$D$1007,MATCH(K61,'06-نتایج بازنگری'!$A$8:$A$1007,0)),"")=B61,IFERROR(INDEX('06-نتایج بازنگری'!$P$8:$P$1007,MATCH(K61,'06-نتایج بازنگری'!$A$8:$A$1007,0)),"")="معتبر",IFERROR(INDEX('06-نتایج بازنگری'!$F$8:$F$1007,MATCH(K61,'06-نتایج بازنگری'!$A$8:$A$1007,0)),"")=G61),IF(J61="ابلاغ",AND(COUNTIFS('20-ابلاغ نتایج'!$A$8:$A$1007,K61)=1,IFERROR(INDEX('20-ابلاغ نتایج'!$E$8:$E$1007,MATCH(K61,'20-ابلاغ نتایج'!$A$8:$A$1007,0)),"")=B61,IFERROR(INDEX('20-ابلاغ نتایج'!$L$8:$L$1007,MATCH(K61,'20-ابلاغ نتایج'!$A$8:$A$1007,0)),"")="معتبر"),FALSE))))),"سابقه یا شواهد ناقص",IF(IFERROR(INDEX('18-دامنه استانداردها'!$J$8:$J$1007,MATCH(C61&amp;"|"&amp;G61,'18-دامنه استانداردها'!$A$8:$A$1007,0)),"")="تأیید شده","شواهد مرتبط ثبت شد؛ تأیید ممیز لازم",IF(IFERROR(INDEX('18-دامنه استانداردها'!$J$8:$J$1007,MATCH(C61&amp;"|"&amp;G61,'18-دامنه استانداردها'!$A$8:$A$1007,0)),"")="فرضی","پوشش فرضی؛ آموزشی","شواهد حاضر؛ تطبیق نسخه باز"))))))))</f>
        <v>بررسی نشده؛ سابقه لازم</v>
      </c>
      <c r="O61" s="1" t="s">
        <v>1215</v>
      </c>
    </row>
    <row r="62" spans="1:15" ht="36" customHeight="1">
      <c r="A62" s="1" t="s">
        <v>1270</v>
      </c>
      <c r="B62" s="1" t="s">
        <v>83</v>
      </c>
      <c r="C62" s="1" t="s">
        <v>77</v>
      </c>
      <c r="D62" s="1" t="s">
        <v>80</v>
      </c>
      <c r="E62" s="1" t="s">
        <v>379</v>
      </c>
      <c r="F62" s="1" t="s">
        <v>267</v>
      </c>
      <c r="G62" s="3" t="str">
        <f>IF(A62="","",IFERROR(INDEX('02-ماتریس الزامات'!$B$8:$B$1007,MATCH(F62,'02-ماتریس الزامات'!$A$8:$A$1007,0)),""))</f>
        <v>IATF</v>
      </c>
      <c r="H62" s="3" t="str">
        <f>IF(A62="","",IFERROR(INDEX('02-ماتریس الزامات'!$D$8:$D$1007,MATCH(F62,'02-ماتریس الزامات'!$A$8:$A$1007,0)),""))</f>
        <v>9.3.2.1 i</v>
      </c>
      <c r="I62" s="3" t="str">
        <f>IF(A62="","",IFERROR(INDEX('02-ماتریس الزامات'!$F$8:$F$1007,MATCH(F62,'02-ماتریس الزامات'!$A$8:$A$1007,0)),""))</f>
        <v>کارنامه مشتری؛ در صورت کاربرد</v>
      </c>
      <c r="J62" s="1" t="s">
        <v>174</v>
      </c>
      <c r="K62" s="1" t="s">
        <v>407</v>
      </c>
      <c r="L62" s="1"/>
      <c r="M62" s="1"/>
      <c r="N62" s="3" t="str">
        <f>IF(A62="","",IF(NOT(AND(COUNTIFS('13-کنترل انطباق'!$A$8:$A$1007,A62)=1,AND(COUNTIFS('17-جلسات و دوره‌ها'!$A$8:$A$1007,B62)=1,IFERROR(INDEX('17-جلسات و دوره‌ها'!$B$8:$B$1007,MATCH(B62,'17-جلسات و دوره‌ها'!$A$8:$A$1007,0)),"")=C62,IFERROR(INDEX('17-جلسات و دوره‌ها'!$C$8:$C$1007,MATCH(B62,'17-جلسات و دوره‌ها'!$A$8:$A$1007,0)),"")=D62),COUNTIFS('02-ماتریس الزامات'!$A$8:$A$1007,F62)=1,COUNTIFS('18-دامنه استانداردها'!$A$8:$A$1007,C62&amp;"|"&amp;G62)=1)),"شناسه یا دامنه نامعتبر",IF(IFERROR(INDEX('18-دامنه استانداردها'!$D$8:$D$1007,MATCH(C62&amp;"|"&amp;G62,'18-دامنه استانداردها'!$A$8:$A$1007,0)),"")="خیر",IF(AND(L62&lt;&gt;"",M62&lt;&gt;"",IFERROR(INDEX('18-دامنه استانداردها'!$H$8:$H$1007,MATCH(C62&amp;"|"&amp;G62,'18-دامنه استانداردها'!$A$8:$A$1007,0)),"")&lt;&gt;"",IFERROR(INDEX('18-دامنه استانداردها'!$I$8:$I$1007,MATCH(C62&amp;"|"&amp;G62,'18-دامنه استانداردها'!$A$8:$A$1007,0)),"")&lt;&gt;""),"عدم کاربرد مستند","عدم کاربرد بدون توجیه"),IF(IFERROR(INDEX('18-دامنه استانداردها'!$D$8:$D$1007,MATCH(C62&amp;"|"&amp;G62,'18-دامنه استانداردها'!$A$8:$A$1007,0)),"")&lt;&gt;"بله","دامنه نامشخص",IF(K62="","بررسی نشده؛ سابقه لازم",IF(NOT(IF(J62="ورودی",AND(COUNTIFS('03-ورودی‌های بازنگری'!$A$8:$A$1007,K62)=1,IFERROR(INDEX('03-ورودی‌های بازنگری'!$D$8:$D$1007,MATCH(K62,'03-ورودی‌های بازنگری'!$A$8:$A$1007,0)),"")=B62,IFERROR(INDEX('03-ورودی‌های بازنگری'!$R$8:$R$1007,MATCH(K62,'03-ورودی‌های بازنگری'!$A$8:$A$1007,0)),"")="معتبر"),IF(J62="تصمیم",AND(COUNTIFS('07-تصمیمات و مصوبات'!$A$8:$A$1007,K62)=1,IFERROR(INDEX('07-تصمیمات و مصوبات'!$B$8:$B$1007,MATCH(K62,'07-تصمیمات و مصوبات'!$A$8:$A$1007,0)),"")=B62,IFERROR(INDEX('07-تصمیمات و مصوبات'!$Z$8:$Z$1007,MATCH(K62,'07-تصمیمات و مصوبات'!$A$8:$A$1007,0)),"")="معتبر",COUNTIFS('15-روابط'!$B$8:$B$1007,K62,'15-روابط'!$C$8:$C$1007,"الزام",'15-روابط'!$D$8:$D$1007,F62,'15-روابط'!$E$8:$E$1007,"رابطه معتبر")&gt;0),IF(J62="نتیجه",AND(COUNTIFS('06-نتایج بازنگری'!$A$8:$A$1007,K62)=1,IFERROR(INDEX('06-نتایج بازنگری'!$D$8:$D$1007,MATCH(K62,'06-نتایج بازنگری'!$A$8:$A$1007,0)),"")=B62,IFERROR(INDEX('06-نتایج بازنگری'!$P$8:$P$1007,MATCH(K62,'06-نتایج بازنگری'!$A$8:$A$1007,0)),"")="معتبر",IFERROR(INDEX('06-نتایج بازنگری'!$F$8:$F$1007,MATCH(K62,'06-نتایج بازنگری'!$A$8:$A$1007,0)),"")=G62),IF(J62="ابلاغ",AND(COUNTIFS('20-ابلاغ نتایج'!$A$8:$A$1007,K62)=1,IFERROR(INDEX('20-ابلاغ نتایج'!$E$8:$E$1007,MATCH(K62,'20-ابلاغ نتایج'!$A$8:$A$1007,0)),"")=B62,IFERROR(INDEX('20-ابلاغ نتایج'!$L$8:$L$1007,MATCH(K62,'20-ابلاغ نتایج'!$A$8:$A$1007,0)),"")="معتبر"),FALSE))))),"سابقه یا شواهد ناقص",IF(IFERROR(INDEX('18-دامنه استانداردها'!$J$8:$J$1007,MATCH(C62&amp;"|"&amp;G62,'18-دامنه استانداردها'!$A$8:$A$1007,0)),"")="تأیید شده","شواهد مرتبط ثبت شد؛ تأیید ممیز لازم",IF(IFERROR(INDEX('18-دامنه استانداردها'!$J$8:$J$1007,MATCH(C62&amp;"|"&amp;G62,'18-دامنه استانداردها'!$A$8:$A$1007,0)),"")="فرضی","پوشش فرضی؛ آموزشی","شواهد حاضر؛ تطبیق نسخه باز"))))))))</f>
        <v>سابقه یا شواهد ناقص</v>
      </c>
      <c r="O62" s="1" t="s">
        <v>1215</v>
      </c>
    </row>
    <row r="63" spans="1:15" ht="36" customHeight="1">
      <c r="A63" s="1" t="s">
        <v>1271</v>
      </c>
      <c r="B63" s="1" t="s">
        <v>530</v>
      </c>
      <c r="C63" s="1" t="s">
        <v>99</v>
      </c>
      <c r="D63" s="1" t="s">
        <v>529</v>
      </c>
      <c r="E63" s="1" t="s">
        <v>531</v>
      </c>
      <c r="F63" s="1" t="s">
        <v>267</v>
      </c>
      <c r="G63" s="3" t="str">
        <f>IF(A63="","",IFERROR(INDEX('02-ماتریس الزامات'!$B$8:$B$1007,MATCH(F63,'02-ماتریس الزامات'!$A$8:$A$1007,0)),""))</f>
        <v>IATF</v>
      </c>
      <c r="H63" s="3" t="str">
        <f>IF(A63="","",IFERROR(INDEX('02-ماتریس الزامات'!$D$8:$D$1007,MATCH(F63,'02-ماتریس الزامات'!$A$8:$A$1007,0)),""))</f>
        <v>9.3.2.1 i</v>
      </c>
      <c r="I63" s="3" t="str">
        <f>IF(A63="","",IFERROR(INDEX('02-ماتریس الزامات'!$F$8:$F$1007,MATCH(F63,'02-ماتریس الزامات'!$A$8:$A$1007,0)),""))</f>
        <v>کارنامه مشتری؛ در صورت کاربرد</v>
      </c>
      <c r="J63" s="1" t="s">
        <v>174</v>
      </c>
      <c r="K63" s="1"/>
      <c r="L63" s="1"/>
      <c r="M63" s="1"/>
      <c r="N63" s="3" t="str">
        <f>IF(A63="","",IF(NOT(AND(COUNTIFS('13-کنترل انطباق'!$A$8:$A$1007,A63)=1,AND(COUNTIFS('17-جلسات و دوره‌ها'!$A$8:$A$1007,B63)=1,IFERROR(INDEX('17-جلسات و دوره‌ها'!$B$8:$B$1007,MATCH(B63,'17-جلسات و دوره‌ها'!$A$8:$A$1007,0)),"")=C63,IFERROR(INDEX('17-جلسات و دوره‌ها'!$C$8:$C$1007,MATCH(B63,'17-جلسات و دوره‌ها'!$A$8:$A$1007,0)),"")=D63),COUNTIFS('02-ماتریس الزامات'!$A$8:$A$1007,F63)=1,COUNTIFS('18-دامنه استانداردها'!$A$8:$A$1007,C63&amp;"|"&amp;G63)=1)),"شناسه یا دامنه نامعتبر",IF(IFERROR(INDEX('18-دامنه استانداردها'!$D$8:$D$1007,MATCH(C63&amp;"|"&amp;G63,'18-دامنه استانداردها'!$A$8:$A$1007,0)),"")="خیر",IF(AND(L63&lt;&gt;"",M63&lt;&gt;"",IFERROR(INDEX('18-دامنه استانداردها'!$H$8:$H$1007,MATCH(C63&amp;"|"&amp;G63,'18-دامنه استانداردها'!$A$8:$A$1007,0)),"")&lt;&gt;"",IFERROR(INDEX('18-دامنه استانداردها'!$I$8:$I$1007,MATCH(C63&amp;"|"&amp;G63,'18-دامنه استانداردها'!$A$8:$A$1007,0)),"")&lt;&gt;""),"عدم کاربرد مستند","عدم کاربرد بدون توجیه"),IF(IFERROR(INDEX('18-دامنه استانداردها'!$D$8:$D$1007,MATCH(C63&amp;"|"&amp;G63,'18-دامنه استانداردها'!$A$8:$A$1007,0)),"")&lt;&gt;"بله","دامنه نامشخص",IF(K63="","بررسی نشده؛ سابقه لازم",IF(NOT(IF(J63="ورودی",AND(COUNTIFS('03-ورودی‌های بازنگری'!$A$8:$A$1007,K63)=1,IFERROR(INDEX('03-ورودی‌های بازنگری'!$D$8:$D$1007,MATCH(K63,'03-ورودی‌های بازنگری'!$A$8:$A$1007,0)),"")=B63,IFERROR(INDEX('03-ورودی‌های بازنگری'!$R$8:$R$1007,MATCH(K63,'03-ورودی‌های بازنگری'!$A$8:$A$1007,0)),"")="معتبر"),IF(J63="تصمیم",AND(COUNTIFS('07-تصمیمات و مصوبات'!$A$8:$A$1007,K63)=1,IFERROR(INDEX('07-تصمیمات و مصوبات'!$B$8:$B$1007,MATCH(K63,'07-تصمیمات و مصوبات'!$A$8:$A$1007,0)),"")=B63,IFERROR(INDEX('07-تصمیمات و مصوبات'!$Z$8:$Z$1007,MATCH(K63,'07-تصمیمات و مصوبات'!$A$8:$A$1007,0)),"")="معتبر",COUNTIFS('15-روابط'!$B$8:$B$1007,K63,'15-روابط'!$C$8:$C$1007,"الزام",'15-روابط'!$D$8:$D$1007,F63,'15-روابط'!$E$8:$E$1007,"رابطه معتبر")&gt;0),IF(J63="نتیجه",AND(COUNTIFS('06-نتایج بازنگری'!$A$8:$A$1007,K63)=1,IFERROR(INDEX('06-نتایج بازنگری'!$D$8:$D$1007,MATCH(K63,'06-نتایج بازنگری'!$A$8:$A$1007,0)),"")=B63,IFERROR(INDEX('06-نتایج بازنگری'!$P$8:$P$1007,MATCH(K63,'06-نتایج بازنگری'!$A$8:$A$1007,0)),"")="معتبر",IFERROR(INDEX('06-نتایج بازنگری'!$F$8:$F$1007,MATCH(K63,'06-نتایج بازنگری'!$A$8:$A$1007,0)),"")=G63),IF(J63="ابلاغ",AND(COUNTIFS('20-ابلاغ نتایج'!$A$8:$A$1007,K63)=1,IFERROR(INDEX('20-ابلاغ نتایج'!$E$8:$E$1007,MATCH(K63,'20-ابلاغ نتایج'!$A$8:$A$1007,0)),"")=B63,IFERROR(INDEX('20-ابلاغ نتایج'!$L$8:$L$1007,MATCH(K63,'20-ابلاغ نتایج'!$A$8:$A$1007,0)),"")="معتبر"),FALSE))))),"سابقه یا شواهد ناقص",IF(IFERROR(INDEX('18-دامنه استانداردها'!$J$8:$J$1007,MATCH(C63&amp;"|"&amp;G63,'18-دامنه استانداردها'!$A$8:$A$1007,0)),"")="تأیید شده","شواهد مرتبط ثبت شد؛ تأیید ممیز لازم",IF(IFERROR(INDEX('18-دامنه استانداردها'!$J$8:$J$1007,MATCH(C63&amp;"|"&amp;G63,'18-دامنه استانداردها'!$A$8:$A$1007,0)),"")="فرضی","پوشش فرضی؛ آموزشی","شواهد حاضر؛ تطبیق نسخه باز"))))))))</f>
        <v>بررسی نشده؛ سابقه لازم</v>
      </c>
      <c r="O63" s="1" t="s">
        <v>1215</v>
      </c>
    </row>
    <row r="64" spans="1:15" ht="36" customHeight="1">
      <c r="A64" s="1" t="s">
        <v>1272</v>
      </c>
      <c r="B64" s="1" t="s">
        <v>83</v>
      </c>
      <c r="C64" s="1" t="s">
        <v>77</v>
      </c>
      <c r="D64" s="1" t="s">
        <v>80</v>
      </c>
      <c r="E64" s="1" t="s">
        <v>379</v>
      </c>
      <c r="F64" s="1" t="s">
        <v>270</v>
      </c>
      <c r="G64" s="3" t="str">
        <f>IF(A64="","",IFERROR(INDEX('02-ماتریس الزامات'!$B$8:$B$1007,MATCH(F64,'02-ماتریس الزامات'!$A$8:$A$1007,0)),""))</f>
        <v>IATF</v>
      </c>
      <c r="H64" s="3" t="str">
        <f>IF(A64="","",IFERROR(INDEX('02-ماتریس الزامات'!$D$8:$D$1007,MATCH(F64,'02-ماتریس الزامات'!$A$8:$A$1007,0)),""))</f>
        <v>9.3.2.1 j</v>
      </c>
      <c r="I64" s="3" t="str">
        <f>IF(A64="","",IFERROR(INDEX('02-ماتریس الزامات'!$F$8:$F$1007,MATCH(F64,'02-ماتریس الزامات'!$A$8:$A$1007,0)),""))</f>
        <v>خرابی بالقوه عرصه مصرف</v>
      </c>
      <c r="J64" s="1" t="s">
        <v>174</v>
      </c>
      <c r="K64" s="1" t="s">
        <v>432</v>
      </c>
      <c r="L64" s="1"/>
      <c r="M64" s="1"/>
      <c r="N64" s="3" t="str">
        <f>IF(A64="","",IF(NOT(AND(COUNTIFS('13-کنترل انطباق'!$A$8:$A$1007,A64)=1,AND(COUNTIFS('17-جلسات و دوره‌ها'!$A$8:$A$1007,B64)=1,IFERROR(INDEX('17-جلسات و دوره‌ها'!$B$8:$B$1007,MATCH(B64,'17-جلسات و دوره‌ها'!$A$8:$A$1007,0)),"")=C64,IFERROR(INDEX('17-جلسات و دوره‌ها'!$C$8:$C$1007,MATCH(B64,'17-جلسات و دوره‌ها'!$A$8:$A$1007,0)),"")=D64),COUNTIFS('02-ماتریس الزامات'!$A$8:$A$1007,F64)=1,COUNTIFS('18-دامنه استانداردها'!$A$8:$A$1007,C64&amp;"|"&amp;G64)=1)),"شناسه یا دامنه نامعتبر",IF(IFERROR(INDEX('18-دامنه استانداردها'!$D$8:$D$1007,MATCH(C64&amp;"|"&amp;G64,'18-دامنه استانداردها'!$A$8:$A$1007,0)),"")="خیر",IF(AND(L64&lt;&gt;"",M64&lt;&gt;"",IFERROR(INDEX('18-دامنه استانداردها'!$H$8:$H$1007,MATCH(C64&amp;"|"&amp;G64,'18-دامنه استانداردها'!$A$8:$A$1007,0)),"")&lt;&gt;"",IFERROR(INDEX('18-دامنه استانداردها'!$I$8:$I$1007,MATCH(C64&amp;"|"&amp;G64,'18-دامنه استانداردها'!$A$8:$A$1007,0)),"")&lt;&gt;""),"عدم کاربرد مستند","عدم کاربرد بدون توجیه"),IF(IFERROR(INDEX('18-دامنه استانداردها'!$D$8:$D$1007,MATCH(C64&amp;"|"&amp;G64,'18-دامنه استانداردها'!$A$8:$A$1007,0)),"")&lt;&gt;"بله","دامنه نامشخص",IF(K64="","بررسی نشده؛ سابقه لازم",IF(NOT(IF(J64="ورودی",AND(COUNTIFS('03-ورودی‌های بازنگری'!$A$8:$A$1007,K64)=1,IFERROR(INDEX('03-ورودی‌های بازنگری'!$D$8:$D$1007,MATCH(K64,'03-ورودی‌های بازنگری'!$A$8:$A$1007,0)),"")=B64,IFERROR(INDEX('03-ورودی‌های بازنگری'!$R$8:$R$1007,MATCH(K64,'03-ورودی‌های بازنگری'!$A$8:$A$1007,0)),"")="معتبر"),IF(J64="تصمیم",AND(COUNTIFS('07-تصمیمات و مصوبات'!$A$8:$A$1007,K64)=1,IFERROR(INDEX('07-تصمیمات و مصوبات'!$B$8:$B$1007,MATCH(K64,'07-تصمیمات و مصوبات'!$A$8:$A$1007,0)),"")=B64,IFERROR(INDEX('07-تصمیمات و مصوبات'!$Z$8:$Z$1007,MATCH(K64,'07-تصمیمات و مصوبات'!$A$8:$A$1007,0)),"")="معتبر",COUNTIFS('15-روابط'!$B$8:$B$1007,K64,'15-روابط'!$C$8:$C$1007,"الزام",'15-روابط'!$D$8:$D$1007,F64,'15-روابط'!$E$8:$E$1007,"رابطه معتبر")&gt;0),IF(J64="نتیجه",AND(COUNTIFS('06-نتایج بازنگری'!$A$8:$A$1007,K64)=1,IFERROR(INDEX('06-نتایج بازنگری'!$D$8:$D$1007,MATCH(K64,'06-نتایج بازنگری'!$A$8:$A$1007,0)),"")=B64,IFERROR(INDEX('06-نتایج بازنگری'!$P$8:$P$1007,MATCH(K64,'06-نتایج بازنگری'!$A$8:$A$1007,0)),"")="معتبر",IFERROR(INDEX('06-نتایج بازنگری'!$F$8:$F$1007,MATCH(K64,'06-نتایج بازنگری'!$A$8:$A$1007,0)),"")=G64),IF(J64="ابلاغ",AND(COUNTIFS('20-ابلاغ نتایج'!$A$8:$A$1007,K64)=1,IFERROR(INDEX('20-ابلاغ نتایج'!$E$8:$E$1007,MATCH(K64,'20-ابلاغ نتایج'!$A$8:$A$1007,0)),"")=B64,IFERROR(INDEX('20-ابلاغ نتایج'!$L$8:$L$1007,MATCH(K64,'20-ابلاغ نتایج'!$A$8:$A$1007,0)),"")="معتبر"),FALSE))))),"سابقه یا شواهد ناقص",IF(IFERROR(INDEX('18-دامنه استانداردها'!$J$8:$J$1007,MATCH(C64&amp;"|"&amp;G64,'18-دامنه استانداردها'!$A$8:$A$1007,0)),"")="تأیید شده","شواهد مرتبط ثبت شد؛ تأیید ممیز لازم",IF(IFERROR(INDEX('18-دامنه استانداردها'!$J$8:$J$1007,MATCH(C64&amp;"|"&amp;G64,'18-دامنه استانداردها'!$A$8:$A$1007,0)),"")="فرضی","پوشش فرضی؛ آموزشی","شواهد حاضر؛ تطبیق نسخه باز"))))))))</f>
        <v>سابقه یا شواهد ناقص</v>
      </c>
      <c r="O64" s="1" t="s">
        <v>1215</v>
      </c>
    </row>
    <row r="65" spans="1:15" ht="36" customHeight="1">
      <c r="A65" s="1" t="s">
        <v>1273</v>
      </c>
      <c r="B65" s="1" t="s">
        <v>530</v>
      </c>
      <c r="C65" s="1" t="s">
        <v>99</v>
      </c>
      <c r="D65" s="1" t="s">
        <v>529</v>
      </c>
      <c r="E65" s="1" t="s">
        <v>531</v>
      </c>
      <c r="F65" s="1" t="s">
        <v>270</v>
      </c>
      <c r="G65" s="3" t="str">
        <f>IF(A65="","",IFERROR(INDEX('02-ماتریس الزامات'!$B$8:$B$1007,MATCH(F65,'02-ماتریس الزامات'!$A$8:$A$1007,0)),""))</f>
        <v>IATF</v>
      </c>
      <c r="H65" s="3" t="str">
        <f>IF(A65="","",IFERROR(INDEX('02-ماتریس الزامات'!$D$8:$D$1007,MATCH(F65,'02-ماتریس الزامات'!$A$8:$A$1007,0)),""))</f>
        <v>9.3.2.1 j</v>
      </c>
      <c r="I65" s="3" t="str">
        <f>IF(A65="","",IFERROR(INDEX('02-ماتریس الزامات'!$F$8:$F$1007,MATCH(F65,'02-ماتریس الزامات'!$A$8:$A$1007,0)),""))</f>
        <v>خرابی بالقوه عرصه مصرف</v>
      </c>
      <c r="J65" s="1" t="s">
        <v>174</v>
      </c>
      <c r="K65" s="1"/>
      <c r="L65" s="1"/>
      <c r="M65" s="1"/>
      <c r="N65" s="3" t="str">
        <f>IF(A65="","",IF(NOT(AND(COUNTIFS('13-کنترل انطباق'!$A$8:$A$1007,A65)=1,AND(COUNTIFS('17-جلسات و دوره‌ها'!$A$8:$A$1007,B65)=1,IFERROR(INDEX('17-جلسات و دوره‌ها'!$B$8:$B$1007,MATCH(B65,'17-جلسات و دوره‌ها'!$A$8:$A$1007,0)),"")=C65,IFERROR(INDEX('17-جلسات و دوره‌ها'!$C$8:$C$1007,MATCH(B65,'17-جلسات و دوره‌ها'!$A$8:$A$1007,0)),"")=D65),COUNTIFS('02-ماتریس الزامات'!$A$8:$A$1007,F65)=1,COUNTIFS('18-دامنه استانداردها'!$A$8:$A$1007,C65&amp;"|"&amp;G65)=1)),"شناسه یا دامنه نامعتبر",IF(IFERROR(INDEX('18-دامنه استانداردها'!$D$8:$D$1007,MATCH(C65&amp;"|"&amp;G65,'18-دامنه استانداردها'!$A$8:$A$1007,0)),"")="خیر",IF(AND(L65&lt;&gt;"",M65&lt;&gt;"",IFERROR(INDEX('18-دامنه استانداردها'!$H$8:$H$1007,MATCH(C65&amp;"|"&amp;G65,'18-دامنه استانداردها'!$A$8:$A$1007,0)),"")&lt;&gt;"",IFERROR(INDEX('18-دامنه استانداردها'!$I$8:$I$1007,MATCH(C65&amp;"|"&amp;G65,'18-دامنه استانداردها'!$A$8:$A$1007,0)),"")&lt;&gt;""),"عدم کاربرد مستند","عدم کاربرد بدون توجیه"),IF(IFERROR(INDEX('18-دامنه استانداردها'!$D$8:$D$1007,MATCH(C65&amp;"|"&amp;G65,'18-دامنه استانداردها'!$A$8:$A$1007,0)),"")&lt;&gt;"بله","دامنه نامشخص",IF(K65="","بررسی نشده؛ سابقه لازم",IF(NOT(IF(J65="ورودی",AND(COUNTIFS('03-ورودی‌های بازنگری'!$A$8:$A$1007,K65)=1,IFERROR(INDEX('03-ورودی‌های بازنگری'!$D$8:$D$1007,MATCH(K65,'03-ورودی‌های بازنگری'!$A$8:$A$1007,0)),"")=B65,IFERROR(INDEX('03-ورودی‌های بازنگری'!$R$8:$R$1007,MATCH(K65,'03-ورودی‌های بازنگری'!$A$8:$A$1007,0)),"")="معتبر"),IF(J65="تصمیم",AND(COUNTIFS('07-تصمیمات و مصوبات'!$A$8:$A$1007,K65)=1,IFERROR(INDEX('07-تصمیمات و مصوبات'!$B$8:$B$1007,MATCH(K65,'07-تصمیمات و مصوبات'!$A$8:$A$1007,0)),"")=B65,IFERROR(INDEX('07-تصمیمات و مصوبات'!$Z$8:$Z$1007,MATCH(K65,'07-تصمیمات و مصوبات'!$A$8:$A$1007,0)),"")="معتبر",COUNTIFS('15-روابط'!$B$8:$B$1007,K65,'15-روابط'!$C$8:$C$1007,"الزام",'15-روابط'!$D$8:$D$1007,F65,'15-روابط'!$E$8:$E$1007,"رابطه معتبر")&gt;0),IF(J65="نتیجه",AND(COUNTIFS('06-نتایج بازنگری'!$A$8:$A$1007,K65)=1,IFERROR(INDEX('06-نتایج بازنگری'!$D$8:$D$1007,MATCH(K65,'06-نتایج بازنگری'!$A$8:$A$1007,0)),"")=B65,IFERROR(INDEX('06-نتایج بازنگری'!$P$8:$P$1007,MATCH(K65,'06-نتایج بازنگری'!$A$8:$A$1007,0)),"")="معتبر",IFERROR(INDEX('06-نتایج بازنگری'!$F$8:$F$1007,MATCH(K65,'06-نتایج بازنگری'!$A$8:$A$1007,0)),"")=G65),IF(J65="ابلاغ",AND(COUNTIFS('20-ابلاغ نتایج'!$A$8:$A$1007,K65)=1,IFERROR(INDEX('20-ابلاغ نتایج'!$E$8:$E$1007,MATCH(K65,'20-ابلاغ نتایج'!$A$8:$A$1007,0)),"")=B65,IFERROR(INDEX('20-ابلاغ نتایج'!$L$8:$L$1007,MATCH(K65,'20-ابلاغ نتایج'!$A$8:$A$1007,0)),"")="معتبر"),FALSE))))),"سابقه یا شواهد ناقص",IF(IFERROR(INDEX('18-دامنه استانداردها'!$J$8:$J$1007,MATCH(C65&amp;"|"&amp;G65,'18-دامنه استانداردها'!$A$8:$A$1007,0)),"")="تأیید شده","شواهد مرتبط ثبت شد؛ تأیید ممیز لازم",IF(IFERROR(INDEX('18-دامنه استانداردها'!$J$8:$J$1007,MATCH(C65&amp;"|"&amp;G65,'18-دامنه استانداردها'!$A$8:$A$1007,0)),"")="فرضی","پوشش فرضی؛ آموزشی","شواهد حاضر؛ تطبیق نسخه باز"))))))))</f>
        <v>بررسی نشده؛ سابقه لازم</v>
      </c>
      <c r="O65" s="1" t="s">
        <v>1215</v>
      </c>
    </row>
    <row r="66" spans="1:15" ht="36" customHeight="1">
      <c r="A66" s="1" t="s">
        <v>1274</v>
      </c>
      <c r="B66" s="1" t="s">
        <v>83</v>
      </c>
      <c r="C66" s="1" t="s">
        <v>77</v>
      </c>
      <c r="D66" s="1" t="s">
        <v>80</v>
      </c>
      <c r="E66" s="1" t="s">
        <v>379</v>
      </c>
      <c r="F66" s="1" t="s">
        <v>273</v>
      </c>
      <c r="G66" s="3" t="str">
        <f>IF(A66="","",IFERROR(INDEX('02-ماتریس الزامات'!$B$8:$B$1007,MATCH(F66,'02-ماتریس الزامات'!$A$8:$A$1007,0)),""))</f>
        <v>IATF</v>
      </c>
      <c r="H66" s="3" t="str">
        <f>IF(A66="","",IFERROR(INDEX('02-ماتریس الزامات'!$D$8:$D$1007,MATCH(F66,'02-ماتریس الزامات'!$A$8:$A$1007,0)),""))</f>
        <v>9.3.2.1 k</v>
      </c>
      <c r="I66" s="3" t="str">
        <f>IF(A66="","",IFERROR(INDEX('02-ماتریس الزامات'!$F$8:$F$1007,MATCH(F66,'02-ماتریس الزامات'!$A$8:$A$1007,0)),""))</f>
        <v>خرابی واقعی و پیامد ایمنی/محیط‌زیست</v>
      </c>
      <c r="J66" s="1" t="s">
        <v>174</v>
      </c>
      <c r="K66" s="1" t="s">
        <v>432</v>
      </c>
      <c r="L66" s="1"/>
      <c r="M66" s="1"/>
      <c r="N66" s="3" t="str">
        <f>IF(A66="","",IF(NOT(AND(COUNTIFS('13-کنترل انطباق'!$A$8:$A$1007,A66)=1,AND(COUNTIFS('17-جلسات و دوره‌ها'!$A$8:$A$1007,B66)=1,IFERROR(INDEX('17-جلسات و دوره‌ها'!$B$8:$B$1007,MATCH(B66,'17-جلسات و دوره‌ها'!$A$8:$A$1007,0)),"")=C66,IFERROR(INDEX('17-جلسات و دوره‌ها'!$C$8:$C$1007,MATCH(B66,'17-جلسات و دوره‌ها'!$A$8:$A$1007,0)),"")=D66),COUNTIFS('02-ماتریس الزامات'!$A$8:$A$1007,F66)=1,COUNTIFS('18-دامنه استانداردها'!$A$8:$A$1007,C66&amp;"|"&amp;G66)=1)),"شناسه یا دامنه نامعتبر",IF(IFERROR(INDEX('18-دامنه استانداردها'!$D$8:$D$1007,MATCH(C66&amp;"|"&amp;G66,'18-دامنه استانداردها'!$A$8:$A$1007,0)),"")="خیر",IF(AND(L66&lt;&gt;"",M66&lt;&gt;"",IFERROR(INDEX('18-دامنه استانداردها'!$H$8:$H$1007,MATCH(C66&amp;"|"&amp;G66,'18-دامنه استانداردها'!$A$8:$A$1007,0)),"")&lt;&gt;"",IFERROR(INDEX('18-دامنه استانداردها'!$I$8:$I$1007,MATCH(C66&amp;"|"&amp;G66,'18-دامنه استانداردها'!$A$8:$A$1007,0)),"")&lt;&gt;""),"عدم کاربرد مستند","عدم کاربرد بدون توجیه"),IF(IFERROR(INDEX('18-دامنه استانداردها'!$D$8:$D$1007,MATCH(C66&amp;"|"&amp;G66,'18-دامنه استانداردها'!$A$8:$A$1007,0)),"")&lt;&gt;"بله","دامنه نامشخص",IF(K66="","بررسی نشده؛ سابقه لازم",IF(NOT(IF(J66="ورودی",AND(COUNTIFS('03-ورودی‌های بازنگری'!$A$8:$A$1007,K66)=1,IFERROR(INDEX('03-ورودی‌های بازنگری'!$D$8:$D$1007,MATCH(K66,'03-ورودی‌های بازنگری'!$A$8:$A$1007,0)),"")=B66,IFERROR(INDEX('03-ورودی‌های بازنگری'!$R$8:$R$1007,MATCH(K66,'03-ورودی‌های بازنگری'!$A$8:$A$1007,0)),"")="معتبر"),IF(J66="تصمیم",AND(COUNTIFS('07-تصمیمات و مصوبات'!$A$8:$A$1007,K66)=1,IFERROR(INDEX('07-تصمیمات و مصوبات'!$B$8:$B$1007,MATCH(K66,'07-تصمیمات و مصوبات'!$A$8:$A$1007,0)),"")=B66,IFERROR(INDEX('07-تصمیمات و مصوبات'!$Z$8:$Z$1007,MATCH(K66,'07-تصمیمات و مصوبات'!$A$8:$A$1007,0)),"")="معتبر",COUNTIFS('15-روابط'!$B$8:$B$1007,K66,'15-روابط'!$C$8:$C$1007,"الزام",'15-روابط'!$D$8:$D$1007,F66,'15-روابط'!$E$8:$E$1007,"رابطه معتبر")&gt;0),IF(J66="نتیجه",AND(COUNTIFS('06-نتایج بازنگری'!$A$8:$A$1007,K66)=1,IFERROR(INDEX('06-نتایج بازنگری'!$D$8:$D$1007,MATCH(K66,'06-نتایج بازنگری'!$A$8:$A$1007,0)),"")=B66,IFERROR(INDEX('06-نتایج بازنگری'!$P$8:$P$1007,MATCH(K66,'06-نتایج بازنگری'!$A$8:$A$1007,0)),"")="معتبر",IFERROR(INDEX('06-نتایج بازنگری'!$F$8:$F$1007,MATCH(K66,'06-نتایج بازنگری'!$A$8:$A$1007,0)),"")=G66),IF(J66="ابلاغ",AND(COUNTIFS('20-ابلاغ نتایج'!$A$8:$A$1007,K66)=1,IFERROR(INDEX('20-ابلاغ نتایج'!$E$8:$E$1007,MATCH(K66,'20-ابلاغ نتایج'!$A$8:$A$1007,0)),"")=B66,IFERROR(INDEX('20-ابلاغ نتایج'!$L$8:$L$1007,MATCH(K66,'20-ابلاغ نتایج'!$A$8:$A$1007,0)),"")="معتبر"),FALSE))))),"سابقه یا شواهد ناقص",IF(IFERROR(INDEX('18-دامنه استانداردها'!$J$8:$J$1007,MATCH(C66&amp;"|"&amp;G66,'18-دامنه استانداردها'!$A$8:$A$1007,0)),"")="تأیید شده","شواهد مرتبط ثبت شد؛ تأیید ممیز لازم",IF(IFERROR(INDEX('18-دامنه استانداردها'!$J$8:$J$1007,MATCH(C66&amp;"|"&amp;G66,'18-دامنه استانداردها'!$A$8:$A$1007,0)),"")="فرضی","پوشش فرضی؛ آموزشی","شواهد حاضر؛ تطبیق نسخه باز"))))))))</f>
        <v>سابقه یا شواهد ناقص</v>
      </c>
      <c r="O66" s="1" t="s">
        <v>1215</v>
      </c>
    </row>
    <row r="67" spans="1:15" ht="36" customHeight="1">
      <c r="A67" s="1" t="s">
        <v>1275</v>
      </c>
      <c r="B67" s="1" t="s">
        <v>530</v>
      </c>
      <c r="C67" s="1" t="s">
        <v>99</v>
      </c>
      <c r="D67" s="1" t="s">
        <v>529</v>
      </c>
      <c r="E67" s="1" t="s">
        <v>531</v>
      </c>
      <c r="F67" s="1" t="s">
        <v>273</v>
      </c>
      <c r="G67" s="3" t="str">
        <f>IF(A67="","",IFERROR(INDEX('02-ماتریس الزامات'!$B$8:$B$1007,MATCH(F67,'02-ماتریس الزامات'!$A$8:$A$1007,0)),""))</f>
        <v>IATF</v>
      </c>
      <c r="H67" s="3" t="str">
        <f>IF(A67="","",IFERROR(INDEX('02-ماتریس الزامات'!$D$8:$D$1007,MATCH(F67,'02-ماتریس الزامات'!$A$8:$A$1007,0)),""))</f>
        <v>9.3.2.1 k</v>
      </c>
      <c r="I67" s="3" t="str">
        <f>IF(A67="","",IFERROR(INDEX('02-ماتریس الزامات'!$F$8:$F$1007,MATCH(F67,'02-ماتریس الزامات'!$A$8:$A$1007,0)),""))</f>
        <v>خرابی واقعی و پیامد ایمنی/محیط‌زیست</v>
      </c>
      <c r="J67" s="1" t="s">
        <v>174</v>
      </c>
      <c r="K67" s="1"/>
      <c r="L67" s="1"/>
      <c r="M67" s="1"/>
      <c r="N67" s="3" t="str">
        <f>IF(A67="","",IF(NOT(AND(COUNTIFS('13-کنترل انطباق'!$A$8:$A$1007,A67)=1,AND(COUNTIFS('17-جلسات و دوره‌ها'!$A$8:$A$1007,B67)=1,IFERROR(INDEX('17-جلسات و دوره‌ها'!$B$8:$B$1007,MATCH(B67,'17-جلسات و دوره‌ها'!$A$8:$A$1007,0)),"")=C67,IFERROR(INDEX('17-جلسات و دوره‌ها'!$C$8:$C$1007,MATCH(B67,'17-جلسات و دوره‌ها'!$A$8:$A$1007,0)),"")=D67),COUNTIFS('02-ماتریس الزامات'!$A$8:$A$1007,F67)=1,COUNTIFS('18-دامنه استانداردها'!$A$8:$A$1007,C67&amp;"|"&amp;G67)=1)),"شناسه یا دامنه نامعتبر",IF(IFERROR(INDEX('18-دامنه استانداردها'!$D$8:$D$1007,MATCH(C67&amp;"|"&amp;G67,'18-دامنه استانداردها'!$A$8:$A$1007,0)),"")="خیر",IF(AND(L67&lt;&gt;"",M67&lt;&gt;"",IFERROR(INDEX('18-دامنه استانداردها'!$H$8:$H$1007,MATCH(C67&amp;"|"&amp;G67,'18-دامنه استانداردها'!$A$8:$A$1007,0)),"")&lt;&gt;"",IFERROR(INDEX('18-دامنه استانداردها'!$I$8:$I$1007,MATCH(C67&amp;"|"&amp;G67,'18-دامنه استانداردها'!$A$8:$A$1007,0)),"")&lt;&gt;""),"عدم کاربرد مستند","عدم کاربرد بدون توجیه"),IF(IFERROR(INDEX('18-دامنه استانداردها'!$D$8:$D$1007,MATCH(C67&amp;"|"&amp;G67,'18-دامنه استانداردها'!$A$8:$A$1007,0)),"")&lt;&gt;"بله","دامنه نامشخص",IF(K67="","بررسی نشده؛ سابقه لازم",IF(NOT(IF(J67="ورودی",AND(COUNTIFS('03-ورودی‌های بازنگری'!$A$8:$A$1007,K67)=1,IFERROR(INDEX('03-ورودی‌های بازنگری'!$D$8:$D$1007,MATCH(K67,'03-ورودی‌های بازنگری'!$A$8:$A$1007,0)),"")=B67,IFERROR(INDEX('03-ورودی‌های بازنگری'!$R$8:$R$1007,MATCH(K67,'03-ورودی‌های بازنگری'!$A$8:$A$1007,0)),"")="معتبر"),IF(J67="تصمیم",AND(COUNTIFS('07-تصمیمات و مصوبات'!$A$8:$A$1007,K67)=1,IFERROR(INDEX('07-تصمیمات و مصوبات'!$B$8:$B$1007,MATCH(K67,'07-تصمیمات و مصوبات'!$A$8:$A$1007,0)),"")=B67,IFERROR(INDEX('07-تصمیمات و مصوبات'!$Z$8:$Z$1007,MATCH(K67,'07-تصمیمات و مصوبات'!$A$8:$A$1007,0)),"")="معتبر",COUNTIFS('15-روابط'!$B$8:$B$1007,K67,'15-روابط'!$C$8:$C$1007,"الزام",'15-روابط'!$D$8:$D$1007,F67,'15-روابط'!$E$8:$E$1007,"رابطه معتبر")&gt;0),IF(J67="نتیجه",AND(COUNTIFS('06-نتایج بازنگری'!$A$8:$A$1007,K67)=1,IFERROR(INDEX('06-نتایج بازنگری'!$D$8:$D$1007,MATCH(K67,'06-نتایج بازنگری'!$A$8:$A$1007,0)),"")=B67,IFERROR(INDEX('06-نتایج بازنگری'!$P$8:$P$1007,MATCH(K67,'06-نتایج بازنگری'!$A$8:$A$1007,0)),"")="معتبر",IFERROR(INDEX('06-نتایج بازنگری'!$F$8:$F$1007,MATCH(K67,'06-نتایج بازنگری'!$A$8:$A$1007,0)),"")=G67),IF(J67="ابلاغ",AND(COUNTIFS('20-ابلاغ نتایج'!$A$8:$A$1007,K67)=1,IFERROR(INDEX('20-ابلاغ نتایج'!$E$8:$E$1007,MATCH(K67,'20-ابلاغ نتایج'!$A$8:$A$1007,0)),"")=B67,IFERROR(INDEX('20-ابلاغ نتایج'!$L$8:$L$1007,MATCH(K67,'20-ابلاغ نتایج'!$A$8:$A$1007,0)),"")="معتبر"),FALSE))))),"سابقه یا شواهد ناقص",IF(IFERROR(INDEX('18-دامنه استانداردها'!$J$8:$J$1007,MATCH(C67&amp;"|"&amp;G67,'18-دامنه استانداردها'!$A$8:$A$1007,0)),"")="تأیید شده","شواهد مرتبط ثبت شد؛ تأیید ممیز لازم",IF(IFERROR(INDEX('18-دامنه استانداردها'!$J$8:$J$1007,MATCH(C67&amp;"|"&amp;G67,'18-دامنه استانداردها'!$A$8:$A$1007,0)),"")="فرضی","پوشش فرضی؛ آموزشی","شواهد حاضر؛ تطبیق نسخه باز"))))))))</f>
        <v>بررسی نشده؛ سابقه لازم</v>
      </c>
      <c r="O67" s="1" t="s">
        <v>1215</v>
      </c>
    </row>
    <row r="68" spans="1:15" ht="36" customHeight="1">
      <c r="A68" s="1" t="s">
        <v>1276</v>
      </c>
      <c r="B68" s="1" t="s">
        <v>83</v>
      </c>
      <c r="C68" s="1" t="s">
        <v>77</v>
      </c>
      <c r="D68" s="1" t="s">
        <v>80</v>
      </c>
      <c r="E68" s="1" t="s">
        <v>379</v>
      </c>
      <c r="F68" s="1" t="s">
        <v>276</v>
      </c>
      <c r="G68" s="3" t="str">
        <f>IF(A68="","",IFERROR(INDEX('02-ماتریس الزامات'!$B$8:$B$1007,MATCH(F68,'02-ماتریس الزامات'!$A$8:$A$1007,0)),""))</f>
        <v>IATF</v>
      </c>
      <c r="H68" s="3" t="str">
        <f>IF(A68="","",IFERROR(INDEX('02-ماتریس الزامات'!$D$8:$D$1007,MATCH(F68,'02-ماتریس الزامات'!$A$8:$A$1007,0)),""))</f>
        <v>9.3.2.1 l / SI16</v>
      </c>
      <c r="I68" s="3" t="str">
        <f>IF(A68="","",IFERROR(INDEX('02-ماتریس الزامات'!$F$8:$F$1007,MATCH(F68,'02-ماتریس الزامات'!$A$8:$A$1007,0)),""))</f>
        <v>نتایج مرحله‌ای طراحی و توسعه؛ حسب کاربرد</v>
      </c>
      <c r="J68" s="1" t="s">
        <v>174</v>
      </c>
      <c r="K68" s="1" t="s">
        <v>447</v>
      </c>
      <c r="L68" s="1"/>
      <c r="M68" s="1"/>
      <c r="N68" s="3" t="str">
        <f>IF(A68="","",IF(NOT(AND(COUNTIFS('13-کنترل انطباق'!$A$8:$A$1007,A68)=1,AND(COUNTIFS('17-جلسات و دوره‌ها'!$A$8:$A$1007,B68)=1,IFERROR(INDEX('17-جلسات و دوره‌ها'!$B$8:$B$1007,MATCH(B68,'17-جلسات و دوره‌ها'!$A$8:$A$1007,0)),"")=C68,IFERROR(INDEX('17-جلسات و دوره‌ها'!$C$8:$C$1007,MATCH(B68,'17-جلسات و دوره‌ها'!$A$8:$A$1007,0)),"")=D68),COUNTIFS('02-ماتریس الزامات'!$A$8:$A$1007,F68)=1,COUNTIFS('18-دامنه استانداردها'!$A$8:$A$1007,C68&amp;"|"&amp;G68)=1)),"شناسه یا دامنه نامعتبر",IF(IFERROR(INDEX('18-دامنه استانداردها'!$D$8:$D$1007,MATCH(C68&amp;"|"&amp;G68,'18-دامنه استانداردها'!$A$8:$A$1007,0)),"")="خیر",IF(AND(L68&lt;&gt;"",M68&lt;&gt;"",IFERROR(INDEX('18-دامنه استانداردها'!$H$8:$H$1007,MATCH(C68&amp;"|"&amp;G68,'18-دامنه استانداردها'!$A$8:$A$1007,0)),"")&lt;&gt;"",IFERROR(INDEX('18-دامنه استانداردها'!$I$8:$I$1007,MATCH(C68&amp;"|"&amp;G68,'18-دامنه استانداردها'!$A$8:$A$1007,0)),"")&lt;&gt;""),"عدم کاربرد مستند","عدم کاربرد بدون توجیه"),IF(IFERROR(INDEX('18-دامنه استانداردها'!$D$8:$D$1007,MATCH(C68&amp;"|"&amp;G68,'18-دامنه استانداردها'!$A$8:$A$1007,0)),"")&lt;&gt;"بله","دامنه نامشخص",IF(K68="","بررسی نشده؛ سابقه لازم",IF(NOT(IF(J68="ورودی",AND(COUNTIFS('03-ورودی‌های بازنگری'!$A$8:$A$1007,K68)=1,IFERROR(INDEX('03-ورودی‌های بازنگری'!$D$8:$D$1007,MATCH(K68,'03-ورودی‌های بازنگری'!$A$8:$A$1007,0)),"")=B68,IFERROR(INDEX('03-ورودی‌های بازنگری'!$R$8:$R$1007,MATCH(K68,'03-ورودی‌های بازنگری'!$A$8:$A$1007,0)),"")="معتبر"),IF(J68="تصمیم",AND(COUNTIFS('07-تصمیمات و مصوبات'!$A$8:$A$1007,K68)=1,IFERROR(INDEX('07-تصمیمات و مصوبات'!$B$8:$B$1007,MATCH(K68,'07-تصمیمات و مصوبات'!$A$8:$A$1007,0)),"")=B68,IFERROR(INDEX('07-تصمیمات و مصوبات'!$Z$8:$Z$1007,MATCH(K68,'07-تصمیمات و مصوبات'!$A$8:$A$1007,0)),"")="معتبر",COUNTIFS('15-روابط'!$B$8:$B$1007,K68,'15-روابط'!$C$8:$C$1007,"الزام",'15-روابط'!$D$8:$D$1007,F68,'15-روابط'!$E$8:$E$1007,"رابطه معتبر")&gt;0),IF(J68="نتیجه",AND(COUNTIFS('06-نتایج بازنگری'!$A$8:$A$1007,K68)=1,IFERROR(INDEX('06-نتایج بازنگری'!$D$8:$D$1007,MATCH(K68,'06-نتایج بازنگری'!$A$8:$A$1007,0)),"")=B68,IFERROR(INDEX('06-نتایج بازنگری'!$P$8:$P$1007,MATCH(K68,'06-نتایج بازنگری'!$A$8:$A$1007,0)),"")="معتبر",IFERROR(INDEX('06-نتایج بازنگری'!$F$8:$F$1007,MATCH(K68,'06-نتایج بازنگری'!$A$8:$A$1007,0)),"")=G68),IF(J68="ابلاغ",AND(COUNTIFS('20-ابلاغ نتایج'!$A$8:$A$1007,K68)=1,IFERROR(INDEX('20-ابلاغ نتایج'!$E$8:$E$1007,MATCH(K68,'20-ابلاغ نتایج'!$A$8:$A$1007,0)),"")=B68,IFERROR(INDEX('20-ابلاغ نتایج'!$L$8:$L$1007,MATCH(K68,'20-ابلاغ نتایج'!$A$8:$A$1007,0)),"")="معتبر"),FALSE))))),"سابقه یا شواهد ناقص",IF(IFERROR(INDEX('18-دامنه استانداردها'!$J$8:$J$1007,MATCH(C68&amp;"|"&amp;G68,'18-دامنه استانداردها'!$A$8:$A$1007,0)),"")="تأیید شده","شواهد مرتبط ثبت شد؛ تأیید ممیز لازم",IF(IFERROR(INDEX('18-دامنه استانداردها'!$J$8:$J$1007,MATCH(C68&amp;"|"&amp;G68,'18-دامنه استانداردها'!$A$8:$A$1007,0)),"")="فرضی","پوشش فرضی؛ آموزشی","شواهد حاضر؛ تطبیق نسخه باز"))))))))</f>
        <v>سابقه یا شواهد ناقص</v>
      </c>
      <c r="O68" s="1" t="s">
        <v>1215</v>
      </c>
    </row>
    <row r="69" spans="1:15" ht="36" customHeight="1">
      <c r="A69" s="1" t="s">
        <v>1277</v>
      </c>
      <c r="B69" s="1" t="s">
        <v>530</v>
      </c>
      <c r="C69" s="1" t="s">
        <v>99</v>
      </c>
      <c r="D69" s="1" t="s">
        <v>529</v>
      </c>
      <c r="E69" s="1" t="s">
        <v>531</v>
      </c>
      <c r="F69" s="1" t="s">
        <v>276</v>
      </c>
      <c r="G69" s="3" t="str">
        <f>IF(A69="","",IFERROR(INDEX('02-ماتریس الزامات'!$B$8:$B$1007,MATCH(F69,'02-ماتریس الزامات'!$A$8:$A$1007,0)),""))</f>
        <v>IATF</v>
      </c>
      <c r="H69" s="3" t="str">
        <f>IF(A69="","",IFERROR(INDEX('02-ماتریس الزامات'!$D$8:$D$1007,MATCH(F69,'02-ماتریس الزامات'!$A$8:$A$1007,0)),""))</f>
        <v>9.3.2.1 l / SI16</v>
      </c>
      <c r="I69" s="3" t="str">
        <f>IF(A69="","",IFERROR(INDEX('02-ماتریس الزامات'!$F$8:$F$1007,MATCH(F69,'02-ماتریس الزامات'!$A$8:$A$1007,0)),""))</f>
        <v>نتایج مرحله‌ای طراحی و توسعه؛ حسب کاربرد</v>
      </c>
      <c r="J69" s="1" t="s">
        <v>174</v>
      </c>
      <c r="K69" s="1"/>
      <c r="L69" s="1"/>
      <c r="M69" s="1"/>
      <c r="N69" s="3" t="str">
        <f>IF(A69="","",IF(NOT(AND(COUNTIFS('13-کنترل انطباق'!$A$8:$A$1007,A69)=1,AND(COUNTIFS('17-جلسات و دوره‌ها'!$A$8:$A$1007,B69)=1,IFERROR(INDEX('17-جلسات و دوره‌ها'!$B$8:$B$1007,MATCH(B69,'17-جلسات و دوره‌ها'!$A$8:$A$1007,0)),"")=C69,IFERROR(INDEX('17-جلسات و دوره‌ها'!$C$8:$C$1007,MATCH(B69,'17-جلسات و دوره‌ها'!$A$8:$A$1007,0)),"")=D69),COUNTIFS('02-ماتریس الزامات'!$A$8:$A$1007,F69)=1,COUNTIFS('18-دامنه استانداردها'!$A$8:$A$1007,C69&amp;"|"&amp;G69)=1)),"شناسه یا دامنه نامعتبر",IF(IFERROR(INDEX('18-دامنه استانداردها'!$D$8:$D$1007,MATCH(C69&amp;"|"&amp;G69,'18-دامنه استانداردها'!$A$8:$A$1007,0)),"")="خیر",IF(AND(L69&lt;&gt;"",M69&lt;&gt;"",IFERROR(INDEX('18-دامنه استانداردها'!$H$8:$H$1007,MATCH(C69&amp;"|"&amp;G69,'18-دامنه استانداردها'!$A$8:$A$1007,0)),"")&lt;&gt;"",IFERROR(INDEX('18-دامنه استانداردها'!$I$8:$I$1007,MATCH(C69&amp;"|"&amp;G69,'18-دامنه استانداردها'!$A$8:$A$1007,0)),"")&lt;&gt;""),"عدم کاربرد مستند","عدم کاربرد بدون توجیه"),IF(IFERROR(INDEX('18-دامنه استانداردها'!$D$8:$D$1007,MATCH(C69&amp;"|"&amp;G69,'18-دامنه استانداردها'!$A$8:$A$1007,0)),"")&lt;&gt;"بله","دامنه نامشخص",IF(K69="","بررسی نشده؛ سابقه لازم",IF(NOT(IF(J69="ورودی",AND(COUNTIFS('03-ورودی‌های بازنگری'!$A$8:$A$1007,K69)=1,IFERROR(INDEX('03-ورودی‌های بازنگری'!$D$8:$D$1007,MATCH(K69,'03-ورودی‌های بازنگری'!$A$8:$A$1007,0)),"")=B69,IFERROR(INDEX('03-ورودی‌های بازنگری'!$R$8:$R$1007,MATCH(K69,'03-ورودی‌های بازنگری'!$A$8:$A$1007,0)),"")="معتبر"),IF(J69="تصمیم",AND(COUNTIFS('07-تصمیمات و مصوبات'!$A$8:$A$1007,K69)=1,IFERROR(INDEX('07-تصمیمات و مصوبات'!$B$8:$B$1007,MATCH(K69,'07-تصمیمات و مصوبات'!$A$8:$A$1007,0)),"")=B69,IFERROR(INDEX('07-تصمیمات و مصوبات'!$Z$8:$Z$1007,MATCH(K69,'07-تصمیمات و مصوبات'!$A$8:$A$1007,0)),"")="معتبر",COUNTIFS('15-روابط'!$B$8:$B$1007,K69,'15-روابط'!$C$8:$C$1007,"الزام",'15-روابط'!$D$8:$D$1007,F69,'15-روابط'!$E$8:$E$1007,"رابطه معتبر")&gt;0),IF(J69="نتیجه",AND(COUNTIFS('06-نتایج بازنگری'!$A$8:$A$1007,K69)=1,IFERROR(INDEX('06-نتایج بازنگری'!$D$8:$D$1007,MATCH(K69,'06-نتایج بازنگری'!$A$8:$A$1007,0)),"")=B69,IFERROR(INDEX('06-نتایج بازنگری'!$P$8:$P$1007,MATCH(K69,'06-نتایج بازنگری'!$A$8:$A$1007,0)),"")="معتبر",IFERROR(INDEX('06-نتایج بازنگری'!$F$8:$F$1007,MATCH(K69,'06-نتایج بازنگری'!$A$8:$A$1007,0)),"")=G69),IF(J69="ابلاغ",AND(COUNTIFS('20-ابلاغ نتایج'!$A$8:$A$1007,K69)=1,IFERROR(INDEX('20-ابلاغ نتایج'!$E$8:$E$1007,MATCH(K69,'20-ابلاغ نتایج'!$A$8:$A$1007,0)),"")=B69,IFERROR(INDEX('20-ابلاغ نتایج'!$L$8:$L$1007,MATCH(K69,'20-ابلاغ نتایج'!$A$8:$A$1007,0)),"")="معتبر"),FALSE))))),"سابقه یا شواهد ناقص",IF(IFERROR(INDEX('18-دامنه استانداردها'!$J$8:$J$1007,MATCH(C69&amp;"|"&amp;G69,'18-دامنه استانداردها'!$A$8:$A$1007,0)),"")="تأیید شده","شواهد مرتبط ثبت شد؛ تأیید ممیز لازم",IF(IFERROR(INDEX('18-دامنه استانداردها'!$J$8:$J$1007,MATCH(C69&amp;"|"&amp;G69,'18-دامنه استانداردها'!$A$8:$A$1007,0)),"")="فرضی","پوشش فرضی؛ آموزشی","شواهد حاضر؛ تطبیق نسخه باز"))))))))</f>
        <v>بررسی نشده؛ سابقه لازم</v>
      </c>
      <c r="O69" s="1" t="s">
        <v>1215</v>
      </c>
    </row>
    <row r="70" spans="1:15" ht="36" customHeight="1">
      <c r="A70" s="1" t="s">
        <v>1278</v>
      </c>
      <c r="B70" s="1" t="s">
        <v>83</v>
      </c>
      <c r="C70" s="1" t="s">
        <v>77</v>
      </c>
      <c r="D70" s="1" t="s">
        <v>80</v>
      </c>
      <c r="E70" s="1" t="s">
        <v>379</v>
      </c>
      <c r="F70" s="1" t="s">
        <v>279</v>
      </c>
      <c r="G70" s="3" t="str">
        <f>IF(A70="","",IFERROR(INDEX('02-ماتریس الزامات'!$B$8:$B$1007,MATCH(F70,'02-ماتریس الزامات'!$A$8:$A$1007,0)),""))</f>
        <v>IATF</v>
      </c>
      <c r="H70" s="3" t="str">
        <f>IF(A70="","",IFERROR(INDEX('02-ماتریس الزامات'!$D$8:$D$1007,MATCH(F70,'02-ماتریس الزامات'!$A$8:$A$1007,0)),""))</f>
        <v>9.3.3.1</v>
      </c>
      <c r="I70" s="3" t="str">
        <f>IF(A70="","",IFERROR(INDEX('02-ماتریس الزامات'!$F$8:$F$1007,MATCH(F70,'02-ماتریس الزامات'!$A$8:$A$1007,0)),""))</f>
        <v>برنامه اقدام مستند برای اهداف عملکرد مشتری محقق‌نشده</v>
      </c>
      <c r="J70" s="1" t="s">
        <v>1116</v>
      </c>
      <c r="K70" s="1"/>
      <c r="L70" s="1"/>
      <c r="M70" s="1"/>
      <c r="N70" s="3" t="str">
        <f>IF(A70="","",IF(NOT(AND(COUNTIFS('13-کنترل انطباق'!$A$8:$A$1007,A70)=1,AND(COUNTIFS('17-جلسات و دوره‌ها'!$A$8:$A$1007,B70)=1,IFERROR(INDEX('17-جلسات و دوره‌ها'!$B$8:$B$1007,MATCH(B70,'17-جلسات و دوره‌ها'!$A$8:$A$1007,0)),"")=C70,IFERROR(INDEX('17-جلسات و دوره‌ها'!$C$8:$C$1007,MATCH(B70,'17-جلسات و دوره‌ها'!$A$8:$A$1007,0)),"")=D70),COUNTIFS('02-ماتریس الزامات'!$A$8:$A$1007,F70)=1,COUNTIFS('18-دامنه استانداردها'!$A$8:$A$1007,C70&amp;"|"&amp;G70)=1)),"شناسه یا دامنه نامعتبر",IF(IFERROR(INDEX('18-دامنه استانداردها'!$D$8:$D$1007,MATCH(C70&amp;"|"&amp;G70,'18-دامنه استانداردها'!$A$8:$A$1007,0)),"")="خیر",IF(AND(L70&lt;&gt;"",M70&lt;&gt;"",IFERROR(INDEX('18-دامنه استانداردها'!$H$8:$H$1007,MATCH(C70&amp;"|"&amp;G70,'18-دامنه استانداردها'!$A$8:$A$1007,0)),"")&lt;&gt;"",IFERROR(INDEX('18-دامنه استانداردها'!$I$8:$I$1007,MATCH(C70&amp;"|"&amp;G70,'18-دامنه استانداردها'!$A$8:$A$1007,0)),"")&lt;&gt;""),"عدم کاربرد مستند","عدم کاربرد بدون توجیه"),IF(IFERROR(INDEX('18-دامنه استانداردها'!$D$8:$D$1007,MATCH(C70&amp;"|"&amp;G70,'18-دامنه استانداردها'!$A$8:$A$1007,0)),"")&lt;&gt;"بله","دامنه نامشخص",IF(K70="","بررسی نشده؛ سابقه لازم",IF(NOT(IF(J70="ورودی",AND(COUNTIFS('03-ورودی‌های بازنگری'!$A$8:$A$1007,K70)=1,IFERROR(INDEX('03-ورودی‌های بازنگری'!$D$8:$D$1007,MATCH(K70,'03-ورودی‌های بازنگری'!$A$8:$A$1007,0)),"")=B70,IFERROR(INDEX('03-ورودی‌های بازنگری'!$R$8:$R$1007,MATCH(K70,'03-ورودی‌های بازنگری'!$A$8:$A$1007,0)),"")="معتبر"),IF(J70="تصمیم",AND(COUNTIFS('07-تصمیمات و مصوبات'!$A$8:$A$1007,K70)=1,IFERROR(INDEX('07-تصمیمات و مصوبات'!$B$8:$B$1007,MATCH(K70,'07-تصمیمات و مصوبات'!$A$8:$A$1007,0)),"")=B70,IFERROR(INDEX('07-تصمیمات و مصوبات'!$Z$8:$Z$1007,MATCH(K70,'07-تصمیمات و مصوبات'!$A$8:$A$1007,0)),"")="معتبر",COUNTIFS('15-روابط'!$B$8:$B$1007,K70,'15-روابط'!$C$8:$C$1007,"الزام",'15-روابط'!$D$8:$D$1007,F70,'15-روابط'!$E$8:$E$1007,"رابطه معتبر")&gt;0),IF(J70="نتیجه",AND(COUNTIFS('06-نتایج بازنگری'!$A$8:$A$1007,K70)=1,IFERROR(INDEX('06-نتایج بازنگری'!$D$8:$D$1007,MATCH(K70,'06-نتایج بازنگری'!$A$8:$A$1007,0)),"")=B70,IFERROR(INDEX('06-نتایج بازنگری'!$P$8:$P$1007,MATCH(K70,'06-نتایج بازنگری'!$A$8:$A$1007,0)),"")="معتبر",IFERROR(INDEX('06-نتایج بازنگری'!$F$8:$F$1007,MATCH(K70,'06-نتایج بازنگری'!$A$8:$A$1007,0)),"")=G70),IF(J70="ابلاغ",AND(COUNTIFS('20-ابلاغ نتایج'!$A$8:$A$1007,K70)=1,IFERROR(INDEX('20-ابلاغ نتایج'!$E$8:$E$1007,MATCH(K70,'20-ابلاغ نتایج'!$A$8:$A$1007,0)),"")=B70,IFERROR(INDEX('20-ابلاغ نتایج'!$L$8:$L$1007,MATCH(K70,'20-ابلاغ نتایج'!$A$8:$A$1007,0)),"")="معتبر"),FALSE))))),"سابقه یا شواهد ناقص",IF(IFERROR(INDEX('18-دامنه استانداردها'!$J$8:$J$1007,MATCH(C70&amp;"|"&amp;G70,'18-دامنه استانداردها'!$A$8:$A$1007,0)),"")="تأیید شده","شواهد مرتبط ثبت شد؛ تأیید ممیز لازم",IF(IFERROR(INDEX('18-دامنه استانداردها'!$J$8:$J$1007,MATCH(C70&amp;"|"&amp;G70,'18-دامنه استانداردها'!$A$8:$A$1007,0)),"")="فرضی","پوشش فرضی؛ آموزشی","شواهد حاضر؛ تطبیق نسخه باز"))))))))</f>
        <v>بررسی نشده؛ سابقه لازم</v>
      </c>
      <c r="O70" s="1" t="s">
        <v>1215</v>
      </c>
    </row>
    <row r="71" spans="1:15" ht="36" customHeight="1">
      <c r="A71" s="1" t="s">
        <v>1279</v>
      </c>
      <c r="B71" s="1" t="s">
        <v>530</v>
      </c>
      <c r="C71" s="1" t="s">
        <v>99</v>
      </c>
      <c r="D71" s="1" t="s">
        <v>529</v>
      </c>
      <c r="E71" s="1" t="s">
        <v>531</v>
      </c>
      <c r="F71" s="1" t="s">
        <v>279</v>
      </c>
      <c r="G71" s="3" t="str">
        <f>IF(A71="","",IFERROR(INDEX('02-ماتریس الزامات'!$B$8:$B$1007,MATCH(F71,'02-ماتریس الزامات'!$A$8:$A$1007,0)),""))</f>
        <v>IATF</v>
      </c>
      <c r="H71" s="3" t="str">
        <f>IF(A71="","",IFERROR(INDEX('02-ماتریس الزامات'!$D$8:$D$1007,MATCH(F71,'02-ماتریس الزامات'!$A$8:$A$1007,0)),""))</f>
        <v>9.3.3.1</v>
      </c>
      <c r="I71" s="3" t="str">
        <f>IF(A71="","",IFERROR(INDEX('02-ماتریس الزامات'!$F$8:$F$1007,MATCH(F71,'02-ماتریس الزامات'!$A$8:$A$1007,0)),""))</f>
        <v>برنامه اقدام مستند برای اهداف عملکرد مشتری محقق‌نشده</v>
      </c>
      <c r="J71" s="1" t="s">
        <v>1116</v>
      </c>
      <c r="K71" s="1"/>
      <c r="L71" s="1"/>
      <c r="M71" s="1"/>
      <c r="N71" s="3" t="str">
        <f>IF(A71="","",IF(NOT(AND(COUNTIFS('13-کنترل انطباق'!$A$8:$A$1007,A71)=1,AND(COUNTIFS('17-جلسات و دوره‌ها'!$A$8:$A$1007,B71)=1,IFERROR(INDEX('17-جلسات و دوره‌ها'!$B$8:$B$1007,MATCH(B71,'17-جلسات و دوره‌ها'!$A$8:$A$1007,0)),"")=C71,IFERROR(INDEX('17-جلسات و دوره‌ها'!$C$8:$C$1007,MATCH(B71,'17-جلسات و دوره‌ها'!$A$8:$A$1007,0)),"")=D71),COUNTIFS('02-ماتریس الزامات'!$A$8:$A$1007,F71)=1,COUNTIFS('18-دامنه استانداردها'!$A$8:$A$1007,C71&amp;"|"&amp;G71)=1)),"شناسه یا دامنه نامعتبر",IF(IFERROR(INDEX('18-دامنه استانداردها'!$D$8:$D$1007,MATCH(C71&amp;"|"&amp;G71,'18-دامنه استانداردها'!$A$8:$A$1007,0)),"")="خیر",IF(AND(L71&lt;&gt;"",M71&lt;&gt;"",IFERROR(INDEX('18-دامنه استانداردها'!$H$8:$H$1007,MATCH(C71&amp;"|"&amp;G71,'18-دامنه استانداردها'!$A$8:$A$1007,0)),"")&lt;&gt;"",IFERROR(INDEX('18-دامنه استانداردها'!$I$8:$I$1007,MATCH(C71&amp;"|"&amp;G71,'18-دامنه استانداردها'!$A$8:$A$1007,0)),"")&lt;&gt;""),"عدم کاربرد مستند","عدم کاربرد بدون توجیه"),IF(IFERROR(INDEX('18-دامنه استانداردها'!$D$8:$D$1007,MATCH(C71&amp;"|"&amp;G71,'18-دامنه استانداردها'!$A$8:$A$1007,0)),"")&lt;&gt;"بله","دامنه نامشخص",IF(K71="","بررسی نشده؛ سابقه لازم",IF(NOT(IF(J71="ورودی",AND(COUNTIFS('03-ورودی‌های بازنگری'!$A$8:$A$1007,K71)=1,IFERROR(INDEX('03-ورودی‌های بازنگری'!$D$8:$D$1007,MATCH(K71,'03-ورودی‌های بازنگری'!$A$8:$A$1007,0)),"")=B71,IFERROR(INDEX('03-ورودی‌های بازنگری'!$R$8:$R$1007,MATCH(K71,'03-ورودی‌های بازنگری'!$A$8:$A$1007,0)),"")="معتبر"),IF(J71="تصمیم",AND(COUNTIFS('07-تصمیمات و مصوبات'!$A$8:$A$1007,K71)=1,IFERROR(INDEX('07-تصمیمات و مصوبات'!$B$8:$B$1007,MATCH(K71,'07-تصمیمات و مصوبات'!$A$8:$A$1007,0)),"")=B71,IFERROR(INDEX('07-تصمیمات و مصوبات'!$Z$8:$Z$1007,MATCH(K71,'07-تصمیمات و مصوبات'!$A$8:$A$1007,0)),"")="معتبر",COUNTIFS('15-روابط'!$B$8:$B$1007,K71,'15-روابط'!$C$8:$C$1007,"الزام",'15-روابط'!$D$8:$D$1007,F71,'15-روابط'!$E$8:$E$1007,"رابطه معتبر")&gt;0),IF(J71="نتیجه",AND(COUNTIFS('06-نتایج بازنگری'!$A$8:$A$1007,K71)=1,IFERROR(INDEX('06-نتایج بازنگری'!$D$8:$D$1007,MATCH(K71,'06-نتایج بازنگری'!$A$8:$A$1007,0)),"")=B71,IFERROR(INDEX('06-نتایج بازنگری'!$P$8:$P$1007,MATCH(K71,'06-نتایج بازنگری'!$A$8:$A$1007,0)),"")="معتبر",IFERROR(INDEX('06-نتایج بازنگری'!$F$8:$F$1007,MATCH(K71,'06-نتایج بازنگری'!$A$8:$A$1007,0)),"")=G71),IF(J71="ابلاغ",AND(COUNTIFS('20-ابلاغ نتایج'!$A$8:$A$1007,K71)=1,IFERROR(INDEX('20-ابلاغ نتایج'!$E$8:$E$1007,MATCH(K71,'20-ابلاغ نتایج'!$A$8:$A$1007,0)),"")=B71,IFERROR(INDEX('20-ابلاغ نتایج'!$L$8:$L$1007,MATCH(K71,'20-ابلاغ نتایج'!$A$8:$A$1007,0)),"")="معتبر"),FALSE))))),"سابقه یا شواهد ناقص",IF(IFERROR(INDEX('18-دامنه استانداردها'!$J$8:$J$1007,MATCH(C71&amp;"|"&amp;G71,'18-دامنه استانداردها'!$A$8:$A$1007,0)),"")="تأیید شده","شواهد مرتبط ثبت شد؛ تأیید ممیز لازم",IF(IFERROR(INDEX('18-دامنه استانداردها'!$J$8:$J$1007,MATCH(C71&amp;"|"&amp;G71,'18-دامنه استانداردها'!$A$8:$A$1007,0)),"")="فرضی","پوشش فرضی؛ آموزشی","شواهد حاضر؛ تطبیق نسخه باز"))))))))</f>
        <v>بررسی نشده؛ سابقه لازم</v>
      </c>
      <c r="O71" s="1" t="s">
        <v>1215</v>
      </c>
    </row>
    <row r="72" spans="1:15" ht="36" customHeight="1">
      <c r="A72" s="1" t="s">
        <v>1280</v>
      </c>
      <c r="B72" s="1" t="s">
        <v>83</v>
      </c>
      <c r="C72" s="1" t="s">
        <v>77</v>
      </c>
      <c r="D72" s="1" t="s">
        <v>80</v>
      </c>
      <c r="E72" s="1" t="s">
        <v>379</v>
      </c>
      <c r="F72" s="1" t="s">
        <v>284</v>
      </c>
      <c r="G72" s="3" t="str">
        <f>IF(A72="","",IFERROR(INDEX('02-ماتریس الزامات'!$B$8:$B$1007,MATCH(F72,'02-ماتریس الزامات'!$A$8:$A$1007,0)),""))</f>
        <v>EMS</v>
      </c>
      <c r="H72" s="3" t="str">
        <f>IF(A72="","",IFERROR(INDEX('02-ماتریس الزامات'!$D$8:$D$1007,MATCH(F72,'02-ماتریس الزامات'!$A$8:$A$1007,0)),""))</f>
        <v>9.3؛ شماره جزء تابع ویرایش</v>
      </c>
      <c r="I72" s="3" t="str">
        <f>IF(A72="","",IFERROR(INDEX('02-ماتریس الزامات'!$F$8:$F$1007,MATCH(F72,'02-ماتریس الزامات'!$A$8:$A$1007,0)),""))</f>
        <v>اقدامات قبلی</v>
      </c>
      <c r="J72" s="1" t="s">
        <v>174</v>
      </c>
      <c r="K72" s="1" t="s">
        <v>392</v>
      </c>
      <c r="L72" s="1"/>
      <c r="M72" s="1"/>
      <c r="N72" s="3" t="str">
        <f>IF(A72="","",IF(NOT(AND(COUNTIFS('13-کنترل انطباق'!$A$8:$A$1007,A72)=1,AND(COUNTIFS('17-جلسات و دوره‌ها'!$A$8:$A$1007,B72)=1,IFERROR(INDEX('17-جلسات و دوره‌ها'!$B$8:$B$1007,MATCH(B72,'17-جلسات و دوره‌ها'!$A$8:$A$1007,0)),"")=C72,IFERROR(INDEX('17-جلسات و دوره‌ها'!$C$8:$C$1007,MATCH(B72,'17-جلسات و دوره‌ها'!$A$8:$A$1007,0)),"")=D72),COUNTIFS('02-ماتریس الزامات'!$A$8:$A$1007,F72)=1,COUNTIFS('18-دامنه استانداردها'!$A$8:$A$1007,C72&amp;"|"&amp;G72)=1)),"شناسه یا دامنه نامعتبر",IF(IFERROR(INDEX('18-دامنه استانداردها'!$D$8:$D$1007,MATCH(C72&amp;"|"&amp;G72,'18-دامنه استانداردها'!$A$8:$A$1007,0)),"")="خیر",IF(AND(L72&lt;&gt;"",M72&lt;&gt;"",IFERROR(INDEX('18-دامنه استانداردها'!$H$8:$H$1007,MATCH(C72&amp;"|"&amp;G72,'18-دامنه استانداردها'!$A$8:$A$1007,0)),"")&lt;&gt;"",IFERROR(INDEX('18-دامنه استانداردها'!$I$8:$I$1007,MATCH(C72&amp;"|"&amp;G72,'18-دامنه استانداردها'!$A$8:$A$1007,0)),"")&lt;&gt;""),"عدم کاربرد مستند","عدم کاربرد بدون توجیه"),IF(IFERROR(INDEX('18-دامنه استانداردها'!$D$8:$D$1007,MATCH(C72&amp;"|"&amp;G72,'18-دامنه استانداردها'!$A$8:$A$1007,0)),"")&lt;&gt;"بله","دامنه نامشخص",IF(K72="","بررسی نشده؛ سابقه لازم",IF(NOT(IF(J72="ورودی",AND(COUNTIFS('03-ورودی‌های بازنگری'!$A$8:$A$1007,K72)=1,IFERROR(INDEX('03-ورودی‌های بازنگری'!$D$8:$D$1007,MATCH(K72,'03-ورودی‌های بازنگری'!$A$8:$A$1007,0)),"")=B72,IFERROR(INDEX('03-ورودی‌های بازنگری'!$R$8:$R$1007,MATCH(K72,'03-ورودی‌های بازنگری'!$A$8:$A$1007,0)),"")="معتبر"),IF(J72="تصمیم",AND(COUNTIFS('07-تصمیمات و مصوبات'!$A$8:$A$1007,K72)=1,IFERROR(INDEX('07-تصمیمات و مصوبات'!$B$8:$B$1007,MATCH(K72,'07-تصمیمات و مصوبات'!$A$8:$A$1007,0)),"")=B72,IFERROR(INDEX('07-تصمیمات و مصوبات'!$Z$8:$Z$1007,MATCH(K72,'07-تصمیمات و مصوبات'!$A$8:$A$1007,0)),"")="معتبر",COUNTIFS('15-روابط'!$B$8:$B$1007,K72,'15-روابط'!$C$8:$C$1007,"الزام",'15-روابط'!$D$8:$D$1007,F72,'15-روابط'!$E$8:$E$1007,"رابطه معتبر")&gt;0),IF(J72="نتیجه",AND(COUNTIFS('06-نتایج بازنگری'!$A$8:$A$1007,K72)=1,IFERROR(INDEX('06-نتایج بازنگری'!$D$8:$D$1007,MATCH(K72,'06-نتایج بازنگری'!$A$8:$A$1007,0)),"")=B72,IFERROR(INDEX('06-نتایج بازنگری'!$P$8:$P$1007,MATCH(K72,'06-نتایج بازنگری'!$A$8:$A$1007,0)),"")="معتبر",IFERROR(INDEX('06-نتایج بازنگری'!$F$8:$F$1007,MATCH(K72,'06-نتایج بازنگری'!$A$8:$A$1007,0)),"")=G72),IF(J72="ابلاغ",AND(COUNTIFS('20-ابلاغ نتایج'!$A$8:$A$1007,K72)=1,IFERROR(INDEX('20-ابلاغ نتایج'!$E$8:$E$1007,MATCH(K72,'20-ابلاغ نتایج'!$A$8:$A$1007,0)),"")=B72,IFERROR(INDEX('20-ابلاغ نتایج'!$L$8:$L$1007,MATCH(K72,'20-ابلاغ نتایج'!$A$8:$A$1007,0)),"")="معتبر"),FALSE))))),"سابقه یا شواهد ناقص",IF(IFERROR(INDEX('18-دامنه استانداردها'!$J$8:$J$1007,MATCH(C72&amp;"|"&amp;G72,'18-دامنه استانداردها'!$A$8:$A$1007,0)),"")="تأیید شده","شواهد مرتبط ثبت شد؛ تأیید ممیز لازم",IF(IFERROR(INDEX('18-دامنه استانداردها'!$J$8:$J$1007,MATCH(C72&amp;"|"&amp;G72,'18-دامنه استانداردها'!$A$8:$A$1007,0)),"")="فرضی","پوشش فرضی؛ آموزشی","شواهد حاضر؛ تطبیق نسخه باز"))))))))</f>
        <v>سابقه یا شواهد ناقص</v>
      </c>
      <c r="O72" s="1" t="s">
        <v>1215</v>
      </c>
    </row>
    <row r="73" spans="1:15" ht="36" customHeight="1">
      <c r="A73" s="1" t="s">
        <v>1281</v>
      </c>
      <c r="B73" s="1" t="s">
        <v>530</v>
      </c>
      <c r="C73" s="1" t="s">
        <v>99</v>
      </c>
      <c r="D73" s="1" t="s">
        <v>529</v>
      </c>
      <c r="E73" s="1" t="s">
        <v>531</v>
      </c>
      <c r="F73" s="1" t="s">
        <v>284</v>
      </c>
      <c r="G73" s="3" t="str">
        <f>IF(A73="","",IFERROR(INDEX('02-ماتریس الزامات'!$B$8:$B$1007,MATCH(F73,'02-ماتریس الزامات'!$A$8:$A$1007,0)),""))</f>
        <v>EMS</v>
      </c>
      <c r="H73" s="3" t="str">
        <f>IF(A73="","",IFERROR(INDEX('02-ماتریس الزامات'!$D$8:$D$1007,MATCH(F73,'02-ماتریس الزامات'!$A$8:$A$1007,0)),""))</f>
        <v>9.3؛ شماره جزء تابع ویرایش</v>
      </c>
      <c r="I73" s="3" t="str">
        <f>IF(A73="","",IFERROR(INDEX('02-ماتریس الزامات'!$F$8:$F$1007,MATCH(F73,'02-ماتریس الزامات'!$A$8:$A$1007,0)),""))</f>
        <v>اقدامات قبلی</v>
      </c>
      <c r="J73" s="1" t="s">
        <v>174</v>
      </c>
      <c r="K73" s="1"/>
      <c r="L73" s="1"/>
      <c r="M73" s="1"/>
      <c r="N73" s="3" t="str">
        <f>IF(A73="","",IF(NOT(AND(COUNTIFS('13-کنترل انطباق'!$A$8:$A$1007,A73)=1,AND(COUNTIFS('17-جلسات و دوره‌ها'!$A$8:$A$1007,B73)=1,IFERROR(INDEX('17-جلسات و دوره‌ها'!$B$8:$B$1007,MATCH(B73,'17-جلسات و دوره‌ها'!$A$8:$A$1007,0)),"")=C73,IFERROR(INDEX('17-جلسات و دوره‌ها'!$C$8:$C$1007,MATCH(B73,'17-جلسات و دوره‌ها'!$A$8:$A$1007,0)),"")=D73),COUNTIFS('02-ماتریس الزامات'!$A$8:$A$1007,F73)=1,COUNTIFS('18-دامنه استانداردها'!$A$8:$A$1007,C73&amp;"|"&amp;G73)=1)),"شناسه یا دامنه نامعتبر",IF(IFERROR(INDEX('18-دامنه استانداردها'!$D$8:$D$1007,MATCH(C73&amp;"|"&amp;G73,'18-دامنه استانداردها'!$A$8:$A$1007,0)),"")="خیر",IF(AND(L73&lt;&gt;"",M73&lt;&gt;"",IFERROR(INDEX('18-دامنه استانداردها'!$H$8:$H$1007,MATCH(C73&amp;"|"&amp;G73,'18-دامنه استانداردها'!$A$8:$A$1007,0)),"")&lt;&gt;"",IFERROR(INDEX('18-دامنه استانداردها'!$I$8:$I$1007,MATCH(C73&amp;"|"&amp;G73,'18-دامنه استانداردها'!$A$8:$A$1007,0)),"")&lt;&gt;""),"عدم کاربرد مستند","عدم کاربرد بدون توجیه"),IF(IFERROR(INDEX('18-دامنه استانداردها'!$D$8:$D$1007,MATCH(C73&amp;"|"&amp;G73,'18-دامنه استانداردها'!$A$8:$A$1007,0)),"")&lt;&gt;"بله","دامنه نامشخص",IF(K73="","بررسی نشده؛ سابقه لازم",IF(NOT(IF(J73="ورودی",AND(COUNTIFS('03-ورودی‌های بازنگری'!$A$8:$A$1007,K73)=1,IFERROR(INDEX('03-ورودی‌های بازنگری'!$D$8:$D$1007,MATCH(K73,'03-ورودی‌های بازنگری'!$A$8:$A$1007,0)),"")=B73,IFERROR(INDEX('03-ورودی‌های بازنگری'!$R$8:$R$1007,MATCH(K73,'03-ورودی‌های بازنگری'!$A$8:$A$1007,0)),"")="معتبر"),IF(J73="تصمیم",AND(COUNTIFS('07-تصمیمات و مصوبات'!$A$8:$A$1007,K73)=1,IFERROR(INDEX('07-تصمیمات و مصوبات'!$B$8:$B$1007,MATCH(K73,'07-تصمیمات و مصوبات'!$A$8:$A$1007,0)),"")=B73,IFERROR(INDEX('07-تصمیمات و مصوبات'!$Z$8:$Z$1007,MATCH(K73,'07-تصمیمات و مصوبات'!$A$8:$A$1007,0)),"")="معتبر",COUNTIFS('15-روابط'!$B$8:$B$1007,K73,'15-روابط'!$C$8:$C$1007,"الزام",'15-روابط'!$D$8:$D$1007,F73,'15-روابط'!$E$8:$E$1007,"رابطه معتبر")&gt;0),IF(J73="نتیجه",AND(COUNTIFS('06-نتایج بازنگری'!$A$8:$A$1007,K73)=1,IFERROR(INDEX('06-نتایج بازنگری'!$D$8:$D$1007,MATCH(K73,'06-نتایج بازنگری'!$A$8:$A$1007,0)),"")=B73,IFERROR(INDEX('06-نتایج بازنگری'!$P$8:$P$1007,MATCH(K73,'06-نتایج بازنگری'!$A$8:$A$1007,0)),"")="معتبر",IFERROR(INDEX('06-نتایج بازنگری'!$F$8:$F$1007,MATCH(K73,'06-نتایج بازنگری'!$A$8:$A$1007,0)),"")=G73),IF(J73="ابلاغ",AND(COUNTIFS('20-ابلاغ نتایج'!$A$8:$A$1007,K73)=1,IFERROR(INDEX('20-ابلاغ نتایج'!$E$8:$E$1007,MATCH(K73,'20-ابلاغ نتایج'!$A$8:$A$1007,0)),"")=B73,IFERROR(INDEX('20-ابلاغ نتایج'!$L$8:$L$1007,MATCH(K73,'20-ابلاغ نتایج'!$A$8:$A$1007,0)),"")="معتبر"),FALSE))))),"سابقه یا شواهد ناقص",IF(IFERROR(INDEX('18-دامنه استانداردها'!$J$8:$J$1007,MATCH(C73&amp;"|"&amp;G73,'18-دامنه استانداردها'!$A$8:$A$1007,0)),"")="تأیید شده","شواهد مرتبط ثبت شد؛ تأیید ممیز لازم",IF(IFERROR(INDEX('18-دامنه استانداردها'!$J$8:$J$1007,MATCH(C73&amp;"|"&amp;G73,'18-دامنه استانداردها'!$A$8:$A$1007,0)),"")="فرضی","پوشش فرضی؛ آموزشی","شواهد حاضر؛ تطبیق نسخه باز"))))))))</f>
        <v>بررسی نشده؛ سابقه لازم</v>
      </c>
      <c r="O73" s="1" t="s">
        <v>1215</v>
      </c>
    </row>
    <row r="74" spans="1:15" ht="36" customHeight="1">
      <c r="A74" s="1" t="s">
        <v>1282</v>
      </c>
      <c r="B74" s="1" t="s">
        <v>83</v>
      </c>
      <c r="C74" s="1" t="s">
        <v>77</v>
      </c>
      <c r="D74" s="1" t="s">
        <v>80</v>
      </c>
      <c r="E74" s="1" t="s">
        <v>379</v>
      </c>
      <c r="F74" s="1" t="s">
        <v>289</v>
      </c>
      <c r="G74" s="3" t="str">
        <f>IF(A74="","",IFERROR(INDEX('02-ماتریس الزامات'!$B$8:$B$1007,MATCH(F74,'02-ماتریس الزامات'!$A$8:$A$1007,0)),""))</f>
        <v>EMS</v>
      </c>
      <c r="H74" s="3" t="str">
        <f>IF(A74="","",IFERROR(INDEX('02-ماتریس الزامات'!$D$8:$D$1007,MATCH(F74,'02-ماتریس الزامات'!$A$8:$A$1007,0)),""))</f>
        <v>9.3؛ شماره جزء تابع ویرایش</v>
      </c>
      <c r="I74" s="3" t="str">
        <f>IF(A74="","",IFERROR(INDEX('02-ماتریس الزامات'!$F$8:$F$1007,MATCH(F74,'02-ماتریس الزامات'!$A$8:$A$1007,0)),""))</f>
        <v>تغییرات مسائل و نیازهای ذی‌نفعان</v>
      </c>
      <c r="J74" s="1" t="s">
        <v>174</v>
      </c>
      <c r="K74" s="1" t="s">
        <v>397</v>
      </c>
      <c r="L74" s="1"/>
      <c r="M74" s="1"/>
      <c r="N74" s="3" t="str">
        <f>IF(A74="","",IF(NOT(AND(COUNTIFS('13-کنترل انطباق'!$A$8:$A$1007,A74)=1,AND(COUNTIFS('17-جلسات و دوره‌ها'!$A$8:$A$1007,B74)=1,IFERROR(INDEX('17-جلسات و دوره‌ها'!$B$8:$B$1007,MATCH(B74,'17-جلسات و دوره‌ها'!$A$8:$A$1007,0)),"")=C74,IFERROR(INDEX('17-جلسات و دوره‌ها'!$C$8:$C$1007,MATCH(B74,'17-جلسات و دوره‌ها'!$A$8:$A$1007,0)),"")=D74),COUNTIFS('02-ماتریس الزامات'!$A$8:$A$1007,F74)=1,COUNTIFS('18-دامنه استانداردها'!$A$8:$A$1007,C74&amp;"|"&amp;G74)=1)),"شناسه یا دامنه نامعتبر",IF(IFERROR(INDEX('18-دامنه استانداردها'!$D$8:$D$1007,MATCH(C74&amp;"|"&amp;G74,'18-دامنه استانداردها'!$A$8:$A$1007,0)),"")="خیر",IF(AND(L74&lt;&gt;"",M74&lt;&gt;"",IFERROR(INDEX('18-دامنه استانداردها'!$H$8:$H$1007,MATCH(C74&amp;"|"&amp;G74,'18-دامنه استانداردها'!$A$8:$A$1007,0)),"")&lt;&gt;"",IFERROR(INDEX('18-دامنه استانداردها'!$I$8:$I$1007,MATCH(C74&amp;"|"&amp;G74,'18-دامنه استانداردها'!$A$8:$A$1007,0)),"")&lt;&gt;""),"عدم کاربرد مستند","عدم کاربرد بدون توجیه"),IF(IFERROR(INDEX('18-دامنه استانداردها'!$D$8:$D$1007,MATCH(C74&amp;"|"&amp;G74,'18-دامنه استانداردها'!$A$8:$A$1007,0)),"")&lt;&gt;"بله","دامنه نامشخص",IF(K74="","بررسی نشده؛ سابقه لازم",IF(NOT(IF(J74="ورودی",AND(COUNTIFS('03-ورودی‌های بازنگری'!$A$8:$A$1007,K74)=1,IFERROR(INDEX('03-ورودی‌های بازنگری'!$D$8:$D$1007,MATCH(K74,'03-ورودی‌های بازنگری'!$A$8:$A$1007,0)),"")=B74,IFERROR(INDEX('03-ورودی‌های بازنگری'!$R$8:$R$1007,MATCH(K74,'03-ورودی‌های بازنگری'!$A$8:$A$1007,0)),"")="معتبر"),IF(J74="تصمیم",AND(COUNTIFS('07-تصمیمات و مصوبات'!$A$8:$A$1007,K74)=1,IFERROR(INDEX('07-تصمیمات و مصوبات'!$B$8:$B$1007,MATCH(K74,'07-تصمیمات و مصوبات'!$A$8:$A$1007,0)),"")=B74,IFERROR(INDEX('07-تصمیمات و مصوبات'!$Z$8:$Z$1007,MATCH(K74,'07-تصمیمات و مصوبات'!$A$8:$A$1007,0)),"")="معتبر",COUNTIFS('15-روابط'!$B$8:$B$1007,K74,'15-روابط'!$C$8:$C$1007,"الزام",'15-روابط'!$D$8:$D$1007,F74,'15-روابط'!$E$8:$E$1007,"رابطه معتبر")&gt;0),IF(J74="نتیجه",AND(COUNTIFS('06-نتایج بازنگری'!$A$8:$A$1007,K74)=1,IFERROR(INDEX('06-نتایج بازنگری'!$D$8:$D$1007,MATCH(K74,'06-نتایج بازنگری'!$A$8:$A$1007,0)),"")=B74,IFERROR(INDEX('06-نتایج بازنگری'!$P$8:$P$1007,MATCH(K74,'06-نتایج بازنگری'!$A$8:$A$1007,0)),"")="معتبر",IFERROR(INDEX('06-نتایج بازنگری'!$F$8:$F$1007,MATCH(K74,'06-نتایج بازنگری'!$A$8:$A$1007,0)),"")=G74),IF(J74="ابلاغ",AND(COUNTIFS('20-ابلاغ نتایج'!$A$8:$A$1007,K74)=1,IFERROR(INDEX('20-ابلاغ نتایج'!$E$8:$E$1007,MATCH(K74,'20-ابلاغ نتایج'!$A$8:$A$1007,0)),"")=B74,IFERROR(INDEX('20-ابلاغ نتایج'!$L$8:$L$1007,MATCH(K74,'20-ابلاغ نتایج'!$A$8:$A$1007,0)),"")="معتبر"),FALSE))))),"سابقه یا شواهد ناقص",IF(IFERROR(INDEX('18-دامنه استانداردها'!$J$8:$J$1007,MATCH(C74&amp;"|"&amp;G74,'18-دامنه استانداردها'!$A$8:$A$1007,0)),"")="تأیید شده","شواهد مرتبط ثبت شد؛ تأیید ممیز لازم",IF(IFERROR(INDEX('18-دامنه استانداردها'!$J$8:$J$1007,MATCH(C74&amp;"|"&amp;G74,'18-دامنه استانداردها'!$A$8:$A$1007,0)),"")="فرضی","پوشش فرضی؛ آموزشی","شواهد حاضر؛ تطبیق نسخه باز"))))))))</f>
        <v>سابقه یا شواهد ناقص</v>
      </c>
      <c r="O74" s="1" t="s">
        <v>1215</v>
      </c>
    </row>
    <row r="75" spans="1:15" ht="36" customHeight="1">
      <c r="A75" s="1" t="s">
        <v>1283</v>
      </c>
      <c r="B75" s="1" t="s">
        <v>530</v>
      </c>
      <c r="C75" s="1" t="s">
        <v>99</v>
      </c>
      <c r="D75" s="1" t="s">
        <v>529</v>
      </c>
      <c r="E75" s="1" t="s">
        <v>531</v>
      </c>
      <c r="F75" s="1" t="s">
        <v>289</v>
      </c>
      <c r="G75" s="3" t="str">
        <f>IF(A75="","",IFERROR(INDEX('02-ماتریس الزامات'!$B$8:$B$1007,MATCH(F75,'02-ماتریس الزامات'!$A$8:$A$1007,0)),""))</f>
        <v>EMS</v>
      </c>
      <c r="H75" s="3" t="str">
        <f>IF(A75="","",IFERROR(INDEX('02-ماتریس الزامات'!$D$8:$D$1007,MATCH(F75,'02-ماتریس الزامات'!$A$8:$A$1007,0)),""))</f>
        <v>9.3؛ شماره جزء تابع ویرایش</v>
      </c>
      <c r="I75" s="3" t="str">
        <f>IF(A75="","",IFERROR(INDEX('02-ماتریس الزامات'!$F$8:$F$1007,MATCH(F75,'02-ماتریس الزامات'!$A$8:$A$1007,0)),""))</f>
        <v>تغییرات مسائل و نیازهای ذی‌نفعان</v>
      </c>
      <c r="J75" s="1" t="s">
        <v>174</v>
      </c>
      <c r="K75" s="1"/>
      <c r="L75" s="1"/>
      <c r="M75" s="1"/>
      <c r="N75" s="3" t="str">
        <f>IF(A75="","",IF(NOT(AND(COUNTIFS('13-کنترل انطباق'!$A$8:$A$1007,A75)=1,AND(COUNTIFS('17-جلسات و دوره‌ها'!$A$8:$A$1007,B75)=1,IFERROR(INDEX('17-جلسات و دوره‌ها'!$B$8:$B$1007,MATCH(B75,'17-جلسات و دوره‌ها'!$A$8:$A$1007,0)),"")=C75,IFERROR(INDEX('17-جلسات و دوره‌ها'!$C$8:$C$1007,MATCH(B75,'17-جلسات و دوره‌ها'!$A$8:$A$1007,0)),"")=D75),COUNTIFS('02-ماتریس الزامات'!$A$8:$A$1007,F75)=1,COUNTIFS('18-دامنه استانداردها'!$A$8:$A$1007,C75&amp;"|"&amp;G75)=1)),"شناسه یا دامنه نامعتبر",IF(IFERROR(INDEX('18-دامنه استانداردها'!$D$8:$D$1007,MATCH(C75&amp;"|"&amp;G75,'18-دامنه استانداردها'!$A$8:$A$1007,0)),"")="خیر",IF(AND(L75&lt;&gt;"",M75&lt;&gt;"",IFERROR(INDEX('18-دامنه استانداردها'!$H$8:$H$1007,MATCH(C75&amp;"|"&amp;G75,'18-دامنه استانداردها'!$A$8:$A$1007,0)),"")&lt;&gt;"",IFERROR(INDEX('18-دامنه استانداردها'!$I$8:$I$1007,MATCH(C75&amp;"|"&amp;G75,'18-دامنه استانداردها'!$A$8:$A$1007,0)),"")&lt;&gt;""),"عدم کاربرد مستند","عدم کاربرد بدون توجیه"),IF(IFERROR(INDEX('18-دامنه استانداردها'!$D$8:$D$1007,MATCH(C75&amp;"|"&amp;G75,'18-دامنه استانداردها'!$A$8:$A$1007,0)),"")&lt;&gt;"بله","دامنه نامشخص",IF(K75="","بررسی نشده؛ سابقه لازم",IF(NOT(IF(J75="ورودی",AND(COUNTIFS('03-ورودی‌های بازنگری'!$A$8:$A$1007,K75)=1,IFERROR(INDEX('03-ورودی‌های بازنگری'!$D$8:$D$1007,MATCH(K75,'03-ورودی‌های بازنگری'!$A$8:$A$1007,0)),"")=B75,IFERROR(INDEX('03-ورودی‌های بازنگری'!$R$8:$R$1007,MATCH(K75,'03-ورودی‌های بازنگری'!$A$8:$A$1007,0)),"")="معتبر"),IF(J75="تصمیم",AND(COUNTIFS('07-تصمیمات و مصوبات'!$A$8:$A$1007,K75)=1,IFERROR(INDEX('07-تصمیمات و مصوبات'!$B$8:$B$1007,MATCH(K75,'07-تصمیمات و مصوبات'!$A$8:$A$1007,0)),"")=B75,IFERROR(INDEX('07-تصمیمات و مصوبات'!$Z$8:$Z$1007,MATCH(K75,'07-تصمیمات و مصوبات'!$A$8:$A$1007,0)),"")="معتبر",COUNTIFS('15-روابط'!$B$8:$B$1007,K75,'15-روابط'!$C$8:$C$1007,"الزام",'15-روابط'!$D$8:$D$1007,F75,'15-روابط'!$E$8:$E$1007,"رابطه معتبر")&gt;0),IF(J75="نتیجه",AND(COUNTIFS('06-نتایج بازنگری'!$A$8:$A$1007,K75)=1,IFERROR(INDEX('06-نتایج بازنگری'!$D$8:$D$1007,MATCH(K75,'06-نتایج بازنگری'!$A$8:$A$1007,0)),"")=B75,IFERROR(INDEX('06-نتایج بازنگری'!$P$8:$P$1007,MATCH(K75,'06-نتایج بازنگری'!$A$8:$A$1007,0)),"")="معتبر",IFERROR(INDEX('06-نتایج بازنگری'!$F$8:$F$1007,MATCH(K75,'06-نتایج بازنگری'!$A$8:$A$1007,0)),"")=G75),IF(J75="ابلاغ",AND(COUNTIFS('20-ابلاغ نتایج'!$A$8:$A$1007,K75)=1,IFERROR(INDEX('20-ابلاغ نتایج'!$E$8:$E$1007,MATCH(K75,'20-ابلاغ نتایج'!$A$8:$A$1007,0)),"")=B75,IFERROR(INDEX('20-ابلاغ نتایج'!$L$8:$L$1007,MATCH(K75,'20-ابلاغ نتایج'!$A$8:$A$1007,0)),"")="معتبر"),FALSE))))),"سابقه یا شواهد ناقص",IF(IFERROR(INDEX('18-دامنه استانداردها'!$J$8:$J$1007,MATCH(C75&amp;"|"&amp;G75,'18-دامنه استانداردها'!$A$8:$A$1007,0)),"")="تأیید شده","شواهد مرتبط ثبت شد؛ تأیید ممیز لازم",IF(IFERROR(INDEX('18-دامنه استانداردها'!$J$8:$J$1007,MATCH(C75&amp;"|"&amp;G75,'18-دامنه استانداردها'!$A$8:$A$1007,0)),"")="فرضی","پوشش فرضی؛ آموزشی","شواهد حاضر؛ تطبیق نسخه باز"))))))))</f>
        <v>بررسی نشده؛ سابقه لازم</v>
      </c>
      <c r="O75" s="1" t="s">
        <v>1215</v>
      </c>
    </row>
    <row r="76" spans="1:15" ht="36" customHeight="1">
      <c r="A76" s="1" t="s">
        <v>1284</v>
      </c>
      <c r="B76" s="1" t="s">
        <v>83</v>
      </c>
      <c r="C76" s="1" t="s">
        <v>77</v>
      </c>
      <c r="D76" s="1" t="s">
        <v>80</v>
      </c>
      <c r="E76" s="1" t="s">
        <v>379</v>
      </c>
      <c r="F76" s="1" t="s">
        <v>291</v>
      </c>
      <c r="G76" s="3" t="str">
        <f>IF(A76="","",IFERROR(INDEX('02-ماتریس الزامات'!$B$8:$B$1007,MATCH(F76,'02-ماتریس الزامات'!$A$8:$A$1007,0)),""))</f>
        <v>EMS</v>
      </c>
      <c r="H76" s="3" t="str">
        <f>IF(A76="","",IFERROR(INDEX('02-ماتریس الزامات'!$D$8:$D$1007,MATCH(F76,'02-ماتریس الزامات'!$A$8:$A$1007,0)),""))</f>
        <v>9.3؛ شماره جزء تابع ویرایش</v>
      </c>
      <c r="I76" s="3" t="str">
        <f>IF(A76="","",IFERROR(INDEX('02-ماتریس الزامات'!$F$8:$F$1007,MATCH(F76,'02-ماتریس الزامات'!$A$8:$A$1007,0)),""))</f>
        <v>تغییرات تعهدات قانونی و سایر الزامات</v>
      </c>
      <c r="J76" s="1" t="s">
        <v>174</v>
      </c>
      <c r="K76" s="1" t="s">
        <v>508</v>
      </c>
      <c r="L76" s="1"/>
      <c r="M76" s="1"/>
      <c r="N76" s="3" t="str">
        <f>IF(A76="","",IF(NOT(AND(COUNTIFS('13-کنترل انطباق'!$A$8:$A$1007,A76)=1,AND(COUNTIFS('17-جلسات و دوره‌ها'!$A$8:$A$1007,B76)=1,IFERROR(INDEX('17-جلسات و دوره‌ها'!$B$8:$B$1007,MATCH(B76,'17-جلسات و دوره‌ها'!$A$8:$A$1007,0)),"")=C76,IFERROR(INDEX('17-جلسات و دوره‌ها'!$C$8:$C$1007,MATCH(B76,'17-جلسات و دوره‌ها'!$A$8:$A$1007,0)),"")=D76),COUNTIFS('02-ماتریس الزامات'!$A$8:$A$1007,F76)=1,COUNTIFS('18-دامنه استانداردها'!$A$8:$A$1007,C76&amp;"|"&amp;G76)=1)),"شناسه یا دامنه نامعتبر",IF(IFERROR(INDEX('18-دامنه استانداردها'!$D$8:$D$1007,MATCH(C76&amp;"|"&amp;G76,'18-دامنه استانداردها'!$A$8:$A$1007,0)),"")="خیر",IF(AND(L76&lt;&gt;"",M76&lt;&gt;"",IFERROR(INDEX('18-دامنه استانداردها'!$H$8:$H$1007,MATCH(C76&amp;"|"&amp;G76,'18-دامنه استانداردها'!$A$8:$A$1007,0)),"")&lt;&gt;"",IFERROR(INDEX('18-دامنه استانداردها'!$I$8:$I$1007,MATCH(C76&amp;"|"&amp;G76,'18-دامنه استانداردها'!$A$8:$A$1007,0)),"")&lt;&gt;""),"عدم کاربرد مستند","عدم کاربرد بدون توجیه"),IF(IFERROR(INDEX('18-دامنه استانداردها'!$D$8:$D$1007,MATCH(C76&amp;"|"&amp;G76,'18-دامنه استانداردها'!$A$8:$A$1007,0)),"")&lt;&gt;"بله","دامنه نامشخص",IF(K76="","بررسی نشده؛ سابقه لازم",IF(NOT(IF(J76="ورودی",AND(COUNTIFS('03-ورودی‌های بازنگری'!$A$8:$A$1007,K76)=1,IFERROR(INDEX('03-ورودی‌های بازنگری'!$D$8:$D$1007,MATCH(K76,'03-ورودی‌های بازنگری'!$A$8:$A$1007,0)),"")=B76,IFERROR(INDEX('03-ورودی‌های بازنگری'!$R$8:$R$1007,MATCH(K76,'03-ورودی‌های بازنگری'!$A$8:$A$1007,0)),"")="معتبر"),IF(J76="تصمیم",AND(COUNTIFS('07-تصمیمات و مصوبات'!$A$8:$A$1007,K76)=1,IFERROR(INDEX('07-تصمیمات و مصوبات'!$B$8:$B$1007,MATCH(K76,'07-تصمیمات و مصوبات'!$A$8:$A$1007,0)),"")=B76,IFERROR(INDEX('07-تصمیمات و مصوبات'!$Z$8:$Z$1007,MATCH(K76,'07-تصمیمات و مصوبات'!$A$8:$A$1007,0)),"")="معتبر",COUNTIFS('15-روابط'!$B$8:$B$1007,K76,'15-روابط'!$C$8:$C$1007,"الزام",'15-روابط'!$D$8:$D$1007,F76,'15-روابط'!$E$8:$E$1007,"رابطه معتبر")&gt;0),IF(J76="نتیجه",AND(COUNTIFS('06-نتایج بازنگری'!$A$8:$A$1007,K76)=1,IFERROR(INDEX('06-نتایج بازنگری'!$D$8:$D$1007,MATCH(K76,'06-نتایج بازنگری'!$A$8:$A$1007,0)),"")=B76,IFERROR(INDEX('06-نتایج بازنگری'!$P$8:$P$1007,MATCH(K76,'06-نتایج بازنگری'!$A$8:$A$1007,0)),"")="معتبر",IFERROR(INDEX('06-نتایج بازنگری'!$F$8:$F$1007,MATCH(K76,'06-نتایج بازنگری'!$A$8:$A$1007,0)),"")=G76),IF(J76="ابلاغ",AND(COUNTIFS('20-ابلاغ نتایج'!$A$8:$A$1007,K76)=1,IFERROR(INDEX('20-ابلاغ نتایج'!$E$8:$E$1007,MATCH(K76,'20-ابلاغ نتایج'!$A$8:$A$1007,0)),"")=B76,IFERROR(INDEX('20-ابلاغ نتایج'!$L$8:$L$1007,MATCH(K76,'20-ابلاغ نتایج'!$A$8:$A$1007,0)),"")="معتبر"),FALSE))))),"سابقه یا شواهد ناقص",IF(IFERROR(INDEX('18-دامنه استانداردها'!$J$8:$J$1007,MATCH(C76&amp;"|"&amp;G76,'18-دامنه استانداردها'!$A$8:$A$1007,0)),"")="تأیید شده","شواهد مرتبط ثبت شد؛ تأیید ممیز لازم",IF(IFERROR(INDEX('18-دامنه استانداردها'!$J$8:$J$1007,MATCH(C76&amp;"|"&amp;G76,'18-دامنه استانداردها'!$A$8:$A$1007,0)),"")="فرضی","پوشش فرضی؛ آموزشی","شواهد حاضر؛ تطبیق نسخه باز"))))))))</f>
        <v>سابقه یا شواهد ناقص</v>
      </c>
      <c r="O76" s="1" t="s">
        <v>1215</v>
      </c>
    </row>
    <row r="77" spans="1:15" ht="36" customHeight="1">
      <c r="A77" s="1" t="s">
        <v>1285</v>
      </c>
      <c r="B77" s="1" t="s">
        <v>530</v>
      </c>
      <c r="C77" s="1" t="s">
        <v>99</v>
      </c>
      <c r="D77" s="1" t="s">
        <v>529</v>
      </c>
      <c r="E77" s="1" t="s">
        <v>531</v>
      </c>
      <c r="F77" s="1" t="s">
        <v>291</v>
      </c>
      <c r="G77" s="3" t="str">
        <f>IF(A77="","",IFERROR(INDEX('02-ماتریس الزامات'!$B$8:$B$1007,MATCH(F77,'02-ماتریس الزامات'!$A$8:$A$1007,0)),""))</f>
        <v>EMS</v>
      </c>
      <c r="H77" s="3" t="str">
        <f>IF(A77="","",IFERROR(INDEX('02-ماتریس الزامات'!$D$8:$D$1007,MATCH(F77,'02-ماتریس الزامات'!$A$8:$A$1007,0)),""))</f>
        <v>9.3؛ شماره جزء تابع ویرایش</v>
      </c>
      <c r="I77" s="3" t="str">
        <f>IF(A77="","",IFERROR(INDEX('02-ماتریس الزامات'!$F$8:$F$1007,MATCH(F77,'02-ماتریس الزامات'!$A$8:$A$1007,0)),""))</f>
        <v>تغییرات تعهدات قانونی و سایر الزامات</v>
      </c>
      <c r="J77" s="1" t="s">
        <v>174</v>
      </c>
      <c r="K77" s="1"/>
      <c r="L77" s="1"/>
      <c r="M77" s="1"/>
      <c r="N77" s="3" t="str">
        <f>IF(A77="","",IF(NOT(AND(COUNTIFS('13-کنترل انطباق'!$A$8:$A$1007,A77)=1,AND(COUNTIFS('17-جلسات و دوره‌ها'!$A$8:$A$1007,B77)=1,IFERROR(INDEX('17-جلسات و دوره‌ها'!$B$8:$B$1007,MATCH(B77,'17-جلسات و دوره‌ها'!$A$8:$A$1007,0)),"")=C77,IFERROR(INDEX('17-جلسات و دوره‌ها'!$C$8:$C$1007,MATCH(B77,'17-جلسات و دوره‌ها'!$A$8:$A$1007,0)),"")=D77),COUNTIFS('02-ماتریس الزامات'!$A$8:$A$1007,F77)=1,COUNTIFS('18-دامنه استانداردها'!$A$8:$A$1007,C77&amp;"|"&amp;G77)=1)),"شناسه یا دامنه نامعتبر",IF(IFERROR(INDEX('18-دامنه استانداردها'!$D$8:$D$1007,MATCH(C77&amp;"|"&amp;G77,'18-دامنه استانداردها'!$A$8:$A$1007,0)),"")="خیر",IF(AND(L77&lt;&gt;"",M77&lt;&gt;"",IFERROR(INDEX('18-دامنه استانداردها'!$H$8:$H$1007,MATCH(C77&amp;"|"&amp;G77,'18-دامنه استانداردها'!$A$8:$A$1007,0)),"")&lt;&gt;"",IFERROR(INDEX('18-دامنه استانداردها'!$I$8:$I$1007,MATCH(C77&amp;"|"&amp;G77,'18-دامنه استانداردها'!$A$8:$A$1007,0)),"")&lt;&gt;""),"عدم کاربرد مستند","عدم کاربرد بدون توجیه"),IF(IFERROR(INDEX('18-دامنه استانداردها'!$D$8:$D$1007,MATCH(C77&amp;"|"&amp;G77,'18-دامنه استانداردها'!$A$8:$A$1007,0)),"")&lt;&gt;"بله","دامنه نامشخص",IF(K77="","بررسی نشده؛ سابقه لازم",IF(NOT(IF(J77="ورودی",AND(COUNTIFS('03-ورودی‌های بازنگری'!$A$8:$A$1007,K77)=1,IFERROR(INDEX('03-ورودی‌های بازنگری'!$D$8:$D$1007,MATCH(K77,'03-ورودی‌های بازنگری'!$A$8:$A$1007,0)),"")=B77,IFERROR(INDEX('03-ورودی‌های بازنگری'!$R$8:$R$1007,MATCH(K77,'03-ورودی‌های بازنگری'!$A$8:$A$1007,0)),"")="معتبر"),IF(J77="تصمیم",AND(COUNTIFS('07-تصمیمات و مصوبات'!$A$8:$A$1007,K77)=1,IFERROR(INDEX('07-تصمیمات و مصوبات'!$B$8:$B$1007,MATCH(K77,'07-تصمیمات و مصوبات'!$A$8:$A$1007,0)),"")=B77,IFERROR(INDEX('07-تصمیمات و مصوبات'!$Z$8:$Z$1007,MATCH(K77,'07-تصمیمات و مصوبات'!$A$8:$A$1007,0)),"")="معتبر",COUNTIFS('15-روابط'!$B$8:$B$1007,K77,'15-روابط'!$C$8:$C$1007,"الزام",'15-روابط'!$D$8:$D$1007,F77,'15-روابط'!$E$8:$E$1007,"رابطه معتبر")&gt;0),IF(J77="نتیجه",AND(COUNTIFS('06-نتایج بازنگری'!$A$8:$A$1007,K77)=1,IFERROR(INDEX('06-نتایج بازنگری'!$D$8:$D$1007,MATCH(K77,'06-نتایج بازنگری'!$A$8:$A$1007,0)),"")=B77,IFERROR(INDEX('06-نتایج بازنگری'!$P$8:$P$1007,MATCH(K77,'06-نتایج بازنگری'!$A$8:$A$1007,0)),"")="معتبر",IFERROR(INDEX('06-نتایج بازنگری'!$F$8:$F$1007,MATCH(K77,'06-نتایج بازنگری'!$A$8:$A$1007,0)),"")=G77),IF(J77="ابلاغ",AND(COUNTIFS('20-ابلاغ نتایج'!$A$8:$A$1007,K77)=1,IFERROR(INDEX('20-ابلاغ نتایج'!$E$8:$E$1007,MATCH(K77,'20-ابلاغ نتایج'!$A$8:$A$1007,0)),"")=B77,IFERROR(INDEX('20-ابلاغ نتایج'!$L$8:$L$1007,MATCH(K77,'20-ابلاغ نتایج'!$A$8:$A$1007,0)),"")="معتبر"),FALSE))))),"سابقه یا شواهد ناقص",IF(IFERROR(INDEX('18-دامنه استانداردها'!$J$8:$J$1007,MATCH(C77&amp;"|"&amp;G77,'18-دامنه استانداردها'!$A$8:$A$1007,0)),"")="تأیید شده","شواهد مرتبط ثبت شد؛ تأیید ممیز لازم",IF(IFERROR(INDEX('18-دامنه استانداردها'!$J$8:$J$1007,MATCH(C77&amp;"|"&amp;G77,'18-دامنه استانداردها'!$A$8:$A$1007,0)),"")="فرضی","پوشش فرضی؛ آموزشی","شواهد حاضر؛ تطبیق نسخه باز"))))))))</f>
        <v>بررسی نشده؛ سابقه لازم</v>
      </c>
      <c r="O77" s="1" t="s">
        <v>1215</v>
      </c>
    </row>
    <row r="78" spans="1:15" ht="36" customHeight="1">
      <c r="A78" s="1" t="s">
        <v>1286</v>
      </c>
      <c r="B78" s="1" t="s">
        <v>83</v>
      </c>
      <c r="C78" s="1" t="s">
        <v>77</v>
      </c>
      <c r="D78" s="1" t="s">
        <v>80</v>
      </c>
      <c r="E78" s="1" t="s">
        <v>379</v>
      </c>
      <c r="F78" s="1" t="s">
        <v>294</v>
      </c>
      <c r="G78" s="3" t="str">
        <f>IF(A78="","",IFERROR(INDEX('02-ماتریس الزامات'!$B$8:$B$1007,MATCH(F78,'02-ماتریس الزامات'!$A$8:$A$1007,0)),""))</f>
        <v>EMS</v>
      </c>
      <c r="H78" s="3" t="str">
        <f>IF(A78="","",IFERROR(INDEX('02-ماتریس الزامات'!$D$8:$D$1007,MATCH(F78,'02-ماتریس الزامات'!$A$8:$A$1007,0)),""))</f>
        <v>9.3؛ شماره جزء تابع ویرایش</v>
      </c>
      <c r="I78" s="3" t="str">
        <f>IF(A78="","",IFERROR(INDEX('02-ماتریس الزامات'!$F$8:$F$1007,MATCH(F78,'02-ماتریس الزامات'!$A$8:$A$1007,0)),""))</f>
        <v>تحقق اهداف و خط‌مشی</v>
      </c>
      <c r="J78" s="1" t="s">
        <v>174</v>
      </c>
      <c r="K78" s="1" t="s">
        <v>412</v>
      </c>
      <c r="L78" s="1"/>
      <c r="M78" s="1"/>
      <c r="N78" s="3" t="str">
        <f>IF(A78="","",IF(NOT(AND(COUNTIFS('13-کنترل انطباق'!$A$8:$A$1007,A78)=1,AND(COUNTIFS('17-جلسات و دوره‌ها'!$A$8:$A$1007,B78)=1,IFERROR(INDEX('17-جلسات و دوره‌ها'!$B$8:$B$1007,MATCH(B78,'17-جلسات و دوره‌ها'!$A$8:$A$1007,0)),"")=C78,IFERROR(INDEX('17-جلسات و دوره‌ها'!$C$8:$C$1007,MATCH(B78,'17-جلسات و دوره‌ها'!$A$8:$A$1007,0)),"")=D78),COUNTIFS('02-ماتریس الزامات'!$A$8:$A$1007,F78)=1,COUNTIFS('18-دامنه استانداردها'!$A$8:$A$1007,C78&amp;"|"&amp;G78)=1)),"شناسه یا دامنه نامعتبر",IF(IFERROR(INDEX('18-دامنه استانداردها'!$D$8:$D$1007,MATCH(C78&amp;"|"&amp;G78,'18-دامنه استانداردها'!$A$8:$A$1007,0)),"")="خیر",IF(AND(L78&lt;&gt;"",M78&lt;&gt;"",IFERROR(INDEX('18-دامنه استانداردها'!$H$8:$H$1007,MATCH(C78&amp;"|"&amp;G78,'18-دامنه استانداردها'!$A$8:$A$1007,0)),"")&lt;&gt;"",IFERROR(INDEX('18-دامنه استانداردها'!$I$8:$I$1007,MATCH(C78&amp;"|"&amp;G78,'18-دامنه استانداردها'!$A$8:$A$1007,0)),"")&lt;&gt;""),"عدم کاربرد مستند","عدم کاربرد بدون توجیه"),IF(IFERROR(INDEX('18-دامنه استانداردها'!$D$8:$D$1007,MATCH(C78&amp;"|"&amp;G78,'18-دامنه استانداردها'!$A$8:$A$1007,0)),"")&lt;&gt;"بله","دامنه نامشخص",IF(K78="","بررسی نشده؛ سابقه لازم",IF(NOT(IF(J78="ورودی",AND(COUNTIFS('03-ورودی‌های بازنگری'!$A$8:$A$1007,K78)=1,IFERROR(INDEX('03-ورودی‌های بازنگری'!$D$8:$D$1007,MATCH(K78,'03-ورودی‌های بازنگری'!$A$8:$A$1007,0)),"")=B78,IFERROR(INDEX('03-ورودی‌های بازنگری'!$R$8:$R$1007,MATCH(K78,'03-ورودی‌های بازنگری'!$A$8:$A$1007,0)),"")="معتبر"),IF(J78="تصمیم",AND(COUNTIFS('07-تصمیمات و مصوبات'!$A$8:$A$1007,K78)=1,IFERROR(INDEX('07-تصمیمات و مصوبات'!$B$8:$B$1007,MATCH(K78,'07-تصمیمات و مصوبات'!$A$8:$A$1007,0)),"")=B78,IFERROR(INDEX('07-تصمیمات و مصوبات'!$Z$8:$Z$1007,MATCH(K78,'07-تصمیمات و مصوبات'!$A$8:$A$1007,0)),"")="معتبر",COUNTIFS('15-روابط'!$B$8:$B$1007,K78,'15-روابط'!$C$8:$C$1007,"الزام",'15-روابط'!$D$8:$D$1007,F78,'15-روابط'!$E$8:$E$1007,"رابطه معتبر")&gt;0),IF(J78="نتیجه",AND(COUNTIFS('06-نتایج بازنگری'!$A$8:$A$1007,K78)=1,IFERROR(INDEX('06-نتایج بازنگری'!$D$8:$D$1007,MATCH(K78,'06-نتایج بازنگری'!$A$8:$A$1007,0)),"")=B78,IFERROR(INDEX('06-نتایج بازنگری'!$P$8:$P$1007,MATCH(K78,'06-نتایج بازنگری'!$A$8:$A$1007,0)),"")="معتبر",IFERROR(INDEX('06-نتایج بازنگری'!$F$8:$F$1007,MATCH(K78,'06-نتایج بازنگری'!$A$8:$A$1007,0)),"")=G78),IF(J78="ابلاغ",AND(COUNTIFS('20-ابلاغ نتایج'!$A$8:$A$1007,K78)=1,IFERROR(INDEX('20-ابلاغ نتایج'!$E$8:$E$1007,MATCH(K78,'20-ابلاغ نتایج'!$A$8:$A$1007,0)),"")=B78,IFERROR(INDEX('20-ابلاغ نتایج'!$L$8:$L$1007,MATCH(K78,'20-ابلاغ نتایج'!$A$8:$A$1007,0)),"")="معتبر"),FALSE))))),"سابقه یا شواهد ناقص",IF(IFERROR(INDEX('18-دامنه استانداردها'!$J$8:$J$1007,MATCH(C78&amp;"|"&amp;G78,'18-دامنه استانداردها'!$A$8:$A$1007,0)),"")="تأیید شده","شواهد مرتبط ثبت شد؛ تأیید ممیز لازم",IF(IFERROR(INDEX('18-دامنه استانداردها'!$J$8:$J$1007,MATCH(C78&amp;"|"&amp;G78,'18-دامنه استانداردها'!$A$8:$A$1007,0)),"")="فرضی","پوشش فرضی؛ آموزشی","شواهد حاضر؛ تطبیق نسخه باز"))))))))</f>
        <v>سابقه یا شواهد ناقص</v>
      </c>
      <c r="O78" s="1" t="s">
        <v>1215</v>
      </c>
    </row>
    <row r="79" spans="1:15" ht="36" customHeight="1">
      <c r="A79" s="1" t="s">
        <v>1287</v>
      </c>
      <c r="B79" s="1" t="s">
        <v>530</v>
      </c>
      <c r="C79" s="1" t="s">
        <v>99</v>
      </c>
      <c r="D79" s="1" t="s">
        <v>529</v>
      </c>
      <c r="E79" s="1" t="s">
        <v>531</v>
      </c>
      <c r="F79" s="1" t="s">
        <v>294</v>
      </c>
      <c r="G79" s="3" t="str">
        <f>IF(A79="","",IFERROR(INDEX('02-ماتریس الزامات'!$B$8:$B$1007,MATCH(F79,'02-ماتریس الزامات'!$A$8:$A$1007,0)),""))</f>
        <v>EMS</v>
      </c>
      <c r="H79" s="3" t="str">
        <f>IF(A79="","",IFERROR(INDEX('02-ماتریس الزامات'!$D$8:$D$1007,MATCH(F79,'02-ماتریس الزامات'!$A$8:$A$1007,0)),""))</f>
        <v>9.3؛ شماره جزء تابع ویرایش</v>
      </c>
      <c r="I79" s="3" t="str">
        <f>IF(A79="","",IFERROR(INDEX('02-ماتریس الزامات'!$F$8:$F$1007,MATCH(F79,'02-ماتریس الزامات'!$A$8:$A$1007,0)),""))</f>
        <v>تحقق اهداف و خط‌مشی</v>
      </c>
      <c r="J79" s="1" t="s">
        <v>174</v>
      </c>
      <c r="K79" s="1"/>
      <c r="L79" s="1"/>
      <c r="M79" s="1"/>
      <c r="N79" s="3" t="str">
        <f>IF(A79="","",IF(NOT(AND(COUNTIFS('13-کنترل انطباق'!$A$8:$A$1007,A79)=1,AND(COUNTIFS('17-جلسات و دوره‌ها'!$A$8:$A$1007,B79)=1,IFERROR(INDEX('17-جلسات و دوره‌ها'!$B$8:$B$1007,MATCH(B79,'17-جلسات و دوره‌ها'!$A$8:$A$1007,0)),"")=C79,IFERROR(INDEX('17-جلسات و دوره‌ها'!$C$8:$C$1007,MATCH(B79,'17-جلسات و دوره‌ها'!$A$8:$A$1007,0)),"")=D79),COUNTIFS('02-ماتریس الزامات'!$A$8:$A$1007,F79)=1,COUNTIFS('18-دامنه استانداردها'!$A$8:$A$1007,C79&amp;"|"&amp;G79)=1)),"شناسه یا دامنه نامعتبر",IF(IFERROR(INDEX('18-دامنه استانداردها'!$D$8:$D$1007,MATCH(C79&amp;"|"&amp;G79,'18-دامنه استانداردها'!$A$8:$A$1007,0)),"")="خیر",IF(AND(L79&lt;&gt;"",M79&lt;&gt;"",IFERROR(INDEX('18-دامنه استانداردها'!$H$8:$H$1007,MATCH(C79&amp;"|"&amp;G79,'18-دامنه استانداردها'!$A$8:$A$1007,0)),"")&lt;&gt;"",IFERROR(INDEX('18-دامنه استانداردها'!$I$8:$I$1007,MATCH(C79&amp;"|"&amp;G79,'18-دامنه استانداردها'!$A$8:$A$1007,0)),"")&lt;&gt;""),"عدم کاربرد مستند","عدم کاربرد بدون توجیه"),IF(IFERROR(INDEX('18-دامنه استانداردها'!$D$8:$D$1007,MATCH(C79&amp;"|"&amp;G79,'18-دامنه استانداردها'!$A$8:$A$1007,0)),"")&lt;&gt;"بله","دامنه نامشخص",IF(K79="","بررسی نشده؛ سابقه لازم",IF(NOT(IF(J79="ورودی",AND(COUNTIFS('03-ورودی‌های بازنگری'!$A$8:$A$1007,K79)=1,IFERROR(INDEX('03-ورودی‌های بازنگری'!$D$8:$D$1007,MATCH(K79,'03-ورودی‌های بازنگری'!$A$8:$A$1007,0)),"")=B79,IFERROR(INDEX('03-ورودی‌های بازنگری'!$R$8:$R$1007,MATCH(K79,'03-ورودی‌های بازنگری'!$A$8:$A$1007,0)),"")="معتبر"),IF(J79="تصمیم",AND(COUNTIFS('07-تصمیمات و مصوبات'!$A$8:$A$1007,K79)=1,IFERROR(INDEX('07-تصمیمات و مصوبات'!$B$8:$B$1007,MATCH(K79,'07-تصمیمات و مصوبات'!$A$8:$A$1007,0)),"")=B79,IFERROR(INDEX('07-تصمیمات و مصوبات'!$Z$8:$Z$1007,MATCH(K79,'07-تصمیمات و مصوبات'!$A$8:$A$1007,0)),"")="معتبر",COUNTIFS('15-روابط'!$B$8:$B$1007,K79,'15-روابط'!$C$8:$C$1007,"الزام",'15-روابط'!$D$8:$D$1007,F79,'15-روابط'!$E$8:$E$1007,"رابطه معتبر")&gt;0),IF(J79="نتیجه",AND(COUNTIFS('06-نتایج بازنگری'!$A$8:$A$1007,K79)=1,IFERROR(INDEX('06-نتایج بازنگری'!$D$8:$D$1007,MATCH(K79,'06-نتایج بازنگری'!$A$8:$A$1007,0)),"")=B79,IFERROR(INDEX('06-نتایج بازنگری'!$P$8:$P$1007,MATCH(K79,'06-نتایج بازنگری'!$A$8:$A$1007,0)),"")="معتبر",IFERROR(INDEX('06-نتایج بازنگری'!$F$8:$F$1007,MATCH(K79,'06-نتایج بازنگری'!$A$8:$A$1007,0)),"")=G79),IF(J79="ابلاغ",AND(COUNTIFS('20-ابلاغ نتایج'!$A$8:$A$1007,K79)=1,IFERROR(INDEX('20-ابلاغ نتایج'!$E$8:$E$1007,MATCH(K79,'20-ابلاغ نتایج'!$A$8:$A$1007,0)),"")=B79,IFERROR(INDEX('20-ابلاغ نتایج'!$L$8:$L$1007,MATCH(K79,'20-ابلاغ نتایج'!$A$8:$A$1007,0)),"")="معتبر"),FALSE))))),"سابقه یا شواهد ناقص",IF(IFERROR(INDEX('18-دامنه استانداردها'!$J$8:$J$1007,MATCH(C79&amp;"|"&amp;G79,'18-دامنه استانداردها'!$A$8:$A$1007,0)),"")="تأیید شده","شواهد مرتبط ثبت شد؛ تأیید ممیز لازم",IF(IFERROR(INDEX('18-دامنه استانداردها'!$J$8:$J$1007,MATCH(C79&amp;"|"&amp;G79,'18-دامنه استانداردها'!$A$8:$A$1007,0)),"")="فرضی","پوشش فرضی؛ آموزشی","شواهد حاضر؛ تطبیق نسخه باز"))))))))</f>
        <v>بررسی نشده؛ سابقه لازم</v>
      </c>
      <c r="O79" s="1" t="s">
        <v>1215</v>
      </c>
    </row>
    <row r="80" spans="1:15" ht="36" customHeight="1">
      <c r="A80" s="1" t="s">
        <v>1288</v>
      </c>
      <c r="B80" s="1" t="s">
        <v>83</v>
      </c>
      <c r="C80" s="1" t="s">
        <v>77</v>
      </c>
      <c r="D80" s="1" t="s">
        <v>80</v>
      </c>
      <c r="E80" s="1" t="s">
        <v>379</v>
      </c>
      <c r="F80" s="1" t="s">
        <v>296</v>
      </c>
      <c r="G80" s="3" t="str">
        <f>IF(A80="","",IFERROR(INDEX('02-ماتریس الزامات'!$B$8:$B$1007,MATCH(F80,'02-ماتریس الزامات'!$A$8:$A$1007,0)),""))</f>
        <v>EMS</v>
      </c>
      <c r="H80" s="3" t="str">
        <f>IF(A80="","",IFERROR(INDEX('02-ماتریس الزامات'!$D$8:$D$1007,MATCH(F80,'02-ماتریس الزامات'!$A$8:$A$1007,0)),""))</f>
        <v>9.3؛ شماره جزء تابع ویرایش</v>
      </c>
      <c r="I80" s="3" t="str">
        <f>IF(A80="","",IFERROR(INDEX('02-ماتریس الزامات'!$F$8:$F$1007,MATCH(F80,'02-ماتریس الزامات'!$A$8:$A$1007,0)),""))</f>
        <v>روند عملکرد، عدم‌انطباق و اقدام اصلاحی</v>
      </c>
      <c r="J80" s="1" t="s">
        <v>174</v>
      </c>
      <c r="K80" s="1" t="s">
        <v>427</v>
      </c>
      <c r="L80" s="1"/>
      <c r="M80" s="1"/>
      <c r="N80" s="3" t="str">
        <f>IF(A80="","",IF(NOT(AND(COUNTIFS('13-کنترل انطباق'!$A$8:$A$1007,A80)=1,AND(COUNTIFS('17-جلسات و دوره‌ها'!$A$8:$A$1007,B80)=1,IFERROR(INDEX('17-جلسات و دوره‌ها'!$B$8:$B$1007,MATCH(B80,'17-جلسات و دوره‌ها'!$A$8:$A$1007,0)),"")=C80,IFERROR(INDEX('17-جلسات و دوره‌ها'!$C$8:$C$1007,MATCH(B80,'17-جلسات و دوره‌ها'!$A$8:$A$1007,0)),"")=D80),COUNTIFS('02-ماتریس الزامات'!$A$8:$A$1007,F80)=1,COUNTIFS('18-دامنه استانداردها'!$A$8:$A$1007,C80&amp;"|"&amp;G80)=1)),"شناسه یا دامنه نامعتبر",IF(IFERROR(INDEX('18-دامنه استانداردها'!$D$8:$D$1007,MATCH(C80&amp;"|"&amp;G80,'18-دامنه استانداردها'!$A$8:$A$1007,0)),"")="خیر",IF(AND(L80&lt;&gt;"",M80&lt;&gt;"",IFERROR(INDEX('18-دامنه استانداردها'!$H$8:$H$1007,MATCH(C80&amp;"|"&amp;G80,'18-دامنه استانداردها'!$A$8:$A$1007,0)),"")&lt;&gt;"",IFERROR(INDEX('18-دامنه استانداردها'!$I$8:$I$1007,MATCH(C80&amp;"|"&amp;G80,'18-دامنه استانداردها'!$A$8:$A$1007,0)),"")&lt;&gt;""),"عدم کاربرد مستند","عدم کاربرد بدون توجیه"),IF(IFERROR(INDEX('18-دامنه استانداردها'!$D$8:$D$1007,MATCH(C80&amp;"|"&amp;G80,'18-دامنه استانداردها'!$A$8:$A$1007,0)),"")&lt;&gt;"بله","دامنه نامشخص",IF(K80="","بررسی نشده؛ سابقه لازم",IF(NOT(IF(J80="ورودی",AND(COUNTIFS('03-ورودی‌های بازنگری'!$A$8:$A$1007,K80)=1,IFERROR(INDEX('03-ورودی‌های بازنگری'!$D$8:$D$1007,MATCH(K80,'03-ورودی‌های بازنگری'!$A$8:$A$1007,0)),"")=B80,IFERROR(INDEX('03-ورودی‌های بازنگری'!$R$8:$R$1007,MATCH(K80,'03-ورودی‌های بازنگری'!$A$8:$A$1007,0)),"")="معتبر"),IF(J80="تصمیم",AND(COUNTIFS('07-تصمیمات و مصوبات'!$A$8:$A$1007,K80)=1,IFERROR(INDEX('07-تصمیمات و مصوبات'!$B$8:$B$1007,MATCH(K80,'07-تصمیمات و مصوبات'!$A$8:$A$1007,0)),"")=B80,IFERROR(INDEX('07-تصمیمات و مصوبات'!$Z$8:$Z$1007,MATCH(K80,'07-تصمیمات و مصوبات'!$A$8:$A$1007,0)),"")="معتبر",COUNTIFS('15-روابط'!$B$8:$B$1007,K80,'15-روابط'!$C$8:$C$1007,"الزام",'15-روابط'!$D$8:$D$1007,F80,'15-روابط'!$E$8:$E$1007,"رابطه معتبر")&gt;0),IF(J80="نتیجه",AND(COUNTIFS('06-نتایج بازنگری'!$A$8:$A$1007,K80)=1,IFERROR(INDEX('06-نتایج بازنگری'!$D$8:$D$1007,MATCH(K80,'06-نتایج بازنگری'!$A$8:$A$1007,0)),"")=B80,IFERROR(INDEX('06-نتایج بازنگری'!$P$8:$P$1007,MATCH(K80,'06-نتایج بازنگری'!$A$8:$A$1007,0)),"")="معتبر",IFERROR(INDEX('06-نتایج بازنگری'!$F$8:$F$1007,MATCH(K80,'06-نتایج بازنگری'!$A$8:$A$1007,0)),"")=G80),IF(J80="ابلاغ",AND(COUNTIFS('20-ابلاغ نتایج'!$A$8:$A$1007,K80)=1,IFERROR(INDEX('20-ابلاغ نتایج'!$E$8:$E$1007,MATCH(K80,'20-ابلاغ نتایج'!$A$8:$A$1007,0)),"")=B80,IFERROR(INDEX('20-ابلاغ نتایج'!$L$8:$L$1007,MATCH(K80,'20-ابلاغ نتایج'!$A$8:$A$1007,0)),"")="معتبر"),FALSE))))),"سابقه یا شواهد ناقص",IF(IFERROR(INDEX('18-دامنه استانداردها'!$J$8:$J$1007,MATCH(C80&amp;"|"&amp;G80,'18-دامنه استانداردها'!$A$8:$A$1007,0)),"")="تأیید شده","شواهد مرتبط ثبت شد؛ تأیید ممیز لازم",IF(IFERROR(INDEX('18-دامنه استانداردها'!$J$8:$J$1007,MATCH(C80&amp;"|"&amp;G80,'18-دامنه استانداردها'!$A$8:$A$1007,0)),"")="فرضی","پوشش فرضی؛ آموزشی","شواهد حاضر؛ تطبیق نسخه باز"))))))))</f>
        <v>سابقه یا شواهد ناقص</v>
      </c>
      <c r="O80" s="1" t="s">
        <v>1215</v>
      </c>
    </row>
    <row r="81" spans="1:15" ht="36" customHeight="1">
      <c r="A81" s="1" t="s">
        <v>1289</v>
      </c>
      <c r="B81" s="1" t="s">
        <v>530</v>
      </c>
      <c r="C81" s="1" t="s">
        <v>99</v>
      </c>
      <c r="D81" s="1" t="s">
        <v>529</v>
      </c>
      <c r="E81" s="1" t="s">
        <v>531</v>
      </c>
      <c r="F81" s="1" t="s">
        <v>296</v>
      </c>
      <c r="G81" s="3" t="str">
        <f>IF(A81="","",IFERROR(INDEX('02-ماتریس الزامات'!$B$8:$B$1007,MATCH(F81,'02-ماتریس الزامات'!$A$8:$A$1007,0)),""))</f>
        <v>EMS</v>
      </c>
      <c r="H81" s="3" t="str">
        <f>IF(A81="","",IFERROR(INDEX('02-ماتریس الزامات'!$D$8:$D$1007,MATCH(F81,'02-ماتریس الزامات'!$A$8:$A$1007,0)),""))</f>
        <v>9.3؛ شماره جزء تابع ویرایش</v>
      </c>
      <c r="I81" s="3" t="str">
        <f>IF(A81="","",IFERROR(INDEX('02-ماتریس الزامات'!$F$8:$F$1007,MATCH(F81,'02-ماتریس الزامات'!$A$8:$A$1007,0)),""))</f>
        <v>روند عملکرد، عدم‌انطباق و اقدام اصلاحی</v>
      </c>
      <c r="J81" s="1" t="s">
        <v>174</v>
      </c>
      <c r="K81" s="1"/>
      <c r="L81" s="1"/>
      <c r="M81" s="1"/>
      <c r="N81" s="3" t="str">
        <f>IF(A81="","",IF(NOT(AND(COUNTIFS('13-کنترل انطباق'!$A$8:$A$1007,A81)=1,AND(COUNTIFS('17-جلسات و دوره‌ها'!$A$8:$A$1007,B81)=1,IFERROR(INDEX('17-جلسات و دوره‌ها'!$B$8:$B$1007,MATCH(B81,'17-جلسات و دوره‌ها'!$A$8:$A$1007,0)),"")=C81,IFERROR(INDEX('17-جلسات و دوره‌ها'!$C$8:$C$1007,MATCH(B81,'17-جلسات و دوره‌ها'!$A$8:$A$1007,0)),"")=D81),COUNTIFS('02-ماتریس الزامات'!$A$8:$A$1007,F81)=1,COUNTIFS('18-دامنه استانداردها'!$A$8:$A$1007,C81&amp;"|"&amp;G81)=1)),"شناسه یا دامنه نامعتبر",IF(IFERROR(INDEX('18-دامنه استانداردها'!$D$8:$D$1007,MATCH(C81&amp;"|"&amp;G81,'18-دامنه استانداردها'!$A$8:$A$1007,0)),"")="خیر",IF(AND(L81&lt;&gt;"",M81&lt;&gt;"",IFERROR(INDEX('18-دامنه استانداردها'!$H$8:$H$1007,MATCH(C81&amp;"|"&amp;G81,'18-دامنه استانداردها'!$A$8:$A$1007,0)),"")&lt;&gt;"",IFERROR(INDEX('18-دامنه استانداردها'!$I$8:$I$1007,MATCH(C81&amp;"|"&amp;G81,'18-دامنه استانداردها'!$A$8:$A$1007,0)),"")&lt;&gt;""),"عدم کاربرد مستند","عدم کاربرد بدون توجیه"),IF(IFERROR(INDEX('18-دامنه استانداردها'!$D$8:$D$1007,MATCH(C81&amp;"|"&amp;G81,'18-دامنه استانداردها'!$A$8:$A$1007,0)),"")&lt;&gt;"بله","دامنه نامشخص",IF(K81="","بررسی نشده؛ سابقه لازم",IF(NOT(IF(J81="ورودی",AND(COUNTIFS('03-ورودی‌های بازنگری'!$A$8:$A$1007,K81)=1,IFERROR(INDEX('03-ورودی‌های بازنگری'!$D$8:$D$1007,MATCH(K81,'03-ورودی‌های بازنگری'!$A$8:$A$1007,0)),"")=B81,IFERROR(INDEX('03-ورودی‌های بازنگری'!$R$8:$R$1007,MATCH(K81,'03-ورودی‌های بازنگری'!$A$8:$A$1007,0)),"")="معتبر"),IF(J81="تصمیم",AND(COUNTIFS('07-تصمیمات و مصوبات'!$A$8:$A$1007,K81)=1,IFERROR(INDEX('07-تصمیمات و مصوبات'!$B$8:$B$1007,MATCH(K81,'07-تصمیمات و مصوبات'!$A$8:$A$1007,0)),"")=B81,IFERROR(INDEX('07-تصمیمات و مصوبات'!$Z$8:$Z$1007,MATCH(K81,'07-تصمیمات و مصوبات'!$A$8:$A$1007,0)),"")="معتبر",COUNTIFS('15-روابط'!$B$8:$B$1007,K81,'15-روابط'!$C$8:$C$1007,"الزام",'15-روابط'!$D$8:$D$1007,F81,'15-روابط'!$E$8:$E$1007,"رابطه معتبر")&gt;0),IF(J81="نتیجه",AND(COUNTIFS('06-نتایج بازنگری'!$A$8:$A$1007,K81)=1,IFERROR(INDEX('06-نتایج بازنگری'!$D$8:$D$1007,MATCH(K81,'06-نتایج بازنگری'!$A$8:$A$1007,0)),"")=B81,IFERROR(INDEX('06-نتایج بازنگری'!$P$8:$P$1007,MATCH(K81,'06-نتایج بازنگری'!$A$8:$A$1007,0)),"")="معتبر",IFERROR(INDEX('06-نتایج بازنگری'!$F$8:$F$1007,MATCH(K81,'06-نتایج بازنگری'!$A$8:$A$1007,0)),"")=G81),IF(J81="ابلاغ",AND(COUNTIFS('20-ابلاغ نتایج'!$A$8:$A$1007,K81)=1,IFERROR(INDEX('20-ابلاغ نتایج'!$E$8:$E$1007,MATCH(K81,'20-ابلاغ نتایج'!$A$8:$A$1007,0)),"")=B81,IFERROR(INDEX('20-ابلاغ نتایج'!$L$8:$L$1007,MATCH(K81,'20-ابلاغ نتایج'!$A$8:$A$1007,0)),"")="معتبر"),FALSE))))),"سابقه یا شواهد ناقص",IF(IFERROR(INDEX('18-دامنه استانداردها'!$J$8:$J$1007,MATCH(C81&amp;"|"&amp;G81,'18-دامنه استانداردها'!$A$8:$A$1007,0)),"")="تأیید شده","شواهد مرتبط ثبت شد؛ تأیید ممیز لازم",IF(IFERROR(INDEX('18-دامنه استانداردها'!$J$8:$J$1007,MATCH(C81&amp;"|"&amp;G81,'18-دامنه استانداردها'!$A$8:$A$1007,0)),"")="فرضی","پوشش فرضی؛ آموزشی","شواهد حاضر؛ تطبیق نسخه باز"))))))))</f>
        <v>بررسی نشده؛ سابقه لازم</v>
      </c>
      <c r="O81" s="1" t="s">
        <v>1215</v>
      </c>
    </row>
    <row r="82" spans="1:15" ht="36" customHeight="1">
      <c r="A82" s="1" t="s">
        <v>1290</v>
      </c>
      <c r="B82" s="1" t="s">
        <v>83</v>
      </c>
      <c r="C82" s="1" t="s">
        <v>77</v>
      </c>
      <c r="D82" s="1" t="s">
        <v>80</v>
      </c>
      <c r="E82" s="1" t="s">
        <v>379</v>
      </c>
      <c r="F82" s="1" t="s">
        <v>298</v>
      </c>
      <c r="G82" s="3" t="str">
        <f>IF(A82="","",IFERROR(INDEX('02-ماتریس الزامات'!$B$8:$B$1007,MATCH(F82,'02-ماتریس الزامات'!$A$8:$A$1007,0)),""))</f>
        <v>EMS</v>
      </c>
      <c r="H82" s="3" t="str">
        <f>IF(A82="","",IFERROR(INDEX('02-ماتریس الزامات'!$D$8:$D$1007,MATCH(F82,'02-ماتریس الزامات'!$A$8:$A$1007,0)),""))</f>
        <v>9.3؛ شماره جزء تابع ویرایش</v>
      </c>
      <c r="I82" s="3" t="str">
        <f>IF(A82="","",IFERROR(INDEX('02-ماتریس الزامات'!$F$8:$F$1007,MATCH(F82,'02-ماتریس الزامات'!$A$8:$A$1007,0)),""))</f>
        <v>پایش و ارزیابی انطباق</v>
      </c>
      <c r="J82" s="1" t="s">
        <v>174</v>
      </c>
      <c r="K82" s="1" t="s">
        <v>503</v>
      </c>
      <c r="L82" s="1"/>
      <c r="M82" s="1"/>
      <c r="N82" s="3" t="str">
        <f>IF(A82="","",IF(NOT(AND(COUNTIFS('13-کنترل انطباق'!$A$8:$A$1007,A82)=1,AND(COUNTIFS('17-جلسات و دوره‌ها'!$A$8:$A$1007,B82)=1,IFERROR(INDEX('17-جلسات و دوره‌ها'!$B$8:$B$1007,MATCH(B82,'17-جلسات و دوره‌ها'!$A$8:$A$1007,0)),"")=C82,IFERROR(INDEX('17-جلسات و دوره‌ها'!$C$8:$C$1007,MATCH(B82,'17-جلسات و دوره‌ها'!$A$8:$A$1007,0)),"")=D82),COUNTIFS('02-ماتریس الزامات'!$A$8:$A$1007,F82)=1,COUNTIFS('18-دامنه استانداردها'!$A$8:$A$1007,C82&amp;"|"&amp;G82)=1)),"شناسه یا دامنه نامعتبر",IF(IFERROR(INDEX('18-دامنه استانداردها'!$D$8:$D$1007,MATCH(C82&amp;"|"&amp;G82,'18-دامنه استانداردها'!$A$8:$A$1007,0)),"")="خیر",IF(AND(L82&lt;&gt;"",M82&lt;&gt;"",IFERROR(INDEX('18-دامنه استانداردها'!$H$8:$H$1007,MATCH(C82&amp;"|"&amp;G82,'18-دامنه استانداردها'!$A$8:$A$1007,0)),"")&lt;&gt;"",IFERROR(INDEX('18-دامنه استانداردها'!$I$8:$I$1007,MATCH(C82&amp;"|"&amp;G82,'18-دامنه استانداردها'!$A$8:$A$1007,0)),"")&lt;&gt;""),"عدم کاربرد مستند","عدم کاربرد بدون توجیه"),IF(IFERROR(INDEX('18-دامنه استانداردها'!$D$8:$D$1007,MATCH(C82&amp;"|"&amp;G82,'18-دامنه استانداردها'!$A$8:$A$1007,0)),"")&lt;&gt;"بله","دامنه نامشخص",IF(K82="","بررسی نشده؛ سابقه لازم",IF(NOT(IF(J82="ورودی",AND(COUNTIFS('03-ورودی‌های بازنگری'!$A$8:$A$1007,K82)=1,IFERROR(INDEX('03-ورودی‌های بازنگری'!$D$8:$D$1007,MATCH(K82,'03-ورودی‌های بازنگری'!$A$8:$A$1007,0)),"")=B82,IFERROR(INDEX('03-ورودی‌های بازنگری'!$R$8:$R$1007,MATCH(K82,'03-ورودی‌های بازنگری'!$A$8:$A$1007,0)),"")="معتبر"),IF(J82="تصمیم",AND(COUNTIFS('07-تصمیمات و مصوبات'!$A$8:$A$1007,K82)=1,IFERROR(INDEX('07-تصمیمات و مصوبات'!$B$8:$B$1007,MATCH(K82,'07-تصمیمات و مصوبات'!$A$8:$A$1007,0)),"")=B82,IFERROR(INDEX('07-تصمیمات و مصوبات'!$Z$8:$Z$1007,MATCH(K82,'07-تصمیمات و مصوبات'!$A$8:$A$1007,0)),"")="معتبر",COUNTIFS('15-روابط'!$B$8:$B$1007,K82,'15-روابط'!$C$8:$C$1007,"الزام",'15-روابط'!$D$8:$D$1007,F82,'15-روابط'!$E$8:$E$1007,"رابطه معتبر")&gt;0),IF(J82="نتیجه",AND(COUNTIFS('06-نتایج بازنگری'!$A$8:$A$1007,K82)=1,IFERROR(INDEX('06-نتایج بازنگری'!$D$8:$D$1007,MATCH(K82,'06-نتایج بازنگری'!$A$8:$A$1007,0)),"")=B82,IFERROR(INDEX('06-نتایج بازنگری'!$P$8:$P$1007,MATCH(K82,'06-نتایج بازنگری'!$A$8:$A$1007,0)),"")="معتبر",IFERROR(INDEX('06-نتایج بازنگری'!$F$8:$F$1007,MATCH(K82,'06-نتایج بازنگری'!$A$8:$A$1007,0)),"")=G82),IF(J82="ابلاغ",AND(COUNTIFS('20-ابلاغ نتایج'!$A$8:$A$1007,K82)=1,IFERROR(INDEX('20-ابلاغ نتایج'!$E$8:$E$1007,MATCH(K82,'20-ابلاغ نتایج'!$A$8:$A$1007,0)),"")=B82,IFERROR(INDEX('20-ابلاغ نتایج'!$L$8:$L$1007,MATCH(K82,'20-ابلاغ نتایج'!$A$8:$A$1007,0)),"")="معتبر"),FALSE))))),"سابقه یا شواهد ناقص",IF(IFERROR(INDEX('18-دامنه استانداردها'!$J$8:$J$1007,MATCH(C82&amp;"|"&amp;G82,'18-دامنه استانداردها'!$A$8:$A$1007,0)),"")="تأیید شده","شواهد مرتبط ثبت شد؛ تأیید ممیز لازم",IF(IFERROR(INDEX('18-دامنه استانداردها'!$J$8:$J$1007,MATCH(C82&amp;"|"&amp;G82,'18-دامنه استانداردها'!$A$8:$A$1007,0)),"")="فرضی","پوشش فرضی؛ آموزشی","شواهد حاضر؛ تطبیق نسخه باز"))))))))</f>
        <v>سابقه یا شواهد ناقص</v>
      </c>
      <c r="O82" s="1" t="s">
        <v>1215</v>
      </c>
    </row>
    <row r="83" spans="1:15" ht="36" customHeight="1">
      <c r="A83" s="1" t="s">
        <v>1291</v>
      </c>
      <c r="B83" s="1" t="s">
        <v>530</v>
      </c>
      <c r="C83" s="1" t="s">
        <v>99</v>
      </c>
      <c r="D83" s="1" t="s">
        <v>529</v>
      </c>
      <c r="E83" s="1" t="s">
        <v>531</v>
      </c>
      <c r="F83" s="1" t="s">
        <v>298</v>
      </c>
      <c r="G83" s="3" t="str">
        <f>IF(A83="","",IFERROR(INDEX('02-ماتریس الزامات'!$B$8:$B$1007,MATCH(F83,'02-ماتریس الزامات'!$A$8:$A$1007,0)),""))</f>
        <v>EMS</v>
      </c>
      <c r="H83" s="3" t="str">
        <f>IF(A83="","",IFERROR(INDEX('02-ماتریس الزامات'!$D$8:$D$1007,MATCH(F83,'02-ماتریس الزامات'!$A$8:$A$1007,0)),""))</f>
        <v>9.3؛ شماره جزء تابع ویرایش</v>
      </c>
      <c r="I83" s="3" t="str">
        <f>IF(A83="","",IFERROR(INDEX('02-ماتریس الزامات'!$F$8:$F$1007,MATCH(F83,'02-ماتریس الزامات'!$A$8:$A$1007,0)),""))</f>
        <v>پایش و ارزیابی انطباق</v>
      </c>
      <c r="J83" s="1" t="s">
        <v>174</v>
      </c>
      <c r="K83" s="1"/>
      <c r="L83" s="1"/>
      <c r="M83" s="1"/>
      <c r="N83" s="3" t="str">
        <f>IF(A83="","",IF(NOT(AND(COUNTIFS('13-کنترل انطباق'!$A$8:$A$1007,A83)=1,AND(COUNTIFS('17-جلسات و دوره‌ها'!$A$8:$A$1007,B83)=1,IFERROR(INDEX('17-جلسات و دوره‌ها'!$B$8:$B$1007,MATCH(B83,'17-جلسات و دوره‌ها'!$A$8:$A$1007,0)),"")=C83,IFERROR(INDEX('17-جلسات و دوره‌ها'!$C$8:$C$1007,MATCH(B83,'17-جلسات و دوره‌ها'!$A$8:$A$1007,0)),"")=D83),COUNTIFS('02-ماتریس الزامات'!$A$8:$A$1007,F83)=1,COUNTIFS('18-دامنه استانداردها'!$A$8:$A$1007,C83&amp;"|"&amp;G83)=1)),"شناسه یا دامنه نامعتبر",IF(IFERROR(INDEX('18-دامنه استانداردها'!$D$8:$D$1007,MATCH(C83&amp;"|"&amp;G83,'18-دامنه استانداردها'!$A$8:$A$1007,0)),"")="خیر",IF(AND(L83&lt;&gt;"",M83&lt;&gt;"",IFERROR(INDEX('18-دامنه استانداردها'!$H$8:$H$1007,MATCH(C83&amp;"|"&amp;G83,'18-دامنه استانداردها'!$A$8:$A$1007,0)),"")&lt;&gt;"",IFERROR(INDEX('18-دامنه استانداردها'!$I$8:$I$1007,MATCH(C83&amp;"|"&amp;G83,'18-دامنه استانداردها'!$A$8:$A$1007,0)),"")&lt;&gt;""),"عدم کاربرد مستند","عدم کاربرد بدون توجیه"),IF(IFERROR(INDEX('18-دامنه استانداردها'!$D$8:$D$1007,MATCH(C83&amp;"|"&amp;G83,'18-دامنه استانداردها'!$A$8:$A$1007,0)),"")&lt;&gt;"بله","دامنه نامشخص",IF(K83="","بررسی نشده؛ سابقه لازم",IF(NOT(IF(J83="ورودی",AND(COUNTIFS('03-ورودی‌های بازنگری'!$A$8:$A$1007,K83)=1,IFERROR(INDEX('03-ورودی‌های بازنگری'!$D$8:$D$1007,MATCH(K83,'03-ورودی‌های بازنگری'!$A$8:$A$1007,0)),"")=B83,IFERROR(INDEX('03-ورودی‌های بازنگری'!$R$8:$R$1007,MATCH(K83,'03-ورودی‌های بازنگری'!$A$8:$A$1007,0)),"")="معتبر"),IF(J83="تصمیم",AND(COUNTIFS('07-تصمیمات و مصوبات'!$A$8:$A$1007,K83)=1,IFERROR(INDEX('07-تصمیمات و مصوبات'!$B$8:$B$1007,MATCH(K83,'07-تصمیمات و مصوبات'!$A$8:$A$1007,0)),"")=B83,IFERROR(INDEX('07-تصمیمات و مصوبات'!$Z$8:$Z$1007,MATCH(K83,'07-تصمیمات و مصوبات'!$A$8:$A$1007,0)),"")="معتبر",COUNTIFS('15-روابط'!$B$8:$B$1007,K83,'15-روابط'!$C$8:$C$1007,"الزام",'15-روابط'!$D$8:$D$1007,F83,'15-روابط'!$E$8:$E$1007,"رابطه معتبر")&gt;0),IF(J83="نتیجه",AND(COUNTIFS('06-نتایج بازنگری'!$A$8:$A$1007,K83)=1,IFERROR(INDEX('06-نتایج بازنگری'!$D$8:$D$1007,MATCH(K83,'06-نتایج بازنگری'!$A$8:$A$1007,0)),"")=B83,IFERROR(INDEX('06-نتایج بازنگری'!$P$8:$P$1007,MATCH(K83,'06-نتایج بازنگری'!$A$8:$A$1007,0)),"")="معتبر",IFERROR(INDEX('06-نتایج بازنگری'!$F$8:$F$1007,MATCH(K83,'06-نتایج بازنگری'!$A$8:$A$1007,0)),"")=G83),IF(J83="ابلاغ",AND(COUNTIFS('20-ابلاغ نتایج'!$A$8:$A$1007,K83)=1,IFERROR(INDEX('20-ابلاغ نتایج'!$E$8:$E$1007,MATCH(K83,'20-ابلاغ نتایج'!$A$8:$A$1007,0)),"")=B83,IFERROR(INDEX('20-ابلاغ نتایج'!$L$8:$L$1007,MATCH(K83,'20-ابلاغ نتایج'!$A$8:$A$1007,0)),"")="معتبر"),FALSE))))),"سابقه یا شواهد ناقص",IF(IFERROR(INDEX('18-دامنه استانداردها'!$J$8:$J$1007,MATCH(C83&amp;"|"&amp;G83,'18-دامنه استانداردها'!$A$8:$A$1007,0)),"")="تأیید شده","شواهد مرتبط ثبت شد؛ تأیید ممیز لازم",IF(IFERROR(INDEX('18-دامنه استانداردها'!$J$8:$J$1007,MATCH(C83&amp;"|"&amp;G83,'18-دامنه استانداردها'!$A$8:$A$1007,0)),"")="فرضی","پوشش فرضی؛ آموزشی","شواهد حاضر؛ تطبیق نسخه باز"))))))))</f>
        <v>بررسی نشده؛ سابقه لازم</v>
      </c>
      <c r="O83" s="1" t="s">
        <v>1215</v>
      </c>
    </row>
    <row r="84" spans="1:15" ht="36" customHeight="1">
      <c r="A84" s="1" t="s">
        <v>1292</v>
      </c>
      <c r="B84" s="1" t="s">
        <v>83</v>
      </c>
      <c r="C84" s="1" t="s">
        <v>77</v>
      </c>
      <c r="D84" s="1" t="s">
        <v>80</v>
      </c>
      <c r="E84" s="1" t="s">
        <v>379</v>
      </c>
      <c r="F84" s="1" t="s">
        <v>301</v>
      </c>
      <c r="G84" s="3" t="str">
        <f>IF(A84="","",IFERROR(INDEX('02-ماتریس الزامات'!$B$8:$B$1007,MATCH(F84,'02-ماتریس الزامات'!$A$8:$A$1007,0)),""))</f>
        <v>EMS</v>
      </c>
      <c r="H84" s="3" t="str">
        <f>IF(A84="","",IFERROR(INDEX('02-ماتریس الزامات'!$D$8:$D$1007,MATCH(F84,'02-ماتریس الزامات'!$A$8:$A$1007,0)),""))</f>
        <v>9.3؛ شماره جزء تابع ویرایش</v>
      </c>
      <c r="I84" s="3" t="str">
        <f>IF(A84="","",IFERROR(INDEX('02-ماتریس الزامات'!$F$8:$F$1007,MATCH(F84,'02-ماتریس الزامات'!$A$8:$A$1007,0)),""))</f>
        <v>ممیزی‌ها</v>
      </c>
      <c r="J84" s="1" t="s">
        <v>174</v>
      </c>
      <c r="K84" s="1" t="s">
        <v>417</v>
      </c>
      <c r="L84" s="1"/>
      <c r="M84" s="1"/>
      <c r="N84" s="3" t="str">
        <f>IF(A84="","",IF(NOT(AND(COUNTIFS('13-کنترل انطباق'!$A$8:$A$1007,A84)=1,AND(COUNTIFS('17-جلسات و دوره‌ها'!$A$8:$A$1007,B84)=1,IFERROR(INDEX('17-جلسات و دوره‌ها'!$B$8:$B$1007,MATCH(B84,'17-جلسات و دوره‌ها'!$A$8:$A$1007,0)),"")=C84,IFERROR(INDEX('17-جلسات و دوره‌ها'!$C$8:$C$1007,MATCH(B84,'17-جلسات و دوره‌ها'!$A$8:$A$1007,0)),"")=D84),COUNTIFS('02-ماتریس الزامات'!$A$8:$A$1007,F84)=1,COUNTIFS('18-دامنه استانداردها'!$A$8:$A$1007,C84&amp;"|"&amp;G84)=1)),"شناسه یا دامنه نامعتبر",IF(IFERROR(INDEX('18-دامنه استانداردها'!$D$8:$D$1007,MATCH(C84&amp;"|"&amp;G84,'18-دامنه استانداردها'!$A$8:$A$1007,0)),"")="خیر",IF(AND(L84&lt;&gt;"",M84&lt;&gt;"",IFERROR(INDEX('18-دامنه استانداردها'!$H$8:$H$1007,MATCH(C84&amp;"|"&amp;G84,'18-دامنه استانداردها'!$A$8:$A$1007,0)),"")&lt;&gt;"",IFERROR(INDEX('18-دامنه استانداردها'!$I$8:$I$1007,MATCH(C84&amp;"|"&amp;G84,'18-دامنه استانداردها'!$A$8:$A$1007,0)),"")&lt;&gt;""),"عدم کاربرد مستند","عدم کاربرد بدون توجیه"),IF(IFERROR(INDEX('18-دامنه استانداردها'!$D$8:$D$1007,MATCH(C84&amp;"|"&amp;G84,'18-دامنه استانداردها'!$A$8:$A$1007,0)),"")&lt;&gt;"بله","دامنه نامشخص",IF(K84="","بررسی نشده؛ سابقه لازم",IF(NOT(IF(J84="ورودی",AND(COUNTIFS('03-ورودی‌های بازنگری'!$A$8:$A$1007,K84)=1,IFERROR(INDEX('03-ورودی‌های بازنگری'!$D$8:$D$1007,MATCH(K84,'03-ورودی‌های بازنگری'!$A$8:$A$1007,0)),"")=B84,IFERROR(INDEX('03-ورودی‌های بازنگری'!$R$8:$R$1007,MATCH(K84,'03-ورودی‌های بازنگری'!$A$8:$A$1007,0)),"")="معتبر"),IF(J84="تصمیم",AND(COUNTIFS('07-تصمیمات و مصوبات'!$A$8:$A$1007,K84)=1,IFERROR(INDEX('07-تصمیمات و مصوبات'!$B$8:$B$1007,MATCH(K84,'07-تصمیمات و مصوبات'!$A$8:$A$1007,0)),"")=B84,IFERROR(INDEX('07-تصمیمات و مصوبات'!$Z$8:$Z$1007,MATCH(K84,'07-تصمیمات و مصوبات'!$A$8:$A$1007,0)),"")="معتبر",COUNTIFS('15-روابط'!$B$8:$B$1007,K84,'15-روابط'!$C$8:$C$1007,"الزام",'15-روابط'!$D$8:$D$1007,F84,'15-روابط'!$E$8:$E$1007,"رابطه معتبر")&gt;0),IF(J84="نتیجه",AND(COUNTIFS('06-نتایج بازنگری'!$A$8:$A$1007,K84)=1,IFERROR(INDEX('06-نتایج بازنگری'!$D$8:$D$1007,MATCH(K84,'06-نتایج بازنگری'!$A$8:$A$1007,0)),"")=B84,IFERROR(INDEX('06-نتایج بازنگری'!$P$8:$P$1007,MATCH(K84,'06-نتایج بازنگری'!$A$8:$A$1007,0)),"")="معتبر",IFERROR(INDEX('06-نتایج بازنگری'!$F$8:$F$1007,MATCH(K84,'06-نتایج بازنگری'!$A$8:$A$1007,0)),"")=G84),IF(J84="ابلاغ",AND(COUNTIFS('20-ابلاغ نتایج'!$A$8:$A$1007,K84)=1,IFERROR(INDEX('20-ابلاغ نتایج'!$E$8:$E$1007,MATCH(K84,'20-ابلاغ نتایج'!$A$8:$A$1007,0)),"")=B84,IFERROR(INDEX('20-ابلاغ نتایج'!$L$8:$L$1007,MATCH(K84,'20-ابلاغ نتایج'!$A$8:$A$1007,0)),"")="معتبر"),FALSE))))),"سابقه یا شواهد ناقص",IF(IFERROR(INDEX('18-دامنه استانداردها'!$J$8:$J$1007,MATCH(C84&amp;"|"&amp;G84,'18-دامنه استانداردها'!$A$8:$A$1007,0)),"")="تأیید شده","شواهد مرتبط ثبت شد؛ تأیید ممیز لازم",IF(IFERROR(INDEX('18-دامنه استانداردها'!$J$8:$J$1007,MATCH(C84&amp;"|"&amp;G84,'18-دامنه استانداردها'!$A$8:$A$1007,0)),"")="فرضی","پوشش فرضی؛ آموزشی","شواهد حاضر؛ تطبیق نسخه باز"))))))))</f>
        <v>سابقه یا شواهد ناقص</v>
      </c>
      <c r="O84" s="1" t="s">
        <v>1215</v>
      </c>
    </row>
    <row r="85" spans="1:15" ht="36" customHeight="1">
      <c r="A85" s="1" t="s">
        <v>1293</v>
      </c>
      <c r="B85" s="1" t="s">
        <v>530</v>
      </c>
      <c r="C85" s="1" t="s">
        <v>99</v>
      </c>
      <c r="D85" s="1" t="s">
        <v>529</v>
      </c>
      <c r="E85" s="1" t="s">
        <v>531</v>
      </c>
      <c r="F85" s="1" t="s">
        <v>301</v>
      </c>
      <c r="G85" s="3" t="str">
        <f>IF(A85="","",IFERROR(INDEX('02-ماتریس الزامات'!$B$8:$B$1007,MATCH(F85,'02-ماتریس الزامات'!$A$8:$A$1007,0)),""))</f>
        <v>EMS</v>
      </c>
      <c r="H85" s="3" t="str">
        <f>IF(A85="","",IFERROR(INDEX('02-ماتریس الزامات'!$D$8:$D$1007,MATCH(F85,'02-ماتریس الزامات'!$A$8:$A$1007,0)),""))</f>
        <v>9.3؛ شماره جزء تابع ویرایش</v>
      </c>
      <c r="I85" s="3" t="str">
        <f>IF(A85="","",IFERROR(INDEX('02-ماتریس الزامات'!$F$8:$F$1007,MATCH(F85,'02-ماتریس الزامات'!$A$8:$A$1007,0)),""))</f>
        <v>ممیزی‌ها</v>
      </c>
      <c r="J85" s="1" t="s">
        <v>174</v>
      </c>
      <c r="K85" s="1"/>
      <c r="L85" s="1"/>
      <c r="M85" s="1"/>
      <c r="N85" s="3" t="str">
        <f>IF(A85="","",IF(NOT(AND(COUNTIFS('13-کنترل انطباق'!$A$8:$A$1007,A85)=1,AND(COUNTIFS('17-جلسات و دوره‌ها'!$A$8:$A$1007,B85)=1,IFERROR(INDEX('17-جلسات و دوره‌ها'!$B$8:$B$1007,MATCH(B85,'17-جلسات و دوره‌ها'!$A$8:$A$1007,0)),"")=C85,IFERROR(INDEX('17-جلسات و دوره‌ها'!$C$8:$C$1007,MATCH(B85,'17-جلسات و دوره‌ها'!$A$8:$A$1007,0)),"")=D85),COUNTIFS('02-ماتریس الزامات'!$A$8:$A$1007,F85)=1,COUNTIFS('18-دامنه استانداردها'!$A$8:$A$1007,C85&amp;"|"&amp;G85)=1)),"شناسه یا دامنه نامعتبر",IF(IFERROR(INDEX('18-دامنه استانداردها'!$D$8:$D$1007,MATCH(C85&amp;"|"&amp;G85,'18-دامنه استانداردها'!$A$8:$A$1007,0)),"")="خیر",IF(AND(L85&lt;&gt;"",M85&lt;&gt;"",IFERROR(INDEX('18-دامنه استانداردها'!$H$8:$H$1007,MATCH(C85&amp;"|"&amp;G85,'18-دامنه استانداردها'!$A$8:$A$1007,0)),"")&lt;&gt;"",IFERROR(INDEX('18-دامنه استانداردها'!$I$8:$I$1007,MATCH(C85&amp;"|"&amp;G85,'18-دامنه استانداردها'!$A$8:$A$1007,0)),"")&lt;&gt;""),"عدم کاربرد مستند","عدم کاربرد بدون توجیه"),IF(IFERROR(INDEX('18-دامنه استانداردها'!$D$8:$D$1007,MATCH(C85&amp;"|"&amp;G85,'18-دامنه استانداردها'!$A$8:$A$1007,0)),"")&lt;&gt;"بله","دامنه نامشخص",IF(K85="","بررسی نشده؛ سابقه لازم",IF(NOT(IF(J85="ورودی",AND(COUNTIFS('03-ورودی‌های بازنگری'!$A$8:$A$1007,K85)=1,IFERROR(INDEX('03-ورودی‌های بازنگری'!$D$8:$D$1007,MATCH(K85,'03-ورودی‌های بازنگری'!$A$8:$A$1007,0)),"")=B85,IFERROR(INDEX('03-ورودی‌های بازنگری'!$R$8:$R$1007,MATCH(K85,'03-ورودی‌های بازنگری'!$A$8:$A$1007,0)),"")="معتبر"),IF(J85="تصمیم",AND(COUNTIFS('07-تصمیمات و مصوبات'!$A$8:$A$1007,K85)=1,IFERROR(INDEX('07-تصمیمات و مصوبات'!$B$8:$B$1007,MATCH(K85,'07-تصمیمات و مصوبات'!$A$8:$A$1007,0)),"")=B85,IFERROR(INDEX('07-تصمیمات و مصوبات'!$Z$8:$Z$1007,MATCH(K85,'07-تصمیمات و مصوبات'!$A$8:$A$1007,0)),"")="معتبر",COUNTIFS('15-روابط'!$B$8:$B$1007,K85,'15-روابط'!$C$8:$C$1007,"الزام",'15-روابط'!$D$8:$D$1007,F85,'15-روابط'!$E$8:$E$1007,"رابطه معتبر")&gt;0),IF(J85="نتیجه",AND(COUNTIFS('06-نتایج بازنگری'!$A$8:$A$1007,K85)=1,IFERROR(INDEX('06-نتایج بازنگری'!$D$8:$D$1007,MATCH(K85,'06-نتایج بازنگری'!$A$8:$A$1007,0)),"")=B85,IFERROR(INDEX('06-نتایج بازنگری'!$P$8:$P$1007,MATCH(K85,'06-نتایج بازنگری'!$A$8:$A$1007,0)),"")="معتبر",IFERROR(INDEX('06-نتایج بازنگری'!$F$8:$F$1007,MATCH(K85,'06-نتایج بازنگری'!$A$8:$A$1007,0)),"")=G85),IF(J85="ابلاغ",AND(COUNTIFS('20-ابلاغ نتایج'!$A$8:$A$1007,K85)=1,IFERROR(INDEX('20-ابلاغ نتایج'!$E$8:$E$1007,MATCH(K85,'20-ابلاغ نتایج'!$A$8:$A$1007,0)),"")=B85,IFERROR(INDEX('20-ابلاغ نتایج'!$L$8:$L$1007,MATCH(K85,'20-ابلاغ نتایج'!$A$8:$A$1007,0)),"")="معتبر"),FALSE))))),"سابقه یا شواهد ناقص",IF(IFERROR(INDEX('18-دامنه استانداردها'!$J$8:$J$1007,MATCH(C85&amp;"|"&amp;G85,'18-دامنه استانداردها'!$A$8:$A$1007,0)),"")="تأیید شده","شواهد مرتبط ثبت شد؛ تأیید ممیز لازم",IF(IFERROR(INDEX('18-دامنه استانداردها'!$J$8:$J$1007,MATCH(C85&amp;"|"&amp;G85,'18-دامنه استانداردها'!$A$8:$A$1007,0)),"")="فرضی","پوشش فرضی؛ آموزشی","شواهد حاضر؛ تطبیق نسخه باز"))))))))</f>
        <v>بررسی نشده؛ سابقه لازم</v>
      </c>
      <c r="O85" s="1" t="s">
        <v>1215</v>
      </c>
    </row>
    <row r="86" spans="1:15" ht="36" customHeight="1">
      <c r="A86" s="1" t="s">
        <v>1294</v>
      </c>
      <c r="B86" s="1" t="s">
        <v>83</v>
      </c>
      <c r="C86" s="1" t="s">
        <v>77</v>
      </c>
      <c r="D86" s="1" t="s">
        <v>80</v>
      </c>
      <c r="E86" s="1" t="s">
        <v>379</v>
      </c>
      <c r="F86" s="1" t="s">
        <v>302</v>
      </c>
      <c r="G86" s="3" t="str">
        <f>IF(A86="","",IFERROR(INDEX('02-ماتریس الزامات'!$B$8:$B$1007,MATCH(F86,'02-ماتریس الزامات'!$A$8:$A$1007,0)),""))</f>
        <v>EMS</v>
      </c>
      <c r="H86" s="3" t="str">
        <f>IF(A86="","",IFERROR(INDEX('02-ماتریس الزامات'!$D$8:$D$1007,MATCH(F86,'02-ماتریس الزامات'!$A$8:$A$1007,0)),""))</f>
        <v>9.3؛ شماره جزء تابع ویرایش</v>
      </c>
      <c r="I86" s="3" t="str">
        <f>IF(A86="","",IFERROR(INDEX('02-ماتریس الزامات'!$F$8:$F$1007,MATCH(F86,'02-ماتریس الزامات'!$A$8:$A$1007,0)),""))</f>
        <v>کفایت منابع</v>
      </c>
      <c r="J86" s="1" t="s">
        <v>174</v>
      </c>
      <c r="K86" s="1" t="s">
        <v>462</v>
      </c>
      <c r="L86" s="1"/>
      <c r="M86" s="1"/>
      <c r="N86" s="3" t="str">
        <f>IF(A86="","",IF(NOT(AND(COUNTIFS('13-کنترل انطباق'!$A$8:$A$1007,A86)=1,AND(COUNTIFS('17-جلسات و دوره‌ها'!$A$8:$A$1007,B86)=1,IFERROR(INDEX('17-جلسات و دوره‌ها'!$B$8:$B$1007,MATCH(B86,'17-جلسات و دوره‌ها'!$A$8:$A$1007,0)),"")=C86,IFERROR(INDEX('17-جلسات و دوره‌ها'!$C$8:$C$1007,MATCH(B86,'17-جلسات و دوره‌ها'!$A$8:$A$1007,0)),"")=D86),COUNTIFS('02-ماتریس الزامات'!$A$8:$A$1007,F86)=1,COUNTIFS('18-دامنه استانداردها'!$A$8:$A$1007,C86&amp;"|"&amp;G86)=1)),"شناسه یا دامنه نامعتبر",IF(IFERROR(INDEX('18-دامنه استانداردها'!$D$8:$D$1007,MATCH(C86&amp;"|"&amp;G86,'18-دامنه استانداردها'!$A$8:$A$1007,0)),"")="خیر",IF(AND(L86&lt;&gt;"",M86&lt;&gt;"",IFERROR(INDEX('18-دامنه استانداردها'!$H$8:$H$1007,MATCH(C86&amp;"|"&amp;G86,'18-دامنه استانداردها'!$A$8:$A$1007,0)),"")&lt;&gt;"",IFERROR(INDEX('18-دامنه استانداردها'!$I$8:$I$1007,MATCH(C86&amp;"|"&amp;G86,'18-دامنه استانداردها'!$A$8:$A$1007,0)),"")&lt;&gt;""),"عدم کاربرد مستند","عدم کاربرد بدون توجیه"),IF(IFERROR(INDEX('18-دامنه استانداردها'!$D$8:$D$1007,MATCH(C86&amp;"|"&amp;G86,'18-دامنه استانداردها'!$A$8:$A$1007,0)),"")&lt;&gt;"بله","دامنه نامشخص",IF(K86="","بررسی نشده؛ سابقه لازم",IF(NOT(IF(J86="ورودی",AND(COUNTIFS('03-ورودی‌های بازنگری'!$A$8:$A$1007,K86)=1,IFERROR(INDEX('03-ورودی‌های بازنگری'!$D$8:$D$1007,MATCH(K86,'03-ورودی‌های بازنگری'!$A$8:$A$1007,0)),"")=B86,IFERROR(INDEX('03-ورودی‌های بازنگری'!$R$8:$R$1007,MATCH(K86,'03-ورودی‌های بازنگری'!$A$8:$A$1007,0)),"")="معتبر"),IF(J86="تصمیم",AND(COUNTIFS('07-تصمیمات و مصوبات'!$A$8:$A$1007,K86)=1,IFERROR(INDEX('07-تصمیمات و مصوبات'!$B$8:$B$1007,MATCH(K86,'07-تصمیمات و مصوبات'!$A$8:$A$1007,0)),"")=B86,IFERROR(INDEX('07-تصمیمات و مصوبات'!$Z$8:$Z$1007,MATCH(K86,'07-تصمیمات و مصوبات'!$A$8:$A$1007,0)),"")="معتبر",COUNTIFS('15-روابط'!$B$8:$B$1007,K86,'15-روابط'!$C$8:$C$1007,"الزام",'15-روابط'!$D$8:$D$1007,F86,'15-روابط'!$E$8:$E$1007,"رابطه معتبر")&gt;0),IF(J86="نتیجه",AND(COUNTIFS('06-نتایج بازنگری'!$A$8:$A$1007,K86)=1,IFERROR(INDEX('06-نتایج بازنگری'!$D$8:$D$1007,MATCH(K86,'06-نتایج بازنگری'!$A$8:$A$1007,0)),"")=B86,IFERROR(INDEX('06-نتایج بازنگری'!$P$8:$P$1007,MATCH(K86,'06-نتایج بازنگری'!$A$8:$A$1007,0)),"")="معتبر",IFERROR(INDEX('06-نتایج بازنگری'!$F$8:$F$1007,MATCH(K86,'06-نتایج بازنگری'!$A$8:$A$1007,0)),"")=G86),IF(J86="ابلاغ",AND(COUNTIFS('20-ابلاغ نتایج'!$A$8:$A$1007,K86)=1,IFERROR(INDEX('20-ابلاغ نتایج'!$E$8:$E$1007,MATCH(K86,'20-ابلاغ نتایج'!$A$8:$A$1007,0)),"")=B86,IFERROR(INDEX('20-ابلاغ نتایج'!$L$8:$L$1007,MATCH(K86,'20-ابلاغ نتایج'!$A$8:$A$1007,0)),"")="معتبر"),FALSE))))),"سابقه یا شواهد ناقص",IF(IFERROR(INDEX('18-دامنه استانداردها'!$J$8:$J$1007,MATCH(C86&amp;"|"&amp;G86,'18-دامنه استانداردها'!$A$8:$A$1007,0)),"")="تأیید شده","شواهد مرتبط ثبت شد؛ تأیید ممیز لازم",IF(IFERROR(INDEX('18-دامنه استانداردها'!$J$8:$J$1007,MATCH(C86&amp;"|"&amp;G86,'18-دامنه استانداردها'!$A$8:$A$1007,0)),"")="فرضی","پوشش فرضی؛ آموزشی","شواهد حاضر؛ تطبیق نسخه باز"))))))))</f>
        <v>سابقه یا شواهد ناقص</v>
      </c>
      <c r="O86" s="1" t="s">
        <v>1215</v>
      </c>
    </row>
    <row r="87" spans="1:15" ht="36" customHeight="1">
      <c r="A87" s="1" t="s">
        <v>1295</v>
      </c>
      <c r="B87" s="1" t="s">
        <v>530</v>
      </c>
      <c r="C87" s="1" t="s">
        <v>99</v>
      </c>
      <c r="D87" s="1" t="s">
        <v>529</v>
      </c>
      <c r="E87" s="1" t="s">
        <v>531</v>
      </c>
      <c r="F87" s="1" t="s">
        <v>302</v>
      </c>
      <c r="G87" s="3" t="str">
        <f>IF(A87="","",IFERROR(INDEX('02-ماتریس الزامات'!$B$8:$B$1007,MATCH(F87,'02-ماتریس الزامات'!$A$8:$A$1007,0)),""))</f>
        <v>EMS</v>
      </c>
      <c r="H87" s="3" t="str">
        <f>IF(A87="","",IFERROR(INDEX('02-ماتریس الزامات'!$D$8:$D$1007,MATCH(F87,'02-ماتریس الزامات'!$A$8:$A$1007,0)),""))</f>
        <v>9.3؛ شماره جزء تابع ویرایش</v>
      </c>
      <c r="I87" s="3" t="str">
        <f>IF(A87="","",IFERROR(INDEX('02-ماتریس الزامات'!$F$8:$F$1007,MATCH(F87,'02-ماتریس الزامات'!$A$8:$A$1007,0)),""))</f>
        <v>کفایت منابع</v>
      </c>
      <c r="J87" s="1" t="s">
        <v>174</v>
      </c>
      <c r="K87" s="1"/>
      <c r="L87" s="1"/>
      <c r="M87" s="1"/>
      <c r="N87" s="3" t="str">
        <f>IF(A87="","",IF(NOT(AND(COUNTIFS('13-کنترل انطباق'!$A$8:$A$1007,A87)=1,AND(COUNTIFS('17-جلسات و دوره‌ها'!$A$8:$A$1007,B87)=1,IFERROR(INDEX('17-جلسات و دوره‌ها'!$B$8:$B$1007,MATCH(B87,'17-جلسات و دوره‌ها'!$A$8:$A$1007,0)),"")=C87,IFERROR(INDEX('17-جلسات و دوره‌ها'!$C$8:$C$1007,MATCH(B87,'17-جلسات و دوره‌ها'!$A$8:$A$1007,0)),"")=D87),COUNTIFS('02-ماتریس الزامات'!$A$8:$A$1007,F87)=1,COUNTIFS('18-دامنه استانداردها'!$A$8:$A$1007,C87&amp;"|"&amp;G87)=1)),"شناسه یا دامنه نامعتبر",IF(IFERROR(INDEX('18-دامنه استانداردها'!$D$8:$D$1007,MATCH(C87&amp;"|"&amp;G87,'18-دامنه استانداردها'!$A$8:$A$1007,0)),"")="خیر",IF(AND(L87&lt;&gt;"",M87&lt;&gt;"",IFERROR(INDEX('18-دامنه استانداردها'!$H$8:$H$1007,MATCH(C87&amp;"|"&amp;G87,'18-دامنه استانداردها'!$A$8:$A$1007,0)),"")&lt;&gt;"",IFERROR(INDEX('18-دامنه استانداردها'!$I$8:$I$1007,MATCH(C87&amp;"|"&amp;G87,'18-دامنه استانداردها'!$A$8:$A$1007,0)),"")&lt;&gt;""),"عدم کاربرد مستند","عدم کاربرد بدون توجیه"),IF(IFERROR(INDEX('18-دامنه استانداردها'!$D$8:$D$1007,MATCH(C87&amp;"|"&amp;G87,'18-دامنه استانداردها'!$A$8:$A$1007,0)),"")&lt;&gt;"بله","دامنه نامشخص",IF(K87="","بررسی نشده؛ سابقه لازم",IF(NOT(IF(J87="ورودی",AND(COUNTIFS('03-ورودی‌های بازنگری'!$A$8:$A$1007,K87)=1,IFERROR(INDEX('03-ورودی‌های بازنگری'!$D$8:$D$1007,MATCH(K87,'03-ورودی‌های بازنگری'!$A$8:$A$1007,0)),"")=B87,IFERROR(INDEX('03-ورودی‌های بازنگری'!$R$8:$R$1007,MATCH(K87,'03-ورودی‌های بازنگری'!$A$8:$A$1007,0)),"")="معتبر"),IF(J87="تصمیم",AND(COUNTIFS('07-تصمیمات و مصوبات'!$A$8:$A$1007,K87)=1,IFERROR(INDEX('07-تصمیمات و مصوبات'!$B$8:$B$1007,MATCH(K87,'07-تصمیمات و مصوبات'!$A$8:$A$1007,0)),"")=B87,IFERROR(INDEX('07-تصمیمات و مصوبات'!$Z$8:$Z$1007,MATCH(K87,'07-تصمیمات و مصوبات'!$A$8:$A$1007,0)),"")="معتبر",COUNTIFS('15-روابط'!$B$8:$B$1007,K87,'15-روابط'!$C$8:$C$1007,"الزام",'15-روابط'!$D$8:$D$1007,F87,'15-روابط'!$E$8:$E$1007,"رابطه معتبر")&gt;0),IF(J87="نتیجه",AND(COUNTIFS('06-نتایج بازنگری'!$A$8:$A$1007,K87)=1,IFERROR(INDEX('06-نتایج بازنگری'!$D$8:$D$1007,MATCH(K87,'06-نتایج بازنگری'!$A$8:$A$1007,0)),"")=B87,IFERROR(INDEX('06-نتایج بازنگری'!$P$8:$P$1007,MATCH(K87,'06-نتایج بازنگری'!$A$8:$A$1007,0)),"")="معتبر",IFERROR(INDEX('06-نتایج بازنگری'!$F$8:$F$1007,MATCH(K87,'06-نتایج بازنگری'!$A$8:$A$1007,0)),"")=G87),IF(J87="ابلاغ",AND(COUNTIFS('20-ابلاغ نتایج'!$A$8:$A$1007,K87)=1,IFERROR(INDEX('20-ابلاغ نتایج'!$E$8:$E$1007,MATCH(K87,'20-ابلاغ نتایج'!$A$8:$A$1007,0)),"")=B87,IFERROR(INDEX('20-ابلاغ نتایج'!$L$8:$L$1007,MATCH(K87,'20-ابلاغ نتایج'!$A$8:$A$1007,0)),"")="معتبر"),FALSE))))),"سابقه یا شواهد ناقص",IF(IFERROR(INDEX('18-دامنه استانداردها'!$J$8:$J$1007,MATCH(C87&amp;"|"&amp;G87,'18-دامنه استانداردها'!$A$8:$A$1007,0)),"")="تأیید شده","شواهد مرتبط ثبت شد؛ تأیید ممیز لازم",IF(IFERROR(INDEX('18-دامنه استانداردها'!$J$8:$J$1007,MATCH(C87&amp;"|"&amp;G87,'18-دامنه استانداردها'!$A$8:$A$1007,0)),"")="فرضی","پوشش فرضی؛ آموزشی","شواهد حاضر؛ تطبیق نسخه باز"))))))))</f>
        <v>بررسی نشده؛ سابقه لازم</v>
      </c>
      <c r="O87" s="1" t="s">
        <v>1215</v>
      </c>
    </row>
    <row r="88" spans="1:15" ht="36" customHeight="1">
      <c r="A88" s="1" t="s">
        <v>1296</v>
      </c>
      <c r="B88" s="1" t="s">
        <v>83</v>
      </c>
      <c r="C88" s="1" t="s">
        <v>77</v>
      </c>
      <c r="D88" s="1" t="s">
        <v>80</v>
      </c>
      <c r="E88" s="1" t="s">
        <v>379</v>
      </c>
      <c r="F88" s="1" t="s">
        <v>303</v>
      </c>
      <c r="G88" s="3" t="str">
        <f>IF(A88="","",IFERROR(INDEX('02-ماتریس الزامات'!$B$8:$B$1007,MATCH(F88,'02-ماتریس الزامات'!$A$8:$A$1007,0)),""))</f>
        <v>EMS</v>
      </c>
      <c r="H88" s="3" t="str">
        <f>IF(A88="","",IFERROR(INDEX('02-ماتریس الزامات'!$D$8:$D$1007,MATCH(F88,'02-ماتریس الزامات'!$A$8:$A$1007,0)),""))</f>
        <v>9.3؛ شماره جزء تابع ویرایش</v>
      </c>
      <c r="I88" s="3" t="str">
        <f>IF(A88="","",IFERROR(INDEX('02-ماتریس الزامات'!$F$8:$F$1007,MATCH(F88,'02-ماتریس الزامات'!$A$8:$A$1007,0)),""))</f>
        <v>ریسک‌ها و فرصت‌ها</v>
      </c>
      <c r="J88" s="1" t="s">
        <v>174</v>
      </c>
      <c r="K88" s="1" t="s">
        <v>497</v>
      </c>
      <c r="L88" s="1"/>
      <c r="M88" s="1"/>
      <c r="N88" s="3" t="str">
        <f>IF(A88="","",IF(NOT(AND(COUNTIFS('13-کنترل انطباق'!$A$8:$A$1007,A88)=1,AND(COUNTIFS('17-جلسات و دوره‌ها'!$A$8:$A$1007,B88)=1,IFERROR(INDEX('17-جلسات و دوره‌ها'!$B$8:$B$1007,MATCH(B88,'17-جلسات و دوره‌ها'!$A$8:$A$1007,0)),"")=C88,IFERROR(INDEX('17-جلسات و دوره‌ها'!$C$8:$C$1007,MATCH(B88,'17-جلسات و دوره‌ها'!$A$8:$A$1007,0)),"")=D88),COUNTIFS('02-ماتریس الزامات'!$A$8:$A$1007,F88)=1,COUNTIFS('18-دامنه استانداردها'!$A$8:$A$1007,C88&amp;"|"&amp;G88)=1)),"شناسه یا دامنه نامعتبر",IF(IFERROR(INDEX('18-دامنه استانداردها'!$D$8:$D$1007,MATCH(C88&amp;"|"&amp;G88,'18-دامنه استانداردها'!$A$8:$A$1007,0)),"")="خیر",IF(AND(L88&lt;&gt;"",M88&lt;&gt;"",IFERROR(INDEX('18-دامنه استانداردها'!$H$8:$H$1007,MATCH(C88&amp;"|"&amp;G88,'18-دامنه استانداردها'!$A$8:$A$1007,0)),"")&lt;&gt;"",IFERROR(INDEX('18-دامنه استانداردها'!$I$8:$I$1007,MATCH(C88&amp;"|"&amp;G88,'18-دامنه استانداردها'!$A$8:$A$1007,0)),"")&lt;&gt;""),"عدم کاربرد مستند","عدم کاربرد بدون توجیه"),IF(IFERROR(INDEX('18-دامنه استانداردها'!$D$8:$D$1007,MATCH(C88&amp;"|"&amp;G88,'18-دامنه استانداردها'!$A$8:$A$1007,0)),"")&lt;&gt;"بله","دامنه نامشخص",IF(K88="","بررسی نشده؛ سابقه لازم",IF(NOT(IF(J88="ورودی",AND(COUNTIFS('03-ورودی‌های بازنگری'!$A$8:$A$1007,K88)=1,IFERROR(INDEX('03-ورودی‌های بازنگری'!$D$8:$D$1007,MATCH(K88,'03-ورودی‌های بازنگری'!$A$8:$A$1007,0)),"")=B88,IFERROR(INDEX('03-ورودی‌های بازنگری'!$R$8:$R$1007,MATCH(K88,'03-ورودی‌های بازنگری'!$A$8:$A$1007,0)),"")="معتبر"),IF(J88="تصمیم",AND(COUNTIFS('07-تصمیمات و مصوبات'!$A$8:$A$1007,K88)=1,IFERROR(INDEX('07-تصمیمات و مصوبات'!$B$8:$B$1007,MATCH(K88,'07-تصمیمات و مصوبات'!$A$8:$A$1007,0)),"")=B88,IFERROR(INDEX('07-تصمیمات و مصوبات'!$Z$8:$Z$1007,MATCH(K88,'07-تصمیمات و مصوبات'!$A$8:$A$1007,0)),"")="معتبر",COUNTIFS('15-روابط'!$B$8:$B$1007,K88,'15-روابط'!$C$8:$C$1007,"الزام",'15-روابط'!$D$8:$D$1007,F88,'15-روابط'!$E$8:$E$1007,"رابطه معتبر")&gt;0),IF(J88="نتیجه",AND(COUNTIFS('06-نتایج بازنگری'!$A$8:$A$1007,K88)=1,IFERROR(INDEX('06-نتایج بازنگری'!$D$8:$D$1007,MATCH(K88,'06-نتایج بازنگری'!$A$8:$A$1007,0)),"")=B88,IFERROR(INDEX('06-نتایج بازنگری'!$P$8:$P$1007,MATCH(K88,'06-نتایج بازنگری'!$A$8:$A$1007,0)),"")="معتبر",IFERROR(INDEX('06-نتایج بازنگری'!$F$8:$F$1007,MATCH(K88,'06-نتایج بازنگری'!$A$8:$A$1007,0)),"")=G88),IF(J88="ابلاغ",AND(COUNTIFS('20-ابلاغ نتایج'!$A$8:$A$1007,K88)=1,IFERROR(INDEX('20-ابلاغ نتایج'!$E$8:$E$1007,MATCH(K88,'20-ابلاغ نتایج'!$A$8:$A$1007,0)),"")=B88,IFERROR(INDEX('20-ابلاغ نتایج'!$L$8:$L$1007,MATCH(K88,'20-ابلاغ نتایج'!$A$8:$A$1007,0)),"")="معتبر"),FALSE))))),"سابقه یا شواهد ناقص",IF(IFERROR(INDEX('18-دامنه استانداردها'!$J$8:$J$1007,MATCH(C88&amp;"|"&amp;G88,'18-دامنه استانداردها'!$A$8:$A$1007,0)),"")="تأیید شده","شواهد مرتبط ثبت شد؛ تأیید ممیز لازم",IF(IFERROR(INDEX('18-دامنه استانداردها'!$J$8:$J$1007,MATCH(C88&amp;"|"&amp;G88,'18-دامنه استانداردها'!$A$8:$A$1007,0)),"")="فرضی","پوشش فرضی؛ آموزشی","شواهد حاضر؛ تطبیق نسخه باز"))))))))</f>
        <v>سابقه یا شواهد ناقص</v>
      </c>
      <c r="O88" s="1" t="s">
        <v>1215</v>
      </c>
    </row>
    <row r="89" spans="1:15" ht="36" customHeight="1">
      <c r="A89" s="1" t="s">
        <v>1297</v>
      </c>
      <c r="B89" s="1" t="s">
        <v>530</v>
      </c>
      <c r="C89" s="1" t="s">
        <v>99</v>
      </c>
      <c r="D89" s="1" t="s">
        <v>529</v>
      </c>
      <c r="E89" s="1" t="s">
        <v>531</v>
      </c>
      <c r="F89" s="1" t="s">
        <v>303</v>
      </c>
      <c r="G89" s="3" t="str">
        <f>IF(A89="","",IFERROR(INDEX('02-ماتریس الزامات'!$B$8:$B$1007,MATCH(F89,'02-ماتریس الزامات'!$A$8:$A$1007,0)),""))</f>
        <v>EMS</v>
      </c>
      <c r="H89" s="3" t="str">
        <f>IF(A89="","",IFERROR(INDEX('02-ماتریس الزامات'!$D$8:$D$1007,MATCH(F89,'02-ماتریس الزامات'!$A$8:$A$1007,0)),""))</f>
        <v>9.3؛ شماره جزء تابع ویرایش</v>
      </c>
      <c r="I89" s="3" t="str">
        <f>IF(A89="","",IFERROR(INDEX('02-ماتریس الزامات'!$F$8:$F$1007,MATCH(F89,'02-ماتریس الزامات'!$A$8:$A$1007,0)),""))</f>
        <v>ریسک‌ها و فرصت‌ها</v>
      </c>
      <c r="J89" s="1" t="s">
        <v>174</v>
      </c>
      <c r="K89" s="1"/>
      <c r="L89" s="1"/>
      <c r="M89" s="1"/>
      <c r="N89" s="3" t="str">
        <f>IF(A89="","",IF(NOT(AND(COUNTIFS('13-کنترل انطباق'!$A$8:$A$1007,A89)=1,AND(COUNTIFS('17-جلسات و دوره‌ها'!$A$8:$A$1007,B89)=1,IFERROR(INDEX('17-جلسات و دوره‌ها'!$B$8:$B$1007,MATCH(B89,'17-جلسات و دوره‌ها'!$A$8:$A$1007,0)),"")=C89,IFERROR(INDEX('17-جلسات و دوره‌ها'!$C$8:$C$1007,MATCH(B89,'17-جلسات و دوره‌ها'!$A$8:$A$1007,0)),"")=D89),COUNTIFS('02-ماتریس الزامات'!$A$8:$A$1007,F89)=1,COUNTIFS('18-دامنه استانداردها'!$A$8:$A$1007,C89&amp;"|"&amp;G89)=1)),"شناسه یا دامنه نامعتبر",IF(IFERROR(INDEX('18-دامنه استانداردها'!$D$8:$D$1007,MATCH(C89&amp;"|"&amp;G89,'18-دامنه استانداردها'!$A$8:$A$1007,0)),"")="خیر",IF(AND(L89&lt;&gt;"",M89&lt;&gt;"",IFERROR(INDEX('18-دامنه استانداردها'!$H$8:$H$1007,MATCH(C89&amp;"|"&amp;G89,'18-دامنه استانداردها'!$A$8:$A$1007,0)),"")&lt;&gt;"",IFERROR(INDEX('18-دامنه استانداردها'!$I$8:$I$1007,MATCH(C89&amp;"|"&amp;G89,'18-دامنه استانداردها'!$A$8:$A$1007,0)),"")&lt;&gt;""),"عدم کاربرد مستند","عدم کاربرد بدون توجیه"),IF(IFERROR(INDEX('18-دامنه استانداردها'!$D$8:$D$1007,MATCH(C89&amp;"|"&amp;G89,'18-دامنه استانداردها'!$A$8:$A$1007,0)),"")&lt;&gt;"بله","دامنه نامشخص",IF(K89="","بررسی نشده؛ سابقه لازم",IF(NOT(IF(J89="ورودی",AND(COUNTIFS('03-ورودی‌های بازنگری'!$A$8:$A$1007,K89)=1,IFERROR(INDEX('03-ورودی‌های بازنگری'!$D$8:$D$1007,MATCH(K89,'03-ورودی‌های بازنگری'!$A$8:$A$1007,0)),"")=B89,IFERROR(INDEX('03-ورودی‌های بازنگری'!$R$8:$R$1007,MATCH(K89,'03-ورودی‌های بازنگری'!$A$8:$A$1007,0)),"")="معتبر"),IF(J89="تصمیم",AND(COUNTIFS('07-تصمیمات و مصوبات'!$A$8:$A$1007,K89)=1,IFERROR(INDEX('07-تصمیمات و مصوبات'!$B$8:$B$1007,MATCH(K89,'07-تصمیمات و مصوبات'!$A$8:$A$1007,0)),"")=B89,IFERROR(INDEX('07-تصمیمات و مصوبات'!$Z$8:$Z$1007,MATCH(K89,'07-تصمیمات و مصوبات'!$A$8:$A$1007,0)),"")="معتبر",COUNTIFS('15-روابط'!$B$8:$B$1007,K89,'15-روابط'!$C$8:$C$1007,"الزام",'15-روابط'!$D$8:$D$1007,F89,'15-روابط'!$E$8:$E$1007,"رابطه معتبر")&gt;0),IF(J89="نتیجه",AND(COUNTIFS('06-نتایج بازنگری'!$A$8:$A$1007,K89)=1,IFERROR(INDEX('06-نتایج بازنگری'!$D$8:$D$1007,MATCH(K89,'06-نتایج بازنگری'!$A$8:$A$1007,0)),"")=B89,IFERROR(INDEX('06-نتایج بازنگری'!$P$8:$P$1007,MATCH(K89,'06-نتایج بازنگری'!$A$8:$A$1007,0)),"")="معتبر",IFERROR(INDEX('06-نتایج بازنگری'!$F$8:$F$1007,MATCH(K89,'06-نتایج بازنگری'!$A$8:$A$1007,0)),"")=G89),IF(J89="ابلاغ",AND(COUNTIFS('20-ابلاغ نتایج'!$A$8:$A$1007,K89)=1,IFERROR(INDEX('20-ابلاغ نتایج'!$E$8:$E$1007,MATCH(K89,'20-ابلاغ نتایج'!$A$8:$A$1007,0)),"")=B89,IFERROR(INDEX('20-ابلاغ نتایج'!$L$8:$L$1007,MATCH(K89,'20-ابلاغ نتایج'!$A$8:$A$1007,0)),"")="معتبر"),FALSE))))),"سابقه یا شواهد ناقص",IF(IFERROR(INDEX('18-دامنه استانداردها'!$J$8:$J$1007,MATCH(C89&amp;"|"&amp;G89,'18-دامنه استانداردها'!$A$8:$A$1007,0)),"")="تأیید شده","شواهد مرتبط ثبت شد؛ تأیید ممیز لازم",IF(IFERROR(INDEX('18-دامنه استانداردها'!$J$8:$J$1007,MATCH(C89&amp;"|"&amp;G89,'18-دامنه استانداردها'!$A$8:$A$1007,0)),"")="فرضی","پوشش فرضی؛ آموزشی","شواهد حاضر؛ تطبیق نسخه باز"))))))))</f>
        <v>بررسی نشده؛ سابقه لازم</v>
      </c>
      <c r="O89" s="1" t="s">
        <v>1215</v>
      </c>
    </row>
    <row r="90" spans="1:15" ht="36" customHeight="1">
      <c r="A90" s="1" t="s">
        <v>1298</v>
      </c>
      <c r="B90" s="1" t="s">
        <v>83</v>
      </c>
      <c r="C90" s="1" t="s">
        <v>77</v>
      </c>
      <c r="D90" s="1" t="s">
        <v>80</v>
      </c>
      <c r="E90" s="1" t="s">
        <v>379</v>
      </c>
      <c r="F90" s="1" t="s">
        <v>306</v>
      </c>
      <c r="G90" s="3" t="str">
        <f>IF(A90="","",IFERROR(INDEX('02-ماتریس الزامات'!$B$8:$B$1007,MATCH(F90,'02-ماتریس الزامات'!$A$8:$A$1007,0)),""))</f>
        <v>EMS</v>
      </c>
      <c r="H90" s="3" t="str">
        <f>IF(A90="","",IFERROR(INDEX('02-ماتریس الزامات'!$D$8:$D$1007,MATCH(F90,'02-ماتریس الزامات'!$A$8:$A$1007,0)),""))</f>
        <v>9.3؛ شماره جزء تابع ویرایش</v>
      </c>
      <c r="I90" s="3" t="str">
        <f>IF(A90="","",IFERROR(INDEX('02-ماتریس الزامات'!$F$8:$F$1007,MATCH(F90,'02-ماتریس الزامات'!$A$8:$A$1007,0)),""))</f>
        <v>ارتباطات و شکایات</v>
      </c>
      <c r="J90" s="1" t="s">
        <v>174</v>
      </c>
      <c r="K90" s="1" t="s">
        <v>407</v>
      </c>
      <c r="L90" s="1"/>
      <c r="M90" s="1"/>
      <c r="N90" s="3" t="str">
        <f>IF(A90="","",IF(NOT(AND(COUNTIFS('13-کنترل انطباق'!$A$8:$A$1007,A90)=1,AND(COUNTIFS('17-جلسات و دوره‌ها'!$A$8:$A$1007,B90)=1,IFERROR(INDEX('17-جلسات و دوره‌ها'!$B$8:$B$1007,MATCH(B90,'17-جلسات و دوره‌ها'!$A$8:$A$1007,0)),"")=C90,IFERROR(INDEX('17-جلسات و دوره‌ها'!$C$8:$C$1007,MATCH(B90,'17-جلسات و دوره‌ها'!$A$8:$A$1007,0)),"")=D90),COUNTIFS('02-ماتریس الزامات'!$A$8:$A$1007,F90)=1,COUNTIFS('18-دامنه استانداردها'!$A$8:$A$1007,C90&amp;"|"&amp;G90)=1)),"شناسه یا دامنه نامعتبر",IF(IFERROR(INDEX('18-دامنه استانداردها'!$D$8:$D$1007,MATCH(C90&amp;"|"&amp;G90,'18-دامنه استانداردها'!$A$8:$A$1007,0)),"")="خیر",IF(AND(L90&lt;&gt;"",M90&lt;&gt;"",IFERROR(INDEX('18-دامنه استانداردها'!$H$8:$H$1007,MATCH(C90&amp;"|"&amp;G90,'18-دامنه استانداردها'!$A$8:$A$1007,0)),"")&lt;&gt;"",IFERROR(INDEX('18-دامنه استانداردها'!$I$8:$I$1007,MATCH(C90&amp;"|"&amp;G90,'18-دامنه استانداردها'!$A$8:$A$1007,0)),"")&lt;&gt;""),"عدم کاربرد مستند","عدم کاربرد بدون توجیه"),IF(IFERROR(INDEX('18-دامنه استانداردها'!$D$8:$D$1007,MATCH(C90&amp;"|"&amp;G90,'18-دامنه استانداردها'!$A$8:$A$1007,0)),"")&lt;&gt;"بله","دامنه نامشخص",IF(K90="","بررسی نشده؛ سابقه لازم",IF(NOT(IF(J90="ورودی",AND(COUNTIFS('03-ورودی‌های بازنگری'!$A$8:$A$1007,K90)=1,IFERROR(INDEX('03-ورودی‌های بازنگری'!$D$8:$D$1007,MATCH(K90,'03-ورودی‌های بازنگری'!$A$8:$A$1007,0)),"")=B90,IFERROR(INDEX('03-ورودی‌های بازنگری'!$R$8:$R$1007,MATCH(K90,'03-ورودی‌های بازنگری'!$A$8:$A$1007,0)),"")="معتبر"),IF(J90="تصمیم",AND(COUNTIFS('07-تصمیمات و مصوبات'!$A$8:$A$1007,K90)=1,IFERROR(INDEX('07-تصمیمات و مصوبات'!$B$8:$B$1007,MATCH(K90,'07-تصمیمات و مصوبات'!$A$8:$A$1007,0)),"")=B90,IFERROR(INDEX('07-تصمیمات و مصوبات'!$Z$8:$Z$1007,MATCH(K90,'07-تصمیمات و مصوبات'!$A$8:$A$1007,0)),"")="معتبر",COUNTIFS('15-روابط'!$B$8:$B$1007,K90,'15-روابط'!$C$8:$C$1007,"الزام",'15-روابط'!$D$8:$D$1007,F90,'15-روابط'!$E$8:$E$1007,"رابطه معتبر")&gt;0),IF(J90="نتیجه",AND(COUNTIFS('06-نتایج بازنگری'!$A$8:$A$1007,K90)=1,IFERROR(INDEX('06-نتایج بازنگری'!$D$8:$D$1007,MATCH(K90,'06-نتایج بازنگری'!$A$8:$A$1007,0)),"")=B90,IFERROR(INDEX('06-نتایج بازنگری'!$P$8:$P$1007,MATCH(K90,'06-نتایج بازنگری'!$A$8:$A$1007,0)),"")="معتبر",IFERROR(INDEX('06-نتایج بازنگری'!$F$8:$F$1007,MATCH(K90,'06-نتایج بازنگری'!$A$8:$A$1007,0)),"")=G90),IF(J90="ابلاغ",AND(COUNTIFS('20-ابلاغ نتایج'!$A$8:$A$1007,K90)=1,IFERROR(INDEX('20-ابلاغ نتایج'!$E$8:$E$1007,MATCH(K90,'20-ابلاغ نتایج'!$A$8:$A$1007,0)),"")=B90,IFERROR(INDEX('20-ابلاغ نتایج'!$L$8:$L$1007,MATCH(K90,'20-ابلاغ نتایج'!$A$8:$A$1007,0)),"")="معتبر"),FALSE))))),"سابقه یا شواهد ناقص",IF(IFERROR(INDEX('18-دامنه استانداردها'!$J$8:$J$1007,MATCH(C90&amp;"|"&amp;G90,'18-دامنه استانداردها'!$A$8:$A$1007,0)),"")="تأیید شده","شواهد مرتبط ثبت شد؛ تأیید ممیز لازم",IF(IFERROR(INDEX('18-دامنه استانداردها'!$J$8:$J$1007,MATCH(C90&amp;"|"&amp;G90,'18-دامنه استانداردها'!$A$8:$A$1007,0)),"")="فرضی","پوشش فرضی؛ آموزشی","شواهد حاضر؛ تطبیق نسخه باز"))))))))</f>
        <v>سابقه یا شواهد ناقص</v>
      </c>
      <c r="O90" s="1" t="s">
        <v>1215</v>
      </c>
    </row>
    <row r="91" spans="1:15" ht="36" customHeight="1">
      <c r="A91" s="1" t="s">
        <v>1299</v>
      </c>
      <c r="B91" s="1" t="s">
        <v>530</v>
      </c>
      <c r="C91" s="1" t="s">
        <v>99</v>
      </c>
      <c r="D91" s="1" t="s">
        <v>529</v>
      </c>
      <c r="E91" s="1" t="s">
        <v>531</v>
      </c>
      <c r="F91" s="1" t="s">
        <v>306</v>
      </c>
      <c r="G91" s="3" t="str">
        <f>IF(A91="","",IFERROR(INDEX('02-ماتریس الزامات'!$B$8:$B$1007,MATCH(F91,'02-ماتریس الزامات'!$A$8:$A$1007,0)),""))</f>
        <v>EMS</v>
      </c>
      <c r="H91" s="3" t="str">
        <f>IF(A91="","",IFERROR(INDEX('02-ماتریس الزامات'!$D$8:$D$1007,MATCH(F91,'02-ماتریس الزامات'!$A$8:$A$1007,0)),""))</f>
        <v>9.3؛ شماره جزء تابع ویرایش</v>
      </c>
      <c r="I91" s="3" t="str">
        <f>IF(A91="","",IFERROR(INDEX('02-ماتریس الزامات'!$F$8:$F$1007,MATCH(F91,'02-ماتریس الزامات'!$A$8:$A$1007,0)),""))</f>
        <v>ارتباطات و شکایات</v>
      </c>
      <c r="J91" s="1" t="s">
        <v>174</v>
      </c>
      <c r="K91" s="1"/>
      <c r="L91" s="1"/>
      <c r="M91" s="1"/>
      <c r="N91" s="3" t="str">
        <f>IF(A91="","",IF(NOT(AND(COUNTIFS('13-کنترل انطباق'!$A$8:$A$1007,A91)=1,AND(COUNTIFS('17-جلسات و دوره‌ها'!$A$8:$A$1007,B91)=1,IFERROR(INDEX('17-جلسات و دوره‌ها'!$B$8:$B$1007,MATCH(B91,'17-جلسات و دوره‌ها'!$A$8:$A$1007,0)),"")=C91,IFERROR(INDEX('17-جلسات و دوره‌ها'!$C$8:$C$1007,MATCH(B91,'17-جلسات و دوره‌ها'!$A$8:$A$1007,0)),"")=D91),COUNTIFS('02-ماتریس الزامات'!$A$8:$A$1007,F91)=1,COUNTIFS('18-دامنه استانداردها'!$A$8:$A$1007,C91&amp;"|"&amp;G91)=1)),"شناسه یا دامنه نامعتبر",IF(IFERROR(INDEX('18-دامنه استانداردها'!$D$8:$D$1007,MATCH(C91&amp;"|"&amp;G91,'18-دامنه استانداردها'!$A$8:$A$1007,0)),"")="خیر",IF(AND(L91&lt;&gt;"",M91&lt;&gt;"",IFERROR(INDEX('18-دامنه استانداردها'!$H$8:$H$1007,MATCH(C91&amp;"|"&amp;G91,'18-دامنه استانداردها'!$A$8:$A$1007,0)),"")&lt;&gt;"",IFERROR(INDEX('18-دامنه استانداردها'!$I$8:$I$1007,MATCH(C91&amp;"|"&amp;G91,'18-دامنه استانداردها'!$A$8:$A$1007,0)),"")&lt;&gt;""),"عدم کاربرد مستند","عدم کاربرد بدون توجیه"),IF(IFERROR(INDEX('18-دامنه استانداردها'!$D$8:$D$1007,MATCH(C91&amp;"|"&amp;G91,'18-دامنه استانداردها'!$A$8:$A$1007,0)),"")&lt;&gt;"بله","دامنه نامشخص",IF(K91="","بررسی نشده؛ سابقه لازم",IF(NOT(IF(J91="ورودی",AND(COUNTIFS('03-ورودی‌های بازنگری'!$A$8:$A$1007,K91)=1,IFERROR(INDEX('03-ورودی‌های بازنگری'!$D$8:$D$1007,MATCH(K91,'03-ورودی‌های بازنگری'!$A$8:$A$1007,0)),"")=B91,IFERROR(INDEX('03-ورودی‌های بازنگری'!$R$8:$R$1007,MATCH(K91,'03-ورودی‌های بازنگری'!$A$8:$A$1007,0)),"")="معتبر"),IF(J91="تصمیم",AND(COUNTIFS('07-تصمیمات و مصوبات'!$A$8:$A$1007,K91)=1,IFERROR(INDEX('07-تصمیمات و مصوبات'!$B$8:$B$1007,MATCH(K91,'07-تصمیمات و مصوبات'!$A$8:$A$1007,0)),"")=B91,IFERROR(INDEX('07-تصمیمات و مصوبات'!$Z$8:$Z$1007,MATCH(K91,'07-تصمیمات و مصوبات'!$A$8:$A$1007,0)),"")="معتبر",COUNTIFS('15-روابط'!$B$8:$B$1007,K91,'15-روابط'!$C$8:$C$1007,"الزام",'15-روابط'!$D$8:$D$1007,F91,'15-روابط'!$E$8:$E$1007,"رابطه معتبر")&gt;0),IF(J91="نتیجه",AND(COUNTIFS('06-نتایج بازنگری'!$A$8:$A$1007,K91)=1,IFERROR(INDEX('06-نتایج بازنگری'!$D$8:$D$1007,MATCH(K91,'06-نتایج بازنگری'!$A$8:$A$1007,0)),"")=B91,IFERROR(INDEX('06-نتایج بازنگری'!$P$8:$P$1007,MATCH(K91,'06-نتایج بازنگری'!$A$8:$A$1007,0)),"")="معتبر",IFERROR(INDEX('06-نتایج بازنگری'!$F$8:$F$1007,MATCH(K91,'06-نتایج بازنگری'!$A$8:$A$1007,0)),"")=G91),IF(J91="ابلاغ",AND(COUNTIFS('20-ابلاغ نتایج'!$A$8:$A$1007,K91)=1,IFERROR(INDEX('20-ابلاغ نتایج'!$E$8:$E$1007,MATCH(K91,'20-ابلاغ نتایج'!$A$8:$A$1007,0)),"")=B91,IFERROR(INDEX('20-ابلاغ نتایج'!$L$8:$L$1007,MATCH(K91,'20-ابلاغ نتایج'!$A$8:$A$1007,0)),"")="معتبر"),FALSE))))),"سابقه یا شواهد ناقص",IF(IFERROR(INDEX('18-دامنه استانداردها'!$J$8:$J$1007,MATCH(C91&amp;"|"&amp;G91,'18-دامنه استانداردها'!$A$8:$A$1007,0)),"")="تأیید شده","شواهد مرتبط ثبت شد؛ تأیید ممیز لازم",IF(IFERROR(INDEX('18-دامنه استانداردها'!$J$8:$J$1007,MATCH(C91&amp;"|"&amp;G91,'18-دامنه استانداردها'!$A$8:$A$1007,0)),"")="فرضی","پوشش فرضی؛ آموزشی","شواهد حاضر؛ تطبیق نسخه باز"))))))))</f>
        <v>بررسی نشده؛ سابقه لازم</v>
      </c>
      <c r="O91" s="1" t="s">
        <v>1215</v>
      </c>
    </row>
    <row r="92" spans="1:15" ht="36" customHeight="1">
      <c r="A92" s="1" t="s">
        <v>1300</v>
      </c>
      <c r="B92" s="1" t="s">
        <v>83</v>
      </c>
      <c r="C92" s="1" t="s">
        <v>77</v>
      </c>
      <c r="D92" s="1" t="s">
        <v>80</v>
      </c>
      <c r="E92" s="1" t="s">
        <v>379</v>
      </c>
      <c r="F92" s="1" t="s">
        <v>308</v>
      </c>
      <c r="G92" s="3" t="str">
        <f>IF(A92="","",IFERROR(INDEX('02-ماتریس الزامات'!$B$8:$B$1007,MATCH(F92,'02-ماتریس الزامات'!$A$8:$A$1007,0)),""))</f>
        <v>EMS</v>
      </c>
      <c r="H92" s="3" t="str">
        <f>IF(A92="","",IFERROR(INDEX('02-ماتریس الزامات'!$D$8:$D$1007,MATCH(F92,'02-ماتریس الزامات'!$A$8:$A$1007,0)),""))</f>
        <v>9.3؛ شماره جزء تابع ویرایش</v>
      </c>
      <c r="I92" s="3" t="str">
        <f>IF(A92="","",IFERROR(INDEX('02-ماتریس الزامات'!$F$8:$F$1007,MATCH(F92,'02-ماتریس الزامات'!$A$8:$A$1007,0)),""))</f>
        <v>فرصت‌های بهبود</v>
      </c>
      <c r="J92" s="1" t="s">
        <v>174</v>
      </c>
      <c r="K92" s="1" t="s">
        <v>402</v>
      </c>
      <c r="L92" s="1"/>
      <c r="M92" s="1"/>
      <c r="N92" s="3" t="str">
        <f>IF(A92="","",IF(NOT(AND(COUNTIFS('13-کنترل انطباق'!$A$8:$A$1007,A92)=1,AND(COUNTIFS('17-جلسات و دوره‌ها'!$A$8:$A$1007,B92)=1,IFERROR(INDEX('17-جلسات و دوره‌ها'!$B$8:$B$1007,MATCH(B92,'17-جلسات و دوره‌ها'!$A$8:$A$1007,0)),"")=C92,IFERROR(INDEX('17-جلسات و دوره‌ها'!$C$8:$C$1007,MATCH(B92,'17-جلسات و دوره‌ها'!$A$8:$A$1007,0)),"")=D92),COUNTIFS('02-ماتریس الزامات'!$A$8:$A$1007,F92)=1,COUNTIFS('18-دامنه استانداردها'!$A$8:$A$1007,C92&amp;"|"&amp;G92)=1)),"شناسه یا دامنه نامعتبر",IF(IFERROR(INDEX('18-دامنه استانداردها'!$D$8:$D$1007,MATCH(C92&amp;"|"&amp;G92,'18-دامنه استانداردها'!$A$8:$A$1007,0)),"")="خیر",IF(AND(L92&lt;&gt;"",M92&lt;&gt;"",IFERROR(INDEX('18-دامنه استانداردها'!$H$8:$H$1007,MATCH(C92&amp;"|"&amp;G92,'18-دامنه استانداردها'!$A$8:$A$1007,0)),"")&lt;&gt;"",IFERROR(INDEX('18-دامنه استانداردها'!$I$8:$I$1007,MATCH(C92&amp;"|"&amp;G92,'18-دامنه استانداردها'!$A$8:$A$1007,0)),"")&lt;&gt;""),"عدم کاربرد مستند","عدم کاربرد بدون توجیه"),IF(IFERROR(INDEX('18-دامنه استانداردها'!$D$8:$D$1007,MATCH(C92&amp;"|"&amp;G92,'18-دامنه استانداردها'!$A$8:$A$1007,0)),"")&lt;&gt;"بله","دامنه نامشخص",IF(K92="","بررسی نشده؛ سابقه لازم",IF(NOT(IF(J92="ورودی",AND(COUNTIFS('03-ورودی‌های بازنگری'!$A$8:$A$1007,K92)=1,IFERROR(INDEX('03-ورودی‌های بازنگری'!$D$8:$D$1007,MATCH(K92,'03-ورودی‌های بازنگری'!$A$8:$A$1007,0)),"")=B92,IFERROR(INDEX('03-ورودی‌های بازنگری'!$R$8:$R$1007,MATCH(K92,'03-ورودی‌های بازنگری'!$A$8:$A$1007,0)),"")="معتبر"),IF(J92="تصمیم",AND(COUNTIFS('07-تصمیمات و مصوبات'!$A$8:$A$1007,K92)=1,IFERROR(INDEX('07-تصمیمات و مصوبات'!$B$8:$B$1007,MATCH(K92,'07-تصمیمات و مصوبات'!$A$8:$A$1007,0)),"")=B92,IFERROR(INDEX('07-تصمیمات و مصوبات'!$Z$8:$Z$1007,MATCH(K92,'07-تصمیمات و مصوبات'!$A$8:$A$1007,0)),"")="معتبر",COUNTIFS('15-روابط'!$B$8:$B$1007,K92,'15-روابط'!$C$8:$C$1007,"الزام",'15-روابط'!$D$8:$D$1007,F92,'15-روابط'!$E$8:$E$1007,"رابطه معتبر")&gt;0),IF(J92="نتیجه",AND(COUNTIFS('06-نتایج بازنگری'!$A$8:$A$1007,K92)=1,IFERROR(INDEX('06-نتایج بازنگری'!$D$8:$D$1007,MATCH(K92,'06-نتایج بازنگری'!$A$8:$A$1007,0)),"")=B92,IFERROR(INDEX('06-نتایج بازنگری'!$P$8:$P$1007,MATCH(K92,'06-نتایج بازنگری'!$A$8:$A$1007,0)),"")="معتبر",IFERROR(INDEX('06-نتایج بازنگری'!$F$8:$F$1007,MATCH(K92,'06-نتایج بازنگری'!$A$8:$A$1007,0)),"")=G92),IF(J92="ابلاغ",AND(COUNTIFS('20-ابلاغ نتایج'!$A$8:$A$1007,K92)=1,IFERROR(INDEX('20-ابلاغ نتایج'!$E$8:$E$1007,MATCH(K92,'20-ابلاغ نتایج'!$A$8:$A$1007,0)),"")=B92,IFERROR(INDEX('20-ابلاغ نتایج'!$L$8:$L$1007,MATCH(K92,'20-ابلاغ نتایج'!$A$8:$A$1007,0)),"")="معتبر"),FALSE))))),"سابقه یا شواهد ناقص",IF(IFERROR(INDEX('18-دامنه استانداردها'!$J$8:$J$1007,MATCH(C92&amp;"|"&amp;G92,'18-دامنه استانداردها'!$A$8:$A$1007,0)),"")="تأیید شده","شواهد مرتبط ثبت شد؛ تأیید ممیز لازم",IF(IFERROR(INDEX('18-دامنه استانداردها'!$J$8:$J$1007,MATCH(C92&amp;"|"&amp;G92,'18-دامنه استانداردها'!$A$8:$A$1007,0)),"")="فرضی","پوشش فرضی؛ آموزشی","شواهد حاضر؛ تطبیق نسخه باز"))))))))</f>
        <v>سابقه یا شواهد ناقص</v>
      </c>
      <c r="O92" s="1" t="s">
        <v>1215</v>
      </c>
    </row>
    <row r="93" spans="1:15" ht="36" customHeight="1">
      <c r="A93" s="1" t="s">
        <v>1301</v>
      </c>
      <c r="B93" s="1" t="s">
        <v>530</v>
      </c>
      <c r="C93" s="1" t="s">
        <v>99</v>
      </c>
      <c r="D93" s="1" t="s">
        <v>529</v>
      </c>
      <c r="E93" s="1" t="s">
        <v>531</v>
      </c>
      <c r="F93" s="1" t="s">
        <v>308</v>
      </c>
      <c r="G93" s="3" t="str">
        <f>IF(A93="","",IFERROR(INDEX('02-ماتریس الزامات'!$B$8:$B$1007,MATCH(F93,'02-ماتریس الزامات'!$A$8:$A$1007,0)),""))</f>
        <v>EMS</v>
      </c>
      <c r="H93" s="3" t="str">
        <f>IF(A93="","",IFERROR(INDEX('02-ماتریس الزامات'!$D$8:$D$1007,MATCH(F93,'02-ماتریس الزامات'!$A$8:$A$1007,0)),""))</f>
        <v>9.3؛ شماره جزء تابع ویرایش</v>
      </c>
      <c r="I93" s="3" t="str">
        <f>IF(A93="","",IFERROR(INDEX('02-ماتریس الزامات'!$F$8:$F$1007,MATCH(F93,'02-ماتریس الزامات'!$A$8:$A$1007,0)),""))</f>
        <v>فرصت‌های بهبود</v>
      </c>
      <c r="J93" s="1" t="s">
        <v>174</v>
      </c>
      <c r="K93" s="1"/>
      <c r="L93" s="1"/>
      <c r="M93" s="1"/>
      <c r="N93" s="3" t="str">
        <f>IF(A93="","",IF(NOT(AND(COUNTIFS('13-کنترل انطباق'!$A$8:$A$1007,A93)=1,AND(COUNTIFS('17-جلسات و دوره‌ها'!$A$8:$A$1007,B93)=1,IFERROR(INDEX('17-جلسات و دوره‌ها'!$B$8:$B$1007,MATCH(B93,'17-جلسات و دوره‌ها'!$A$8:$A$1007,0)),"")=C93,IFERROR(INDEX('17-جلسات و دوره‌ها'!$C$8:$C$1007,MATCH(B93,'17-جلسات و دوره‌ها'!$A$8:$A$1007,0)),"")=D93),COUNTIFS('02-ماتریس الزامات'!$A$8:$A$1007,F93)=1,COUNTIFS('18-دامنه استانداردها'!$A$8:$A$1007,C93&amp;"|"&amp;G93)=1)),"شناسه یا دامنه نامعتبر",IF(IFERROR(INDEX('18-دامنه استانداردها'!$D$8:$D$1007,MATCH(C93&amp;"|"&amp;G93,'18-دامنه استانداردها'!$A$8:$A$1007,0)),"")="خیر",IF(AND(L93&lt;&gt;"",M93&lt;&gt;"",IFERROR(INDEX('18-دامنه استانداردها'!$H$8:$H$1007,MATCH(C93&amp;"|"&amp;G93,'18-دامنه استانداردها'!$A$8:$A$1007,0)),"")&lt;&gt;"",IFERROR(INDEX('18-دامنه استانداردها'!$I$8:$I$1007,MATCH(C93&amp;"|"&amp;G93,'18-دامنه استانداردها'!$A$8:$A$1007,0)),"")&lt;&gt;""),"عدم کاربرد مستند","عدم کاربرد بدون توجیه"),IF(IFERROR(INDEX('18-دامنه استانداردها'!$D$8:$D$1007,MATCH(C93&amp;"|"&amp;G93,'18-دامنه استانداردها'!$A$8:$A$1007,0)),"")&lt;&gt;"بله","دامنه نامشخص",IF(K93="","بررسی نشده؛ سابقه لازم",IF(NOT(IF(J93="ورودی",AND(COUNTIFS('03-ورودی‌های بازنگری'!$A$8:$A$1007,K93)=1,IFERROR(INDEX('03-ورودی‌های بازنگری'!$D$8:$D$1007,MATCH(K93,'03-ورودی‌های بازنگری'!$A$8:$A$1007,0)),"")=B93,IFERROR(INDEX('03-ورودی‌های بازنگری'!$R$8:$R$1007,MATCH(K93,'03-ورودی‌های بازنگری'!$A$8:$A$1007,0)),"")="معتبر"),IF(J93="تصمیم",AND(COUNTIFS('07-تصمیمات و مصوبات'!$A$8:$A$1007,K93)=1,IFERROR(INDEX('07-تصمیمات و مصوبات'!$B$8:$B$1007,MATCH(K93,'07-تصمیمات و مصوبات'!$A$8:$A$1007,0)),"")=B93,IFERROR(INDEX('07-تصمیمات و مصوبات'!$Z$8:$Z$1007,MATCH(K93,'07-تصمیمات و مصوبات'!$A$8:$A$1007,0)),"")="معتبر",COUNTIFS('15-روابط'!$B$8:$B$1007,K93,'15-روابط'!$C$8:$C$1007,"الزام",'15-روابط'!$D$8:$D$1007,F93,'15-روابط'!$E$8:$E$1007,"رابطه معتبر")&gt;0),IF(J93="نتیجه",AND(COUNTIFS('06-نتایج بازنگری'!$A$8:$A$1007,K93)=1,IFERROR(INDEX('06-نتایج بازنگری'!$D$8:$D$1007,MATCH(K93,'06-نتایج بازنگری'!$A$8:$A$1007,0)),"")=B93,IFERROR(INDEX('06-نتایج بازنگری'!$P$8:$P$1007,MATCH(K93,'06-نتایج بازنگری'!$A$8:$A$1007,0)),"")="معتبر",IFERROR(INDEX('06-نتایج بازنگری'!$F$8:$F$1007,MATCH(K93,'06-نتایج بازنگری'!$A$8:$A$1007,0)),"")=G93),IF(J93="ابلاغ",AND(COUNTIFS('20-ابلاغ نتایج'!$A$8:$A$1007,K93)=1,IFERROR(INDEX('20-ابلاغ نتایج'!$E$8:$E$1007,MATCH(K93,'20-ابلاغ نتایج'!$A$8:$A$1007,0)),"")=B93,IFERROR(INDEX('20-ابلاغ نتایج'!$L$8:$L$1007,MATCH(K93,'20-ابلاغ نتایج'!$A$8:$A$1007,0)),"")="معتبر"),FALSE))))),"سابقه یا شواهد ناقص",IF(IFERROR(INDEX('18-دامنه استانداردها'!$J$8:$J$1007,MATCH(C93&amp;"|"&amp;G93,'18-دامنه استانداردها'!$A$8:$A$1007,0)),"")="تأیید شده","شواهد مرتبط ثبت شد؛ تأیید ممیز لازم",IF(IFERROR(INDEX('18-دامنه استانداردها'!$J$8:$J$1007,MATCH(C93&amp;"|"&amp;G93,'18-دامنه استانداردها'!$A$8:$A$1007,0)),"")="فرضی","پوشش فرضی؛ آموزشی","شواهد حاضر؛ تطبیق نسخه باز"))))))))</f>
        <v>بررسی نشده؛ سابقه لازم</v>
      </c>
      <c r="O93" s="1" t="s">
        <v>1215</v>
      </c>
    </row>
    <row r="94" spans="1:15" ht="36" customHeight="1">
      <c r="A94" s="1" t="s">
        <v>1302</v>
      </c>
      <c r="B94" s="1" t="s">
        <v>83</v>
      </c>
      <c r="C94" s="1" t="s">
        <v>77</v>
      </c>
      <c r="D94" s="1" t="s">
        <v>80</v>
      </c>
      <c r="E94" s="1" t="s">
        <v>379</v>
      </c>
      <c r="F94" s="1" t="s">
        <v>310</v>
      </c>
      <c r="G94" s="3" t="str">
        <f>IF(A94="","",IFERROR(INDEX('02-ماتریس الزامات'!$B$8:$B$1007,MATCH(F94,'02-ماتریس الزامات'!$A$8:$A$1007,0)),""))</f>
        <v>EMS</v>
      </c>
      <c r="H94" s="3" t="str">
        <f>IF(A94="","",IFERROR(INDEX('02-ماتریس الزامات'!$D$8:$D$1007,MATCH(F94,'02-ماتریس الزامات'!$A$8:$A$1007,0)),""))</f>
        <v>9.3؛ شماره جزء تابع ویرایش</v>
      </c>
      <c r="I94" s="3" t="str">
        <f>IF(A94="","",IFERROR(INDEX('02-ماتریس الزامات'!$F$8:$F$1007,MATCH(F94,'02-ماتریس الزامات'!$A$8:$A$1007,0)),""))</f>
        <v>تغییر جنبه‌های بارز محیط‌زیستی</v>
      </c>
      <c r="J94" s="1" t="s">
        <v>174</v>
      </c>
      <c r="K94" s="1" t="s">
        <v>497</v>
      </c>
      <c r="L94" s="1"/>
      <c r="M94" s="1"/>
      <c r="N94" s="3" t="str">
        <f>IF(A94="","",IF(NOT(AND(COUNTIFS('13-کنترل انطباق'!$A$8:$A$1007,A94)=1,AND(COUNTIFS('17-جلسات و دوره‌ها'!$A$8:$A$1007,B94)=1,IFERROR(INDEX('17-جلسات و دوره‌ها'!$B$8:$B$1007,MATCH(B94,'17-جلسات و دوره‌ها'!$A$8:$A$1007,0)),"")=C94,IFERROR(INDEX('17-جلسات و دوره‌ها'!$C$8:$C$1007,MATCH(B94,'17-جلسات و دوره‌ها'!$A$8:$A$1007,0)),"")=D94),COUNTIFS('02-ماتریس الزامات'!$A$8:$A$1007,F94)=1,COUNTIFS('18-دامنه استانداردها'!$A$8:$A$1007,C94&amp;"|"&amp;G94)=1)),"شناسه یا دامنه نامعتبر",IF(IFERROR(INDEX('18-دامنه استانداردها'!$D$8:$D$1007,MATCH(C94&amp;"|"&amp;G94,'18-دامنه استانداردها'!$A$8:$A$1007,0)),"")="خیر",IF(AND(L94&lt;&gt;"",M94&lt;&gt;"",IFERROR(INDEX('18-دامنه استانداردها'!$H$8:$H$1007,MATCH(C94&amp;"|"&amp;G94,'18-دامنه استانداردها'!$A$8:$A$1007,0)),"")&lt;&gt;"",IFERROR(INDEX('18-دامنه استانداردها'!$I$8:$I$1007,MATCH(C94&amp;"|"&amp;G94,'18-دامنه استانداردها'!$A$8:$A$1007,0)),"")&lt;&gt;""),"عدم کاربرد مستند","عدم کاربرد بدون توجیه"),IF(IFERROR(INDEX('18-دامنه استانداردها'!$D$8:$D$1007,MATCH(C94&amp;"|"&amp;G94,'18-دامنه استانداردها'!$A$8:$A$1007,0)),"")&lt;&gt;"بله","دامنه نامشخص",IF(K94="","بررسی نشده؛ سابقه لازم",IF(NOT(IF(J94="ورودی",AND(COUNTIFS('03-ورودی‌های بازنگری'!$A$8:$A$1007,K94)=1,IFERROR(INDEX('03-ورودی‌های بازنگری'!$D$8:$D$1007,MATCH(K94,'03-ورودی‌های بازنگری'!$A$8:$A$1007,0)),"")=B94,IFERROR(INDEX('03-ورودی‌های بازنگری'!$R$8:$R$1007,MATCH(K94,'03-ورودی‌های بازنگری'!$A$8:$A$1007,0)),"")="معتبر"),IF(J94="تصمیم",AND(COUNTIFS('07-تصمیمات و مصوبات'!$A$8:$A$1007,K94)=1,IFERROR(INDEX('07-تصمیمات و مصوبات'!$B$8:$B$1007,MATCH(K94,'07-تصمیمات و مصوبات'!$A$8:$A$1007,0)),"")=B94,IFERROR(INDEX('07-تصمیمات و مصوبات'!$Z$8:$Z$1007,MATCH(K94,'07-تصمیمات و مصوبات'!$A$8:$A$1007,0)),"")="معتبر",COUNTIFS('15-روابط'!$B$8:$B$1007,K94,'15-روابط'!$C$8:$C$1007,"الزام",'15-روابط'!$D$8:$D$1007,F94,'15-روابط'!$E$8:$E$1007,"رابطه معتبر")&gt;0),IF(J94="نتیجه",AND(COUNTIFS('06-نتایج بازنگری'!$A$8:$A$1007,K94)=1,IFERROR(INDEX('06-نتایج بازنگری'!$D$8:$D$1007,MATCH(K94,'06-نتایج بازنگری'!$A$8:$A$1007,0)),"")=B94,IFERROR(INDEX('06-نتایج بازنگری'!$P$8:$P$1007,MATCH(K94,'06-نتایج بازنگری'!$A$8:$A$1007,0)),"")="معتبر",IFERROR(INDEX('06-نتایج بازنگری'!$F$8:$F$1007,MATCH(K94,'06-نتایج بازنگری'!$A$8:$A$1007,0)),"")=G94),IF(J94="ابلاغ",AND(COUNTIFS('20-ابلاغ نتایج'!$A$8:$A$1007,K94)=1,IFERROR(INDEX('20-ابلاغ نتایج'!$E$8:$E$1007,MATCH(K94,'20-ابلاغ نتایج'!$A$8:$A$1007,0)),"")=B94,IFERROR(INDEX('20-ابلاغ نتایج'!$L$8:$L$1007,MATCH(K94,'20-ابلاغ نتایج'!$A$8:$A$1007,0)),"")="معتبر"),FALSE))))),"سابقه یا شواهد ناقص",IF(IFERROR(INDEX('18-دامنه استانداردها'!$J$8:$J$1007,MATCH(C94&amp;"|"&amp;G94,'18-دامنه استانداردها'!$A$8:$A$1007,0)),"")="تأیید شده","شواهد مرتبط ثبت شد؛ تأیید ممیز لازم",IF(IFERROR(INDEX('18-دامنه استانداردها'!$J$8:$J$1007,MATCH(C94&amp;"|"&amp;G94,'18-دامنه استانداردها'!$A$8:$A$1007,0)),"")="فرضی","پوشش فرضی؛ آموزشی","شواهد حاضر؛ تطبیق نسخه باز"))))))))</f>
        <v>سابقه یا شواهد ناقص</v>
      </c>
      <c r="O94" s="1" t="s">
        <v>1215</v>
      </c>
    </row>
    <row r="95" spans="1:15" ht="36" customHeight="1">
      <c r="A95" s="1" t="s">
        <v>1303</v>
      </c>
      <c r="B95" s="1" t="s">
        <v>530</v>
      </c>
      <c r="C95" s="1" t="s">
        <v>99</v>
      </c>
      <c r="D95" s="1" t="s">
        <v>529</v>
      </c>
      <c r="E95" s="1" t="s">
        <v>531</v>
      </c>
      <c r="F95" s="1" t="s">
        <v>310</v>
      </c>
      <c r="G95" s="3" t="str">
        <f>IF(A95="","",IFERROR(INDEX('02-ماتریس الزامات'!$B$8:$B$1007,MATCH(F95,'02-ماتریس الزامات'!$A$8:$A$1007,0)),""))</f>
        <v>EMS</v>
      </c>
      <c r="H95" s="3" t="str">
        <f>IF(A95="","",IFERROR(INDEX('02-ماتریس الزامات'!$D$8:$D$1007,MATCH(F95,'02-ماتریس الزامات'!$A$8:$A$1007,0)),""))</f>
        <v>9.3؛ شماره جزء تابع ویرایش</v>
      </c>
      <c r="I95" s="3" t="str">
        <f>IF(A95="","",IFERROR(INDEX('02-ماتریس الزامات'!$F$8:$F$1007,MATCH(F95,'02-ماتریس الزامات'!$A$8:$A$1007,0)),""))</f>
        <v>تغییر جنبه‌های بارز محیط‌زیستی</v>
      </c>
      <c r="J95" s="1" t="s">
        <v>174</v>
      </c>
      <c r="K95" s="1"/>
      <c r="L95" s="1"/>
      <c r="M95" s="1"/>
      <c r="N95" s="3" t="str">
        <f>IF(A95="","",IF(NOT(AND(COUNTIFS('13-کنترل انطباق'!$A$8:$A$1007,A95)=1,AND(COUNTIFS('17-جلسات و دوره‌ها'!$A$8:$A$1007,B95)=1,IFERROR(INDEX('17-جلسات و دوره‌ها'!$B$8:$B$1007,MATCH(B95,'17-جلسات و دوره‌ها'!$A$8:$A$1007,0)),"")=C95,IFERROR(INDEX('17-جلسات و دوره‌ها'!$C$8:$C$1007,MATCH(B95,'17-جلسات و دوره‌ها'!$A$8:$A$1007,0)),"")=D95),COUNTIFS('02-ماتریس الزامات'!$A$8:$A$1007,F95)=1,COUNTIFS('18-دامنه استانداردها'!$A$8:$A$1007,C95&amp;"|"&amp;G95)=1)),"شناسه یا دامنه نامعتبر",IF(IFERROR(INDEX('18-دامنه استانداردها'!$D$8:$D$1007,MATCH(C95&amp;"|"&amp;G95,'18-دامنه استانداردها'!$A$8:$A$1007,0)),"")="خیر",IF(AND(L95&lt;&gt;"",M95&lt;&gt;"",IFERROR(INDEX('18-دامنه استانداردها'!$H$8:$H$1007,MATCH(C95&amp;"|"&amp;G95,'18-دامنه استانداردها'!$A$8:$A$1007,0)),"")&lt;&gt;"",IFERROR(INDEX('18-دامنه استانداردها'!$I$8:$I$1007,MATCH(C95&amp;"|"&amp;G95,'18-دامنه استانداردها'!$A$8:$A$1007,0)),"")&lt;&gt;""),"عدم کاربرد مستند","عدم کاربرد بدون توجیه"),IF(IFERROR(INDEX('18-دامنه استانداردها'!$D$8:$D$1007,MATCH(C95&amp;"|"&amp;G95,'18-دامنه استانداردها'!$A$8:$A$1007,0)),"")&lt;&gt;"بله","دامنه نامشخص",IF(K95="","بررسی نشده؛ سابقه لازم",IF(NOT(IF(J95="ورودی",AND(COUNTIFS('03-ورودی‌های بازنگری'!$A$8:$A$1007,K95)=1,IFERROR(INDEX('03-ورودی‌های بازنگری'!$D$8:$D$1007,MATCH(K95,'03-ورودی‌های بازنگری'!$A$8:$A$1007,0)),"")=B95,IFERROR(INDEX('03-ورودی‌های بازنگری'!$R$8:$R$1007,MATCH(K95,'03-ورودی‌های بازنگری'!$A$8:$A$1007,0)),"")="معتبر"),IF(J95="تصمیم",AND(COUNTIFS('07-تصمیمات و مصوبات'!$A$8:$A$1007,K95)=1,IFERROR(INDEX('07-تصمیمات و مصوبات'!$B$8:$B$1007,MATCH(K95,'07-تصمیمات و مصوبات'!$A$8:$A$1007,0)),"")=B95,IFERROR(INDEX('07-تصمیمات و مصوبات'!$Z$8:$Z$1007,MATCH(K95,'07-تصمیمات و مصوبات'!$A$8:$A$1007,0)),"")="معتبر",COUNTIFS('15-روابط'!$B$8:$B$1007,K95,'15-روابط'!$C$8:$C$1007,"الزام",'15-روابط'!$D$8:$D$1007,F95,'15-روابط'!$E$8:$E$1007,"رابطه معتبر")&gt;0),IF(J95="نتیجه",AND(COUNTIFS('06-نتایج بازنگری'!$A$8:$A$1007,K95)=1,IFERROR(INDEX('06-نتایج بازنگری'!$D$8:$D$1007,MATCH(K95,'06-نتایج بازنگری'!$A$8:$A$1007,0)),"")=B95,IFERROR(INDEX('06-نتایج بازنگری'!$P$8:$P$1007,MATCH(K95,'06-نتایج بازنگری'!$A$8:$A$1007,0)),"")="معتبر",IFERROR(INDEX('06-نتایج بازنگری'!$F$8:$F$1007,MATCH(K95,'06-نتایج بازنگری'!$A$8:$A$1007,0)),"")=G95),IF(J95="ابلاغ",AND(COUNTIFS('20-ابلاغ نتایج'!$A$8:$A$1007,K95)=1,IFERROR(INDEX('20-ابلاغ نتایج'!$E$8:$E$1007,MATCH(K95,'20-ابلاغ نتایج'!$A$8:$A$1007,0)),"")=B95,IFERROR(INDEX('20-ابلاغ نتایج'!$L$8:$L$1007,MATCH(K95,'20-ابلاغ نتایج'!$A$8:$A$1007,0)),"")="معتبر"),FALSE))))),"سابقه یا شواهد ناقص",IF(IFERROR(INDEX('18-دامنه استانداردها'!$J$8:$J$1007,MATCH(C95&amp;"|"&amp;G95,'18-دامنه استانداردها'!$A$8:$A$1007,0)),"")="تأیید شده","شواهد مرتبط ثبت شد؛ تأیید ممیز لازم",IF(IFERROR(INDEX('18-دامنه استانداردها'!$J$8:$J$1007,MATCH(C95&amp;"|"&amp;G95,'18-دامنه استانداردها'!$A$8:$A$1007,0)),"")="فرضی","پوشش فرضی؛ آموزشی","شواهد حاضر؛ تطبیق نسخه باز"))))))))</f>
        <v>بررسی نشده؛ سابقه لازم</v>
      </c>
      <c r="O95" s="1" t="s">
        <v>1215</v>
      </c>
    </row>
    <row r="96" spans="1:15" ht="36" customHeight="1">
      <c r="A96" s="1" t="s">
        <v>1304</v>
      </c>
      <c r="B96" s="1" t="s">
        <v>83</v>
      </c>
      <c r="C96" s="1" t="s">
        <v>77</v>
      </c>
      <c r="D96" s="1" t="s">
        <v>80</v>
      </c>
      <c r="E96" s="1" t="s">
        <v>379</v>
      </c>
      <c r="F96" s="1" t="s">
        <v>312</v>
      </c>
      <c r="G96" s="3" t="str">
        <f>IF(A96="","",IFERROR(INDEX('02-ماتریس الزامات'!$B$8:$B$1007,MATCH(F96,'02-ماتریس الزامات'!$A$8:$A$1007,0)),""))</f>
        <v>EMS</v>
      </c>
      <c r="H96" s="3" t="str">
        <f>IF(A96="","",IFERROR(INDEX('02-ماتریس الزامات'!$D$8:$D$1007,MATCH(F96,'02-ماتریس الزامات'!$A$8:$A$1007,0)),""))</f>
        <v>9.3 / 9.3.3 نسخه 2026؛ تطبیق لازم</v>
      </c>
      <c r="I96" s="3" t="str">
        <f>IF(A96="","",IFERROR(INDEX('02-ماتریس الزامات'!$F$8:$F$1007,MATCH(F96,'02-ماتریس الزامات'!$A$8:$A$1007,0)),""))</f>
        <v>تناسب، کفایت و اثربخشی</v>
      </c>
      <c r="J96" s="1" t="s">
        <v>1116</v>
      </c>
      <c r="K96" s="1"/>
      <c r="L96" s="1"/>
      <c r="M96" s="1"/>
      <c r="N96" s="3" t="str">
        <f>IF(A96="","",IF(NOT(AND(COUNTIFS('13-کنترل انطباق'!$A$8:$A$1007,A96)=1,AND(COUNTIFS('17-جلسات و دوره‌ها'!$A$8:$A$1007,B96)=1,IFERROR(INDEX('17-جلسات و دوره‌ها'!$B$8:$B$1007,MATCH(B96,'17-جلسات و دوره‌ها'!$A$8:$A$1007,0)),"")=C96,IFERROR(INDEX('17-جلسات و دوره‌ها'!$C$8:$C$1007,MATCH(B96,'17-جلسات و دوره‌ها'!$A$8:$A$1007,0)),"")=D96),COUNTIFS('02-ماتریس الزامات'!$A$8:$A$1007,F96)=1,COUNTIFS('18-دامنه استانداردها'!$A$8:$A$1007,C96&amp;"|"&amp;G96)=1)),"شناسه یا دامنه نامعتبر",IF(IFERROR(INDEX('18-دامنه استانداردها'!$D$8:$D$1007,MATCH(C96&amp;"|"&amp;G96,'18-دامنه استانداردها'!$A$8:$A$1007,0)),"")="خیر",IF(AND(L96&lt;&gt;"",M96&lt;&gt;"",IFERROR(INDEX('18-دامنه استانداردها'!$H$8:$H$1007,MATCH(C96&amp;"|"&amp;G96,'18-دامنه استانداردها'!$A$8:$A$1007,0)),"")&lt;&gt;"",IFERROR(INDEX('18-دامنه استانداردها'!$I$8:$I$1007,MATCH(C96&amp;"|"&amp;G96,'18-دامنه استانداردها'!$A$8:$A$1007,0)),"")&lt;&gt;""),"عدم کاربرد مستند","عدم کاربرد بدون توجیه"),IF(IFERROR(INDEX('18-دامنه استانداردها'!$D$8:$D$1007,MATCH(C96&amp;"|"&amp;G96,'18-دامنه استانداردها'!$A$8:$A$1007,0)),"")&lt;&gt;"بله","دامنه نامشخص",IF(K96="","بررسی نشده؛ سابقه لازم",IF(NOT(IF(J96="ورودی",AND(COUNTIFS('03-ورودی‌های بازنگری'!$A$8:$A$1007,K96)=1,IFERROR(INDEX('03-ورودی‌های بازنگری'!$D$8:$D$1007,MATCH(K96,'03-ورودی‌های بازنگری'!$A$8:$A$1007,0)),"")=B96,IFERROR(INDEX('03-ورودی‌های بازنگری'!$R$8:$R$1007,MATCH(K96,'03-ورودی‌های بازنگری'!$A$8:$A$1007,0)),"")="معتبر"),IF(J96="تصمیم",AND(COUNTIFS('07-تصمیمات و مصوبات'!$A$8:$A$1007,K96)=1,IFERROR(INDEX('07-تصمیمات و مصوبات'!$B$8:$B$1007,MATCH(K96,'07-تصمیمات و مصوبات'!$A$8:$A$1007,0)),"")=B96,IFERROR(INDEX('07-تصمیمات و مصوبات'!$Z$8:$Z$1007,MATCH(K96,'07-تصمیمات و مصوبات'!$A$8:$A$1007,0)),"")="معتبر",COUNTIFS('15-روابط'!$B$8:$B$1007,K96,'15-روابط'!$C$8:$C$1007,"الزام",'15-روابط'!$D$8:$D$1007,F96,'15-روابط'!$E$8:$E$1007,"رابطه معتبر")&gt;0),IF(J96="نتیجه",AND(COUNTIFS('06-نتایج بازنگری'!$A$8:$A$1007,K96)=1,IFERROR(INDEX('06-نتایج بازنگری'!$D$8:$D$1007,MATCH(K96,'06-نتایج بازنگری'!$A$8:$A$1007,0)),"")=B96,IFERROR(INDEX('06-نتایج بازنگری'!$P$8:$P$1007,MATCH(K96,'06-نتایج بازنگری'!$A$8:$A$1007,0)),"")="معتبر",IFERROR(INDEX('06-نتایج بازنگری'!$F$8:$F$1007,MATCH(K96,'06-نتایج بازنگری'!$A$8:$A$1007,0)),"")=G96),IF(J96="ابلاغ",AND(COUNTIFS('20-ابلاغ نتایج'!$A$8:$A$1007,K96)=1,IFERROR(INDEX('20-ابلاغ نتایج'!$E$8:$E$1007,MATCH(K96,'20-ابلاغ نتایج'!$A$8:$A$1007,0)),"")=B96,IFERROR(INDEX('20-ابلاغ نتایج'!$L$8:$L$1007,MATCH(K96,'20-ابلاغ نتایج'!$A$8:$A$1007,0)),"")="معتبر"),FALSE))))),"سابقه یا شواهد ناقص",IF(IFERROR(INDEX('18-دامنه استانداردها'!$J$8:$J$1007,MATCH(C96&amp;"|"&amp;G96,'18-دامنه استانداردها'!$A$8:$A$1007,0)),"")="تأیید شده","شواهد مرتبط ثبت شد؛ تأیید ممیز لازم",IF(IFERROR(INDEX('18-دامنه استانداردها'!$J$8:$J$1007,MATCH(C96&amp;"|"&amp;G96,'18-دامنه استانداردها'!$A$8:$A$1007,0)),"")="فرضی","پوشش فرضی؛ آموزشی","شواهد حاضر؛ تطبیق نسخه باز"))))))))</f>
        <v>بررسی نشده؛ سابقه لازم</v>
      </c>
      <c r="O96" s="1" t="s">
        <v>1215</v>
      </c>
    </row>
    <row r="97" spans="1:15" ht="36" customHeight="1">
      <c r="A97" s="1" t="s">
        <v>1305</v>
      </c>
      <c r="B97" s="1" t="s">
        <v>530</v>
      </c>
      <c r="C97" s="1" t="s">
        <v>99</v>
      </c>
      <c r="D97" s="1" t="s">
        <v>529</v>
      </c>
      <c r="E97" s="1" t="s">
        <v>531</v>
      </c>
      <c r="F97" s="1" t="s">
        <v>312</v>
      </c>
      <c r="G97" s="3" t="str">
        <f>IF(A97="","",IFERROR(INDEX('02-ماتریس الزامات'!$B$8:$B$1007,MATCH(F97,'02-ماتریس الزامات'!$A$8:$A$1007,0)),""))</f>
        <v>EMS</v>
      </c>
      <c r="H97" s="3" t="str">
        <f>IF(A97="","",IFERROR(INDEX('02-ماتریس الزامات'!$D$8:$D$1007,MATCH(F97,'02-ماتریس الزامات'!$A$8:$A$1007,0)),""))</f>
        <v>9.3 / 9.3.3 نسخه 2026؛ تطبیق لازم</v>
      </c>
      <c r="I97" s="3" t="str">
        <f>IF(A97="","",IFERROR(INDEX('02-ماتریس الزامات'!$F$8:$F$1007,MATCH(F97,'02-ماتریس الزامات'!$A$8:$A$1007,0)),""))</f>
        <v>تناسب، کفایت و اثربخشی</v>
      </c>
      <c r="J97" s="1" t="s">
        <v>1116</v>
      </c>
      <c r="K97" s="1"/>
      <c r="L97" s="1"/>
      <c r="M97" s="1"/>
      <c r="N97" s="3" t="str">
        <f>IF(A97="","",IF(NOT(AND(COUNTIFS('13-کنترل انطباق'!$A$8:$A$1007,A97)=1,AND(COUNTIFS('17-جلسات و دوره‌ها'!$A$8:$A$1007,B97)=1,IFERROR(INDEX('17-جلسات و دوره‌ها'!$B$8:$B$1007,MATCH(B97,'17-جلسات و دوره‌ها'!$A$8:$A$1007,0)),"")=C97,IFERROR(INDEX('17-جلسات و دوره‌ها'!$C$8:$C$1007,MATCH(B97,'17-جلسات و دوره‌ها'!$A$8:$A$1007,0)),"")=D97),COUNTIFS('02-ماتریس الزامات'!$A$8:$A$1007,F97)=1,COUNTIFS('18-دامنه استانداردها'!$A$8:$A$1007,C97&amp;"|"&amp;G97)=1)),"شناسه یا دامنه نامعتبر",IF(IFERROR(INDEX('18-دامنه استانداردها'!$D$8:$D$1007,MATCH(C97&amp;"|"&amp;G97,'18-دامنه استانداردها'!$A$8:$A$1007,0)),"")="خیر",IF(AND(L97&lt;&gt;"",M97&lt;&gt;"",IFERROR(INDEX('18-دامنه استانداردها'!$H$8:$H$1007,MATCH(C97&amp;"|"&amp;G97,'18-دامنه استانداردها'!$A$8:$A$1007,0)),"")&lt;&gt;"",IFERROR(INDEX('18-دامنه استانداردها'!$I$8:$I$1007,MATCH(C97&amp;"|"&amp;G97,'18-دامنه استانداردها'!$A$8:$A$1007,0)),"")&lt;&gt;""),"عدم کاربرد مستند","عدم کاربرد بدون توجیه"),IF(IFERROR(INDEX('18-دامنه استانداردها'!$D$8:$D$1007,MATCH(C97&amp;"|"&amp;G97,'18-دامنه استانداردها'!$A$8:$A$1007,0)),"")&lt;&gt;"بله","دامنه نامشخص",IF(K97="","بررسی نشده؛ سابقه لازم",IF(NOT(IF(J97="ورودی",AND(COUNTIFS('03-ورودی‌های بازنگری'!$A$8:$A$1007,K97)=1,IFERROR(INDEX('03-ورودی‌های بازنگری'!$D$8:$D$1007,MATCH(K97,'03-ورودی‌های بازنگری'!$A$8:$A$1007,0)),"")=B97,IFERROR(INDEX('03-ورودی‌های بازنگری'!$R$8:$R$1007,MATCH(K97,'03-ورودی‌های بازنگری'!$A$8:$A$1007,0)),"")="معتبر"),IF(J97="تصمیم",AND(COUNTIFS('07-تصمیمات و مصوبات'!$A$8:$A$1007,K97)=1,IFERROR(INDEX('07-تصمیمات و مصوبات'!$B$8:$B$1007,MATCH(K97,'07-تصمیمات و مصوبات'!$A$8:$A$1007,0)),"")=B97,IFERROR(INDEX('07-تصمیمات و مصوبات'!$Z$8:$Z$1007,MATCH(K97,'07-تصمیمات و مصوبات'!$A$8:$A$1007,0)),"")="معتبر",COUNTIFS('15-روابط'!$B$8:$B$1007,K97,'15-روابط'!$C$8:$C$1007,"الزام",'15-روابط'!$D$8:$D$1007,F97,'15-روابط'!$E$8:$E$1007,"رابطه معتبر")&gt;0),IF(J97="نتیجه",AND(COUNTIFS('06-نتایج بازنگری'!$A$8:$A$1007,K97)=1,IFERROR(INDEX('06-نتایج بازنگری'!$D$8:$D$1007,MATCH(K97,'06-نتایج بازنگری'!$A$8:$A$1007,0)),"")=B97,IFERROR(INDEX('06-نتایج بازنگری'!$P$8:$P$1007,MATCH(K97,'06-نتایج بازنگری'!$A$8:$A$1007,0)),"")="معتبر",IFERROR(INDEX('06-نتایج بازنگری'!$F$8:$F$1007,MATCH(K97,'06-نتایج بازنگری'!$A$8:$A$1007,0)),"")=G97),IF(J97="ابلاغ",AND(COUNTIFS('20-ابلاغ نتایج'!$A$8:$A$1007,K97)=1,IFERROR(INDEX('20-ابلاغ نتایج'!$E$8:$E$1007,MATCH(K97,'20-ابلاغ نتایج'!$A$8:$A$1007,0)),"")=B97,IFERROR(INDEX('20-ابلاغ نتایج'!$L$8:$L$1007,MATCH(K97,'20-ابلاغ نتایج'!$A$8:$A$1007,0)),"")="معتبر"),FALSE))))),"سابقه یا شواهد ناقص",IF(IFERROR(INDEX('18-دامنه استانداردها'!$J$8:$J$1007,MATCH(C97&amp;"|"&amp;G97,'18-دامنه استانداردها'!$A$8:$A$1007,0)),"")="تأیید شده","شواهد مرتبط ثبت شد؛ تأیید ممیز لازم",IF(IFERROR(INDEX('18-دامنه استانداردها'!$J$8:$J$1007,MATCH(C97&amp;"|"&amp;G97,'18-دامنه استانداردها'!$A$8:$A$1007,0)),"")="فرضی","پوشش فرضی؛ آموزشی","شواهد حاضر؛ تطبیق نسخه باز"))))))))</f>
        <v>بررسی نشده؛ سابقه لازم</v>
      </c>
      <c r="O97" s="1" t="s">
        <v>1215</v>
      </c>
    </row>
    <row r="98" spans="1:15" ht="36" customHeight="1">
      <c r="A98" s="1" t="s">
        <v>1306</v>
      </c>
      <c r="B98" s="1" t="s">
        <v>83</v>
      </c>
      <c r="C98" s="1" t="s">
        <v>77</v>
      </c>
      <c r="D98" s="1" t="s">
        <v>80</v>
      </c>
      <c r="E98" s="1" t="s">
        <v>379</v>
      </c>
      <c r="F98" s="1" t="s">
        <v>317</v>
      </c>
      <c r="G98" s="3" t="str">
        <f>IF(A98="","",IFERROR(INDEX('02-ماتریس الزامات'!$B$8:$B$1007,MATCH(F98,'02-ماتریس الزامات'!$A$8:$A$1007,0)),""))</f>
        <v>EMS</v>
      </c>
      <c r="H98" s="3" t="str">
        <f>IF(A98="","",IFERROR(INDEX('02-ماتریس الزامات'!$D$8:$D$1007,MATCH(F98,'02-ماتریس الزامات'!$A$8:$A$1007,0)),""))</f>
        <v>9.3 / 9.3.3 نسخه 2026؛ تطبیق لازم</v>
      </c>
      <c r="I98" s="3" t="str">
        <f>IF(A98="","",IFERROR(INDEX('02-ماتریس الزامات'!$F$8:$F$1007,MATCH(F98,'02-ماتریس الزامات'!$A$8:$A$1007,0)),""))</f>
        <v>بهبود مستمر</v>
      </c>
      <c r="J98" s="1" t="s">
        <v>1116</v>
      </c>
      <c r="K98" s="1"/>
      <c r="L98" s="1"/>
      <c r="M98" s="1"/>
      <c r="N98" s="3" t="str">
        <f>IF(A98="","",IF(NOT(AND(COUNTIFS('13-کنترل انطباق'!$A$8:$A$1007,A98)=1,AND(COUNTIFS('17-جلسات و دوره‌ها'!$A$8:$A$1007,B98)=1,IFERROR(INDEX('17-جلسات و دوره‌ها'!$B$8:$B$1007,MATCH(B98,'17-جلسات و دوره‌ها'!$A$8:$A$1007,0)),"")=C98,IFERROR(INDEX('17-جلسات و دوره‌ها'!$C$8:$C$1007,MATCH(B98,'17-جلسات و دوره‌ها'!$A$8:$A$1007,0)),"")=D98),COUNTIFS('02-ماتریس الزامات'!$A$8:$A$1007,F98)=1,COUNTIFS('18-دامنه استانداردها'!$A$8:$A$1007,C98&amp;"|"&amp;G98)=1)),"شناسه یا دامنه نامعتبر",IF(IFERROR(INDEX('18-دامنه استانداردها'!$D$8:$D$1007,MATCH(C98&amp;"|"&amp;G98,'18-دامنه استانداردها'!$A$8:$A$1007,0)),"")="خیر",IF(AND(L98&lt;&gt;"",M98&lt;&gt;"",IFERROR(INDEX('18-دامنه استانداردها'!$H$8:$H$1007,MATCH(C98&amp;"|"&amp;G98,'18-دامنه استانداردها'!$A$8:$A$1007,0)),"")&lt;&gt;"",IFERROR(INDEX('18-دامنه استانداردها'!$I$8:$I$1007,MATCH(C98&amp;"|"&amp;G98,'18-دامنه استانداردها'!$A$8:$A$1007,0)),"")&lt;&gt;""),"عدم کاربرد مستند","عدم کاربرد بدون توجیه"),IF(IFERROR(INDEX('18-دامنه استانداردها'!$D$8:$D$1007,MATCH(C98&amp;"|"&amp;G98,'18-دامنه استانداردها'!$A$8:$A$1007,0)),"")&lt;&gt;"بله","دامنه نامشخص",IF(K98="","بررسی نشده؛ سابقه لازم",IF(NOT(IF(J98="ورودی",AND(COUNTIFS('03-ورودی‌های بازنگری'!$A$8:$A$1007,K98)=1,IFERROR(INDEX('03-ورودی‌های بازنگری'!$D$8:$D$1007,MATCH(K98,'03-ورودی‌های بازنگری'!$A$8:$A$1007,0)),"")=B98,IFERROR(INDEX('03-ورودی‌های بازنگری'!$R$8:$R$1007,MATCH(K98,'03-ورودی‌های بازنگری'!$A$8:$A$1007,0)),"")="معتبر"),IF(J98="تصمیم",AND(COUNTIFS('07-تصمیمات و مصوبات'!$A$8:$A$1007,K98)=1,IFERROR(INDEX('07-تصمیمات و مصوبات'!$B$8:$B$1007,MATCH(K98,'07-تصمیمات و مصوبات'!$A$8:$A$1007,0)),"")=B98,IFERROR(INDEX('07-تصمیمات و مصوبات'!$Z$8:$Z$1007,MATCH(K98,'07-تصمیمات و مصوبات'!$A$8:$A$1007,0)),"")="معتبر",COUNTIFS('15-روابط'!$B$8:$B$1007,K98,'15-روابط'!$C$8:$C$1007,"الزام",'15-روابط'!$D$8:$D$1007,F98,'15-روابط'!$E$8:$E$1007,"رابطه معتبر")&gt;0),IF(J98="نتیجه",AND(COUNTIFS('06-نتایج بازنگری'!$A$8:$A$1007,K98)=1,IFERROR(INDEX('06-نتایج بازنگری'!$D$8:$D$1007,MATCH(K98,'06-نتایج بازنگری'!$A$8:$A$1007,0)),"")=B98,IFERROR(INDEX('06-نتایج بازنگری'!$P$8:$P$1007,MATCH(K98,'06-نتایج بازنگری'!$A$8:$A$1007,0)),"")="معتبر",IFERROR(INDEX('06-نتایج بازنگری'!$F$8:$F$1007,MATCH(K98,'06-نتایج بازنگری'!$A$8:$A$1007,0)),"")=G98),IF(J98="ابلاغ",AND(COUNTIFS('20-ابلاغ نتایج'!$A$8:$A$1007,K98)=1,IFERROR(INDEX('20-ابلاغ نتایج'!$E$8:$E$1007,MATCH(K98,'20-ابلاغ نتایج'!$A$8:$A$1007,0)),"")=B98,IFERROR(INDEX('20-ابلاغ نتایج'!$L$8:$L$1007,MATCH(K98,'20-ابلاغ نتایج'!$A$8:$A$1007,0)),"")="معتبر"),FALSE))))),"سابقه یا شواهد ناقص",IF(IFERROR(INDEX('18-دامنه استانداردها'!$J$8:$J$1007,MATCH(C98&amp;"|"&amp;G98,'18-دامنه استانداردها'!$A$8:$A$1007,0)),"")="تأیید شده","شواهد مرتبط ثبت شد؛ تأیید ممیز لازم",IF(IFERROR(INDEX('18-دامنه استانداردها'!$J$8:$J$1007,MATCH(C98&amp;"|"&amp;G98,'18-دامنه استانداردها'!$A$8:$A$1007,0)),"")="فرضی","پوشش فرضی؛ آموزشی","شواهد حاضر؛ تطبیق نسخه باز"))))))))</f>
        <v>بررسی نشده؛ سابقه لازم</v>
      </c>
      <c r="O98" s="1" t="s">
        <v>1215</v>
      </c>
    </row>
    <row r="99" spans="1:15" ht="36" customHeight="1">
      <c r="A99" s="1" t="s">
        <v>1307</v>
      </c>
      <c r="B99" s="1" t="s">
        <v>530</v>
      </c>
      <c r="C99" s="1" t="s">
        <v>99</v>
      </c>
      <c r="D99" s="1" t="s">
        <v>529</v>
      </c>
      <c r="E99" s="1" t="s">
        <v>531</v>
      </c>
      <c r="F99" s="1" t="s">
        <v>317</v>
      </c>
      <c r="G99" s="3" t="str">
        <f>IF(A99="","",IFERROR(INDEX('02-ماتریس الزامات'!$B$8:$B$1007,MATCH(F99,'02-ماتریس الزامات'!$A$8:$A$1007,0)),""))</f>
        <v>EMS</v>
      </c>
      <c r="H99" s="3" t="str">
        <f>IF(A99="","",IFERROR(INDEX('02-ماتریس الزامات'!$D$8:$D$1007,MATCH(F99,'02-ماتریس الزامات'!$A$8:$A$1007,0)),""))</f>
        <v>9.3 / 9.3.3 نسخه 2026؛ تطبیق لازم</v>
      </c>
      <c r="I99" s="3" t="str">
        <f>IF(A99="","",IFERROR(INDEX('02-ماتریس الزامات'!$F$8:$F$1007,MATCH(F99,'02-ماتریس الزامات'!$A$8:$A$1007,0)),""))</f>
        <v>بهبود مستمر</v>
      </c>
      <c r="J99" s="1" t="s">
        <v>1116</v>
      </c>
      <c r="K99" s="1"/>
      <c r="L99" s="1"/>
      <c r="M99" s="1"/>
      <c r="N99" s="3" t="str">
        <f>IF(A99="","",IF(NOT(AND(COUNTIFS('13-کنترل انطباق'!$A$8:$A$1007,A99)=1,AND(COUNTIFS('17-جلسات و دوره‌ها'!$A$8:$A$1007,B99)=1,IFERROR(INDEX('17-جلسات و دوره‌ها'!$B$8:$B$1007,MATCH(B99,'17-جلسات و دوره‌ها'!$A$8:$A$1007,0)),"")=C99,IFERROR(INDEX('17-جلسات و دوره‌ها'!$C$8:$C$1007,MATCH(B99,'17-جلسات و دوره‌ها'!$A$8:$A$1007,0)),"")=D99),COUNTIFS('02-ماتریس الزامات'!$A$8:$A$1007,F99)=1,COUNTIFS('18-دامنه استانداردها'!$A$8:$A$1007,C99&amp;"|"&amp;G99)=1)),"شناسه یا دامنه نامعتبر",IF(IFERROR(INDEX('18-دامنه استانداردها'!$D$8:$D$1007,MATCH(C99&amp;"|"&amp;G99,'18-دامنه استانداردها'!$A$8:$A$1007,0)),"")="خیر",IF(AND(L99&lt;&gt;"",M99&lt;&gt;"",IFERROR(INDEX('18-دامنه استانداردها'!$H$8:$H$1007,MATCH(C99&amp;"|"&amp;G99,'18-دامنه استانداردها'!$A$8:$A$1007,0)),"")&lt;&gt;"",IFERROR(INDEX('18-دامنه استانداردها'!$I$8:$I$1007,MATCH(C99&amp;"|"&amp;G99,'18-دامنه استانداردها'!$A$8:$A$1007,0)),"")&lt;&gt;""),"عدم کاربرد مستند","عدم کاربرد بدون توجیه"),IF(IFERROR(INDEX('18-دامنه استانداردها'!$D$8:$D$1007,MATCH(C99&amp;"|"&amp;G99,'18-دامنه استانداردها'!$A$8:$A$1007,0)),"")&lt;&gt;"بله","دامنه نامشخص",IF(K99="","بررسی نشده؛ سابقه لازم",IF(NOT(IF(J99="ورودی",AND(COUNTIFS('03-ورودی‌های بازنگری'!$A$8:$A$1007,K99)=1,IFERROR(INDEX('03-ورودی‌های بازنگری'!$D$8:$D$1007,MATCH(K99,'03-ورودی‌های بازنگری'!$A$8:$A$1007,0)),"")=B99,IFERROR(INDEX('03-ورودی‌های بازنگری'!$R$8:$R$1007,MATCH(K99,'03-ورودی‌های بازنگری'!$A$8:$A$1007,0)),"")="معتبر"),IF(J99="تصمیم",AND(COUNTIFS('07-تصمیمات و مصوبات'!$A$8:$A$1007,K99)=1,IFERROR(INDEX('07-تصمیمات و مصوبات'!$B$8:$B$1007,MATCH(K99,'07-تصمیمات و مصوبات'!$A$8:$A$1007,0)),"")=B99,IFERROR(INDEX('07-تصمیمات و مصوبات'!$Z$8:$Z$1007,MATCH(K99,'07-تصمیمات و مصوبات'!$A$8:$A$1007,0)),"")="معتبر",COUNTIFS('15-روابط'!$B$8:$B$1007,K99,'15-روابط'!$C$8:$C$1007,"الزام",'15-روابط'!$D$8:$D$1007,F99,'15-روابط'!$E$8:$E$1007,"رابطه معتبر")&gt;0),IF(J99="نتیجه",AND(COUNTIFS('06-نتایج بازنگری'!$A$8:$A$1007,K99)=1,IFERROR(INDEX('06-نتایج بازنگری'!$D$8:$D$1007,MATCH(K99,'06-نتایج بازنگری'!$A$8:$A$1007,0)),"")=B99,IFERROR(INDEX('06-نتایج بازنگری'!$P$8:$P$1007,MATCH(K99,'06-نتایج بازنگری'!$A$8:$A$1007,0)),"")="معتبر",IFERROR(INDEX('06-نتایج بازنگری'!$F$8:$F$1007,MATCH(K99,'06-نتایج بازنگری'!$A$8:$A$1007,0)),"")=G99),IF(J99="ابلاغ",AND(COUNTIFS('20-ابلاغ نتایج'!$A$8:$A$1007,K99)=1,IFERROR(INDEX('20-ابلاغ نتایج'!$E$8:$E$1007,MATCH(K99,'20-ابلاغ نتایج'!$A$8:$A$1007,0)),"")=B99,IFERROR(INDEX('20-ابلاغ نتایج'!$L$8:$L$1007,MATCH(K99,'20-ابلاغ نتایج'!$A$8:$A$1007,0)),"")="معتبر"),FALSE))))),"سابقه یا شواهد ناقص",IF(IFERROR(INDEX('18-دامنه استانداردها'!$J$8:$J$1007,MATCH(C99&amp;"|"&amp;G99,'18-دامنه استانداردها'!$A$8:$A$1007,0)),"")="تأیید شده","شواهد مرتبط ثبت شد؛ تأیید ممیز لازم",IF(IFERROR(INDEX('18-دامنه استانداردها'!$J$8:$J$1007,MATCH(C99&amp;"|"&amp;G99,'18-دامنه استانداردها'!$A$8:$A$1007,0)),"")="فرضی","پوشش فرضی؛ آموزشی","شواهد حاضر؛ تطبیق نسخه باز"))))))))</f>
        <v>بررسی نشده؛ سابقه لازم</v>
      </c>
      <c r="O99" s="1" t="s">
        <v>1215</v>
      </c>
    </row>
    <row r="100" spans="1:15" ht="36" customHeight="1">
      <c r="A100" s="1" t="s">
        <v>1308</v>
      </c>
      <c r="B100" s="1" t="s">
        <v>83</v>
      </c>
      <c r="C100" s="1" t="s">
        <v>77</v>
      </c>
      <c r="D100" s="1" t="s">
        <v>80</v>
      </c>
      <c r="E100" s="1" t="s">
        <v>379</v>
      </c>
      <c r="F100" s="1" t="s">
        <v>318</v>
      </c>
      <c r="G100" s="3" t="str">
        <f>IF(A100="","",IFERROR(INDEX('02-ماتریس الزامات'!$B$8:$B$1007,MATCH(F100,'02-ماتریس الزامات'!$A$8:$A$1007,0)),""))</f>
        <v>EMS</v>
      </c>
      <c r="H100" s="3" t="str">
        <f>IF(A100="","",IFERROR(INDEX('02-ماتریس الزامات'!$D$8:$D$1007,MATCH(F100,'02-ماتریس الزامات'!$A$8:$A$1007,0)),""))</f>
        <v>9.3 / 9.3.3 نسخه 2026؛ تطبیق لازم</v>
      </c>
      <c r="I100" s="3" t="str">
        <f>IF(A100="","",IFERROR(INDEX('02-ماتریس الزامات'!$F$8:$F$1007,MATCH(F100,'02-ماتریس الزامات'!$A$8:$A$1007,0)),""))</f>
        <v>تغییر سیستم</v>
      </c>
      <c r="J100" s="1" t="s">
        <v>1116</v>
      </c>
      <c r="K100" s="1"/>
      <c r="L100" s="1"/>
      <c r="M100" s="1"/>
      <c r="N100" s="3" t="str">
        <f>IF(A100="","",IF(NOT(AND(COUNTIFS('13-کنترل انطباق'!$A$8:$A$1007,A100)=1,AND(COUNTIFS('17-جلسات و دوره‌ها'!$A$8:$A$1007,B100)=1,IFERROR(INDEX('17-جلسات و دوره‌ها'!$B$8:$B$1007,MATCH(B100,'17-جلسات و دوره‌ها'!$A$8:$A$1007,0)),"")=C100,IFERROR(INDEX('17-جلسات و دوره‌ها'!$C$8:$C$1007,MATCH(B100,'17-جلسات و دوره‌ها'!$A$8:$A$1007,0)),"")=D100),COUNTIFS('02-ماتریس الزامات'!$A$8:$A$1007,F100)=1,COUNTIFS('18-دامنه استانداردها'!$A$8:$A$1007,C100&amp;"|"&amp;G100)=1)),"شناسه یا دامنه نامعتبر",IF(IFERROR(INDEX('18-دامنه استانداردها'!$D$8:$D$1007,MATCH(C100&amp;"|"&amp;G100,'18-دامنه استانداردها'!$A$8:$A$1007,0)),"")="خیر",IF(AND(L100&lt;&gt;"",M100&lt;&gt;"",IFERROR(INDEX('18-دامنه استانداردها'!$H$8:$H$1007,MATCH(C100&amp;"|"&amp;G100,'18-دامنه استانداردها'!$A$8:$A$1007,0)),"")&lt;&gt;"",IFERROR(INDEX('18-دامنه استانداردها'!$I$8:$I$1007,MATCH(C100&amp;"|"&amp;G100,'18-دامنه استانداردها'!$A$8:$A$1007,0)),"")&lt;&gt;""),"عدم کاربرد مستند","عدم کاربرد بدون توجیه"),IF(IFERROR(INDEX('18-دامنه استانداردها'!$D$8:$D$1007,MATCH(C100&amp;"|"&amp;G100,'18-دامنه استانداردها'!$A$8:$A$1007,0)),"")&lt;&gt;"بله","دامنه نامشخص",IF(K100="","بررسی نشده؛ سابقه لازم",IF(NOT(IF(J100="ورودی",AND(COUNTIFS('03-ورودی‌های بازنگری'!$A$8:$A$1007,K100)=1,IFERROR(INDEX('03-ورودی‌های بازنگری'!$D$8:$D$1007,MATCH(K100,'03-ورودی‌های بازنگری'!$A$8:$A$1007,0)),"")=B100,IFERROR(INDEX('03-ورودی‌های بازنگری'!$R$8:$R$1007,MATCH(K100,'03-ورودی‌های بازنگری'!$A$8:$A$1007,0)),"")="معتبر"),IF(J100="تصمیم",AND(COUNTIFS('07-تصمیمات و مصوبات'!$A$8:$A$1007,K100)=1,IFERROR(INDEX('07-تصمیمات و مصوبات'!$B$8:$B$1007,MATCH(K100,'07-تصمیمات و مصوبات'!$A$8:$A$1007,0)),"")=B100,IFERROR(INDEX('07-تصمیمات و مصوبات'!$Z$8:$Z$1007,MATCH(K100,'07-تصمیمات و مصوبات'!$A$8:$A$1007,0)),"")="معتبر",COUNTIFS('15-روابط'!$B$8:$B$1007,K100,'15-روابط'!$C$8:$C$1007,"الزام",'15-روابط'!$D$8:$D$1007,F100,'15-روابط'!$E$8:$E$1007,"رابطه معتبر")&gt;0),IF(J100="نتیجه",AND(COUNTIFS('06-نتایج بازنگری'!$A$8:$A$1007,K100)=1,IFERROR(INDEX('06-نتایج بازنگری'!$D$8:$D$1007,MATCH(K100,'06-نتایج بازنگری'!$A$8:$A$1007,0)),"")=B100,IFERROR(INDEX('06-نتایج بازنگری'!$P$8:$P$1007,MATCH(K100,'06-نتایج بازنگری'!$A$8:$A$1007,0)),"")="معتبر",IFERROR(INDEX('06-نتایج بازنگری'!$F$8:$F$1007,MATCH(K100,'06-نتایج بازنگری'!$A$8:$A$1007,0)),"")=G100),IF(J100="ابلاغ",AND(COUNTIFS('20-ابلاغ نتایج'!$A$8:$A$1007,K100)=1,IFERROR(INDEX('20-ابلاغ نتایج'!$E$8:$E$1007,MATCH(K100,'20-ابلاغ نتایج'!$A$8:$A$1007,0)),"")=B100,IFERROR(INDEX('20-ابلاغ نتایج'!$L$8:$L$1007,MATCH(K100,'20-ابلاغ نتایج'!$A$8:$A$1007,0)),"")="معتبر"),FALSE))))),"سابقه یا شواهد ناقص",IF(IFERROR(INDEX('18-دامنه استانداردها'!$J$8:$J$1007,MATCH(C100&amp;"|"&amp;G100,'18-دامنه استانداردها'!$A$8:$A$1007,0)),"")="تأیید شده","شواهد مرتبط ثبت شد؛ تأیید ممیز لازم",IF(IFERROR(INDEX('18-دامنه استانداردها'!$J$8:$J$1007,MATCH(C100&amp;"|"&amp;G100,'18-دامنه استانداردها'!$A$8:$A$1007,0)),"")="فرضی","پوشش فرضی؛ آموزشی","شواهد حاضر؛ تطبیق نسخه باز"))))))))</f>
        <v>بررسی نشده؛ سابقه لازم</v>
      </c>
      <c r="O100" s="1" t="s">
        <v>1215</v>
      </c>
    </row>
    <row r="101" spans="1:15" ht="36" customHeight="1">
      <c r="A101" s="1" t="s">
        <v>1309</v>
      </c>
      <c r="B101" s="1" t="s">
        <v>530</v>
      </c>
      <c r="C101" s="1" t="s">
        <v>99</v>
      </c>
      <c r="D101" s="1" t="s">
        <v>529</v>
      </c>
      <c r="E101" s="1" t="s">
        <v>531</v>
      </c>
      <c r="F101" s="1" t="s">
        <v>318</v>
      </c>
      <c r="G101" s="3" t="str">
        <f>IF(A101="","",IFERROR(INDEX('02-ماتریس الزامات'!$B$8:$B$1007,MATCH(F101,'02-ماتریس الزامات'!$A$8:$A$1007,0)),""))</f>
        <v>EMS</v>
      </c>
      <c r="H101" s="3" t="str">
        <f>IF(A101="","",IFERROR(INDEX('02-ماتریس الزامات'!$D$8:$D$1007,MATCH(F101,'02-ماتریس الزامات'!$A$8:$A$1007,0)),""))</f>
        <v>9.3 / 9.3.3 نسخه 2026؛ تطبیق لازم</v>
      </c>
      <c r="I101" s="3" t="str">
        <f>IF(A101="","",IFERROR(INDEX('02-ماتریس الزامات'!$F$8:$F$1007,MATCH(F101,'02-ماتریس الزامات'!$A$8:$A$1007,0)),""))</f>
        <v>تغییر سیستم</v>
      </c>
      <c r="J101" s="1" t="s">
        <v>1116</v>
      </c>
      <c r="K101" s="1"/>
      <c r="L101" s="1"/>
      <c r="M101" s="1"/>
      <c r="N101" s="3" t="str">
        <f>IF(A101="","",IF(NOT(AND(COUNTIFS('13-کنترل انطباق'!$A$8:$A$1007,A101)=1,AND(COUNTIFS('17-جلسات و دوره‌ها'!$A$8:$A$1007,B101)=1,IFERROR(INDEX('17-جلسات و دوره‌ها'!$B$8:$B$1007,MATCH(B101,'17-جلسات و دوره‌ها'!$A$8:$A$1007,0)),"")=C101,IFERROR(INDEX('17-جلسات و دوره‌ها'!$C$8:$C$1007,MATCH(B101,'17-جلسات و دوره‌ها'!$A$8:$A$1007,0)),"")=D101),COUNTIFS('02-ماتریس الزامات'!$A$8:$A$1007,F101)=1,COUNTIFS('18-دامنه استانداردها'!$A$8:$A$1007,C101&amp;"|"&amp;G101)=1)),"شناسه یا دامنه نامعتبر",IF(IFERROR(INDEX('18-دامنه استانداردها'!$D$8:$D$1007,MATCH(C101&amp;"|"&amp;G101,'18-دامنه استانداردها'!$A$8:$A$1007,0)),"")="خیر",IF(AND(L101&lt;&gt;"",M101&lt;&gt;"",IFERROR(INDEX('18-دامنه استانداردها'!$H$8:$H$1007,MATCH(C101&amp;"|"&amp;G101,'18-دامنه استانداردها'!$A$8:$A$1007,0)),"")&lt;&gt;"",IFERROR(INDEX('18-دامنه استانداردها'!$I$8:$I$1007,MATCH(C101&amp;"|"&amp;G101,'18-دامنه استانداردها'!$A$8:$A$1007,0)),"")&lt;&gt;""),"عدم کاربرد مستند","عدم کاربرد بدون توجیه"),IF(IFERROR(INDEX('18-دامنه استانداردها'!$D$8:$D$1007,MATCH(C101&amp;"|"&amp;G101,'18-دامنه استانداردها'!$A$8:$A$1007,0)),"")&lt;&gt;"بله","دامنه نامشخص",IF(K101="","بررسی نشده؛ سابقه لازم",IF(NOT(IF(J101="ورودی",AND(COUNTIFS('03-ورودی‌های بازنگری'!$A$8:$A$1007,K101)=1,IFERROR(INDEX('03-ورودی‌های بازنگری'!$D$8:$D$1007,MATCH(K101,'03-ورودی‌های بازنگری'!$A$8:$A$1007,0)),"")=B101,IFERROR(INDEX('03-ورودی‌های بازنگری'!$R$8:$R$1007,MATCH(K101,'03-ورودی‌های بازنگری'!$A$8:$A$1007,0)),"")="معتبر"),IF(J101="تصمیم",AND(COUNTIFS('07-تصمیمات و مصوبات'!$A$8:$A$1007,K101)=1,IFERROR(INDEX('07-تصمیمات و مصوبات'!$B$8:$B$1007,MATCH(K101,'07-تصمیمات و مصوبات'!$A$8:$A$1007,0)),"")=B101,IFERROR(INDEX('07-تصمیمات و مصوبات'!$Z$8:$Z$1007,MATCH(K101,'07-تصمیمات و مصوبات'!$A$8:$A$1007,0)),"")="معتبر",COUNTIFS('15-روابط'!$B$8:$B$1007,K101,'15-روابط'!$C$8:$C$1007,"الزام",'15-روابط'!$D$8:$D$1007,F101,'15-روابط'!$E$8:$E$1007,"رابطه معتبر")&gt;0),IF(J101="نتیجه",AND(COUNTIFS('06-نتایج بازنگری'!$A$8:$A$1007,K101)=1,IFERROR(INDEX('06-نتایج بازنگری'!$D$8:$D$1007,MATCH(K101,'06-نتایج بازنگری'!$A$8:$A$1007,0)),"")=B101,IFERROR(INDEX('06-نتایج بازنگری'!$P$8:$P$1007,MATCH(K101,'06-نتایج بازنگری'!$A$8:$A$1007,0)),"")="معتبر",IFERROR(INDEX('06-نتایج بازنگری'!$F$8:$F$1007,MATCH(K101,'06-نتایج بازنگری'!$A$8:$A$1007,0)),"")=G101),IF(J101="ابلاغ",AND(COUNTIFS('20-ابلاغ نتایج'!$A$8:$A$1007,K101)=1,IFERROR(INDEX('20-ابلاغ نتایج'!$E$8:$E$1007,MATCH(K101,'20-ابلاغ نتایج'!$A$8:$A$1007,0)),"")=B101,IFERROR(INDEX('20-ابلاغ نتایج'!$L$8:$L$1007,MATCH(K101,'20-ابلاغ نتایج'!$A$8:$A$1007,0)),"")="معتبر"),FALSE))))),"سابقه یا شواهد ناقص",IF(IFERROR(INDEX('18-دامنه استانداردها'!$J$8:$J$1007,MATCH(C101&amp;"|"&amp;G101,'18-دامنه استانداردها'!$A$8:$A$1007,0)),"")="تأیید شده","شواهد مرتبط ثبت شد؛ تأیید ممیز لازم",IF(IFERROR(INDEX('18-دامنه استانداردها'!$J$8:$J$1007,MATCH(C101&amp;"|"&amp;G101,'18-دامنه استانداردها'!$A$8:$A$1007,0)),"")="فرضی","پوشش فرضی؛ آموزشی","شواهد حاضر؛ تطبیق نسخه باز"))))))))</f>
        <v>بررسی نشده؛ سابقه لازم</v>
      </c>
      <c r="O101" s="1" t="s">
        <v>1215</v>
      </c>
    </row>
    <row r="102" spans="1:15" ht="36" customHeight="1">
      <c r="A102" s="1" t="s">
        <v>1310</v>
      </c>
      <c r="B102" s="1" t="s">
        <v>83</v>
      </c>
      <c r="C102" s="1" t="s">
        <v>77</v>
      </c>
      <c r="D102" s="1" t="s">
        <v>80</v>
      </c>
      <c r="E102" s="1" t="s">
        <v>379</v>
      </c>
      <c r="F102" s="1" t="s">
        <v>319</v>
      </c>
      <c r="G102" s="3" t="str">
        <f>IF(A102="","",IFERROR(INDEX('02-ماتریس الزامات'!$B$8:$B$1007,MATCH(F102,'02-ماتریس الزامات'!$A$8:$A$1007,0)),""))</f>
        <v>EMS</v>
      </c>
      <c r="H102" s="3" t="str">
        <f>IF(A102="","",IFERROR(INDEX('02-ماتریس الزامات'!$D$8:$D$1007,MATCH(F102,'02-ماتریس الزامات'!$A$8:$A$1007,0)),""))</f>
        <v>9.3 / 9.3.3 نسخه 2026؛ تطبیق لازم</v>
      </c>
      <c r="I102" s="3" t="str">
        <f>IF(A102="","",IFERROR(INDEX('02-ماتریس الزامات'!$F$8:$F$1007,MATCH(F102,'02-ماتریس الزامات'!$A$8:$A$1007,0)),""))</f>
        <v>نیاز منابع</v>
      </c>
      <c r="J102" s="1" t="s">
        <v>1116</v>
      </c>
      <c r="K102" s="1"/>
      <c r="L102" s="1"/>
      <c r="M102" s="1"/>
      <c r="N102" s="3" t="str">
        <f>IF(A102="","",IF(NOT(AND(COUNTIFS('13-کنترل انطباق'!$A$8:$A$1007,A102)=1,AND(COUNTIFS('17-جلسات و دوره‌ها'!$A$8:$A$1007,B102)=1,IFERROR(INDEX('17-جلسات و دوره‌ها'!$B$8:$B$1007,MATCH(B102,'17-جلسات و دوره‌ها'!$A$8:$A$1007,0)),"")=C102,IFERROR(INDEX('17-جلسات و دوره‌ها'!$C$8:$C$1007,MATCH(B102,'17-جلسات و دوره‌ها'!$A$8:$A$1007,0)),"")=D102),COUNTIFS('02-ماتریس الزامات'!$A$8:$A$1007,F102)=1,COUNTIFS('18-دامنه استانداردها'!$A$8:$A$1007,C102&amp;"|"&amp;G102)=1)),"شناسه یا دامنه نامعتبر",IF(IFERROR(INDEX('18-دامنه استانداردها'!$D$8:$D$1007,MATCH(C102&amp;"|"&amp;G102,'18-دامنه استانداردها'!$A$8:$A$1007,0)),"")="خیر",IF(AND(L102&lt;&gt;"",M102&lt;&gt;"",IFERROR(INDEX('18-دامنه استانداردها'!$H$8:$H$1007,MATCH(C102&amp;"|"&amp;G102,'18-دامنه استانداردها'!$A$8:$A$1007,0)),"")&lt;&gt;"",IFERROR(INDEX('18-دامنه استانداردها'!$I$8:$I$1007,MATCH(C102&amp;"|"&amp;G102,'18-دامنه استانداردها'!$A$8:$A$1007,0)),"")&lt;&gt;""),"عدم کاربرد مستند","عدم کاربرد بدون توجیه"),IF(IFERROR(INDEX('18-دامنه استانداردها'!$D$8:$D$1007,MATCH(C102&amp;"|"&amp;G102,'18-دامنه استانداردها'!$A$8:$A$1007,0)),"")&lt;&gt;"بله","دامنه نامشخص",IF(K102="","بررسی نشده؛ سابقه لازم",IF(NOT(IF(J102="ورودی",AND(COUNTIFS('03-ورودی‌های بازنگری'!$A$8:$A$1007,K102)=1,IFERROR(INDEX('03-ورودی‌های بازنگری'!$D$8:$D$1007,MATCH(K102,'03-ورودی‌های بازنگری'!$A$8:$A$1007,0)),"")=B102,IFERROR(INDEX('03-ورودی‌های بازنگری'!$R$8:$R$1007,MATCH(K102,'03-ورودی‌های بازنگری'!$A$8:$A$1007,0)),"")="معتبر"),IF(J102="تصمیم",AND(COUNTIFS('07-تصمیمات و مصوبات'!$A$8:$A$1007,K102)=1,IFERROR(INDEX('07-تصمیمات و مصوبات'!$B$8:$B$1007,MATCH(K102,'07-تصمیمات و مصوبات'!$A$8:$A$1007,0)),"")=B102,IFERROR(INDEX('07-تصمیمات و مصوبات'!$Z$8:$Z$1007,MATCH(K102,'07-تصمیمات و مصوبات'!$A$8:$A$1007,0)),"")="معتبر",COUNTIFS('15-روابط'!$B$8:$B$1007,K102,'15-روابط'!$C$8:$C$1007,"الزام",'15-روابط'!$D$8:$D$1007,F102,'15-روابط'!$E$8:$E$1007,"رابطه معتبر")&gt;0),IF(J102="نتیجه",AND(COUNTIFS('06-نتایج بازنگری'!$A$8:$A$1007,K102)=1,IFERROR(INDEX('06-نتایج بازنگری'!$D$8:$D$1007,MATCH(K102,'06-نتایج بازنگری'!$A$8:$A$1007,0)),"")=B102,IFERROR(INDEX('06-نتایج بازنگری'!$P$8:$P$1007,MATCH(K102,'06-نتایج بازنگری'!$A$8:$A$1007,0)),"")="معتبر",IFERROR(INDEX('06-نتایج بازنگری'!$F$8:$F$1007,MATCH(K102,'06-نتایج بازنگری'!$A$8:$A$1007,0)),"")=G102),IF(J102="ابلاغ",AND(COUNTIFS('20-ابلاغ نتایج'!$A$8:$A$1007,K102)=1,IFERROR(INDEX('20-ابلاغ نتایج'!$E$8:$E$1007,MATCH(K102,'20-ابلاغ نتایج'!$A$8:$A$1007,0)),"")=B102,IFERROR(INDEX('20-ابلاغ نتایج'!$L$8:$L$1007,MATCH(K102,'20-ابلاغ نتایج'!$A$8:$A$1007,0)),"")="معتبر"),FALSE))))),"سابقه یا شواهد ناقص",IF(IFERROR(INDEX('18-دامنه استانداردها'!$J$8:$J$1007,MATCH(C102&amp;"|"&amp;G102,'18-دامنه استانداردها'!$A$8:$A$1007,0)),"")="تأیید شده","شواهد مرتبط ثبت شد؛ تأیید ممیز لازم",IF(IFERROR(INDEX('18-دامنه استانداردها'!$J$8:$J$1007,MATCH(C102&amp;"|"&amp;G102,'18-دامنه استانداردها'!$A$8:$A$1007,0)),"")="فرضی","پوشش فرضی؛ آموزشی","شواهد حاضر؛ تطبیق نسخه باز"))))))))</f>
        <v>بررسی نشده؛ سابقه لازم</v>
      </c>
      <c r="O102" s="1" t="s">
        <v>1215</v>
      </c>
    </row>
    <row r="103" spans="1:15" ht="36" customHeight="1">
      <c r="A103" s="1" t="s">
        <v>1311</v>
      </c>
      <c r="B103" s="1" t="s">
        <v>530</v>
      </c>
      <c r="C103" s="1" t="s">
        <v>99</v>
      </c>
      <c r="D103" s="1" t="s">
        <v>529</v>
      </c>
      <c r="E103" s="1" t="s">
        <v>531</v>
      </c>
      <c r="F103" s="1" t="s">
        <v>319</v>
      </c>
      <c r="G103" s="3" t="str">
        <f>IF(A103="","",IFERROR(INDEX('02-ماتریس الزامات'!$B$8:$B$1007,MATCH(F103,'02-ماتریس الزامات'!$A$8:$A$1007,0)),""))</f>
        <v>EMS</v>
      </c>
      <c r="H103" s="3" t="str">
        <f>IF(A103="","",IFERROR(INDEX('02-ماتریس الزامات'!$D$8:$D$1007,MATCH(F103,'02-ماتریس الزامات'!$A$8:$A$1007,0)),""))</f>
        <v>9.3 / 9.3.3 نسخه 2026؛ تطبیق لازم</v>
      </c>
      <c r="I103" s="3" t="str">
        <f>IF(A103="","",IFERROR(INDEX('02-ماتریس الزامات'!$F$8:$F$1007,MATCH(F103,'02-ماتریس الزامات'!$A$8:$A$1007,0)),""))</f>
        <v>نیاز منابع</v>
      </c>
      <c r="J103" s="1" t="s">
        <v>1116</v>
      </c>
      <c r="K103" s="1"/>
      <c r="L103" s="1"/>
      <c r="M103" s="1"/>
      <c r="N103" s="3" t="str">
        <f>IF(A103="","",IF(NOT(AND(COUNTIFS('13-کنترل انطباق'!$A$8:$A$1007,A103)=1,AND(COUNTIFS('17-جلسات و دوره‌ها'!$A$8:$A$1007,B103)=1,IFERROR(INDEX('17-جلسات و دوره‌ها'!$B$8:$B$1007,MATCH(B103,'17-جلسات و دوره‌ها'!$A$8:$A$1007,0)),"")=C103,IFERROR(INDEX('17-جلسات و دوره‌ها'!$C$8:$C$1007,MATCH(B103,'17-جلسات و دوره‌ها'!$A$8:$A$1007,0)),"")=D103),COUNTIFS('02-ماتریس الزامات'!$A$8:$A$1007,F103)=1,COUNTIFS('18-دامنه استانداردها'!$A$8:$A$1007,C103&amp;"|"&amp;G103)=1)),"شناسه یا دامنه نامعتبر",IF(IFERROR(INDEX('18-دامنه استانداردها'!$D$8:$D$1007,MATCH(C103&amp;"|"&amp;G103,'18-دامنه استانداردها'!$A$8:$A$1007,0)),"")="خیر",IF(AND(L103&lt;&gt;"",M103&lt;&gt;"",IFERROR(INDEX('18-دامنه استانداردها'!$H$8:$H$1007,MATCH(C103&amp;"|"&amp;G103,'18-دامنه استانداردها'!$A$8:$A$1007,0)),"")&lt;&gt;"",IFERROR(INDEX('18-دامنه استانداردها'!$I$8:$I$1007,MATCH(C103&amp;"|"&amp;G103,'18-دامنه استانداردها'!$A$8:$A$1007,0)),"")&lt;&gt;""),"عدم کاربرد مستند","عدم کاربرد بدون توجیه"),IF(IFERROR(INDEX('18-دامنه استانداردها'!$D$8:$D$1007,MATCH(C103&amp;"|"&amp;G103,'18-دامنه استانداردها'!$A$8:$A$1007,0)),"")&lt;&gt;"بله","دامنه نامشخص",IF(K103="","بررسی نشده؛ سابقه لازم",IF(NOT(IF(J103="ورودی",AND(COUNTIFS('03-ورودی‌های بازنگری'!$A$8:$A$1007,K103)=1,IFERROR(INDEX('03-ورودی‌های بازنگری'!$D$8:$D$1007,MATCH(K103,'03-ورودی‌های بازنگری'!$A$8:$A$1007,0)),"")=B103,IFERROR(INDEX('03-ورودی‌های بازنگری'!$R$8:$R$1007,MATCH(K103,'03-ورودی‌های بازنگری'!$A$8:$A$1007,0)),"")="معتبر"),IF(J103="تصمیم",AND(COUNTIFS('07-تصمیمات و مصوبات'!$A$8:$A$1007,K103)=1,IFERROR(INDEX('07-تصمیمات و مصوبات'!$B$8:$B$1007,MATCH(K103,'07-تصمیمات و مصوبات'!$A$8:$A$1007,0)),"")=B103,IFERROR(INDEX('07-تصمیمات و مصوبات'!$Z$8:$Z$1007,MATCH(K103,'07-تصمیمات و مصوبات'!$A$8:$A$1007,0)),"")="معتبر",COUNTIFS('15-روابط'!$B$8:$B$1007,K103,'15-روابط'!$C$8:$C$1007,"الزام",'15-روابط'!$D$8:$D$1007,F103,'15-روابط'!$E$8:$E$1007,"رابطه معتبر")&gt;0),IF(J103="نتیجه",AND(COUNTIFS('06-نتایج بازنگری'!$A$8:$A$1007,K103)=1,IFERROR(INDEX('06-نتایج بازنگری'!$D$8:$D$1007,MATCH(K103,'06-نتایج بازنگری'!$A$8:$A$1007,0)),"")=B103,IFERROR(INDEX('06-نتایج بازنگری'!$P$8:$P$1007,MATCH(K103,'06-نتایج بازنگری'!$A$8:$A$1007,0)),"")="معتبر",IFERROR(INDEX('06-نتایج بازنگری'!$F$8:$F$1007,MATCH(K103,'06-نتایج بازنگری'!$A$8:$A$1007,0)),"")=G103),IF(J103="ابلاغ",AND(COUNTIFS('20-ابلاغ نتایج'!$A$8:$A$1007,K103)=1,IFERROR(INDEX('20-ابلاغ نتایج'!$E$8:$E$1007,MATCH(K103,'20-ابلاغ نتایج'!$A$8:$A$1007,0)),"")=B103,IFERROR(INDEX('20-ابلاغ نتایج'!$L$8:$L$1007,MATCH(K103,'20-ابلاغ نتایج'!$A$8:$A$1007,0)),"")="معتبر"),FALSE))))),"سابقه یا شواهد ناقص",IF(IFERROR(INDEX('18-دامنه استانداردها'!$J$8:$J$1007,MATCH(C103&amp;"|"&amp;G103,'18-دامنه استانداردها'!$A$8:$A$1007,0)),"")="تأیید شده","شواهد مرتبط ثبت شد؛ تأیید ممیز لازم",IF(IFERROR(INDEX('18-دامنه استانداردها'!$J$8:$J$1007,MATCH(C103&amp;"|"&amp;G103,'18-دامنه استانداردها'!$A$8:$A$1007,0)),"")="فرضی","پوشش فرضی؛ آموزشی","شواهد حاضر؛ تطبیق نسخه باز"))))))))</f>
        <v>بررسی نشده؛ سابقه لازم</v>
      </c>
      <c r="O103" s="1" t="s">
        <v>1215</v>
      </c>
    </row>
    <row r="104" spans="1:15" ht="36" customHeight="1">
      <c r="A104" s="1" t="s">
        <v>1312</v>
      </c>
      <c r="B104" s="1" t="s">
        <v>83</v>
      </c>
      <c r="C104" s="1" t="s">
        <v>77</v>
      </c>
      <c r="D104" s="1" t="s">
        <v>80</v>
      </c>
      <c r="E104" s="1" t="s">
        <v>379</v>
      </c>
      <c r="F104" s="1" t="s">
        <v>321</v>
      </c>
      <c r="G104" s="3" t="str">
        <f>IF(A104="","",IFERROR(INDEX('02-ماتریس الزامات'!$B$8:$B$1007,MATCH(F104,'02-ماتریس الزامات'!$A$8:$A$1007,0)),""))</f>
        <v>EMS</v>
      </c>
      <c r="H104" s="3" t="str">
        <f>IF(A104="","",IFERROR(INDEX('02-ماتریس الزامات'!$D$8:$D$1007,MATCH(F104,'02-ماتریس الزامات'!$A$8:$A$1007,0)),""))</f>
        <v>9.3 / 9.3.3 نسخه 2026؛ تطبیق لازم</v>
      </c>
      <c r="I104" s="3" t="str">
        <f>IF(A104="","",IFERROR(INDEX('02-ماتریس الزامات'!$F$8:$F$1007,MATCH(F104,'02-ماتریس الزامات'!$A$8:$A$1007,0)),""))</f>
        <v>یکپارچگی با فرآیندهای کسب‌وکار</v>
      </c>
      <c r="J104" s="1" t="s">
        <v>1116</v>
      </c>
      <c r="K104" s="1"/>
      <c r="L104" s="1"/>
      <c r="M104" s="1"/>
      <c r="N104" s="3" t="str">
        <f>IF(A104="","",IF(NOT(AND(COUNTIFS('13-کنترل انطباق'!$A$8:$A$1007,A104)=1,AND(COUNTIFS('17-جلسات و دوره‌ها'!$A$8:$A$1007,B104)=1,IFERROR(INDEX('17-جلسات و دوره‌ها'!$B$8:$B$1007,MATCH(B104,'17-جلسات و دوره‌ها'!$A$8:$A$1007,0)),"")=C104,IFERROR(INDEX('17-جلسات و دوره‌ها'!$C$8:$C$1007,MATCH(B104,'17-جلسات و دوره‌ها'!$A$8:$A$1007,0)),"")=D104),COUNTIFS('02-ماتریس الزامات'!$A$8:$A$1007,F104)=1,COUNTIFS('18-دامنه استانداردها'!$A$8:$A$1007,C104&amp;"|"&amp;G104)=1)),"شناسه یا دامنه نامعتبر",IF(IFERROR(INDEX('18-دامنه استانداردها'!$D$8:$D$1007,MATCH(C104&amp;"|"&amp;G104,'18-دامنه استانداردها'!$A$8:$A$1007,0)),"")="خیر",IF(AND(L104&lt;&gt;"",M104&lt;&gt;"",IFERROR(INDEX('18-دامنه استانداردها'!$H$8:$H$1007,MATCH(C104&amp;"|"&amp;G104,'18-دامنه استانداردها'!$A$8:$A$1007,0)),"")&lt;&gt;"",IFERROR(INDEX('18-دامنه استانداردها'!$I$8:$I$1007,MATCH(C104&amp;"|"&amp;G104,'18-دامنه استانداردها'!$A$8:$A$1007,0)),"")&lt;&gt;""),"عدم کاربرد مستند","عدم کاربرد بدون توجیه"),IF(IFERROR(INDEX('18-دامنه استانداردها'!$D$8:$D$1007,MATCH(C104&amp;"|"&amp;G104,'18-دامنه استانداردها'!$A$8:$A$1007,0)),"")&lt;&gt;"بله","دامنه نامشخص",IF(K104="","بررسی نشده؛ سابقه لازم",IF(NOT(IF(J104="ورودی",AND(COUNTIFS('03-ورودی‌های بازنگری'!$A$8:$A$1007,K104)=1,IFERROR(INDEX('03-ورودی‌های بازنگری'!$D$8:$D$1007,MATCH(K104,'03-ورودی‌های بازنگری'!$A$8:$A$1007,0)),"")=B104,IFERROR(INDEX('03-ورودی‌های بازنگری'!$R$8:$R$1007,MATCH(K104,'03-ورودی‌های بازنگری'!$A$8:$A$1007,0)),"")="معتبر"),IF(J104="تصمیم",AND(COUNTIFS('07-تصمیمات و مصوبات'!$A$8:$A$1007,K104)=1,IFERROR(INDEX('07-تصمیمات و مصوبات'!$B$8:$B$1007,MATCH(K104,'07-تصمیمات و مصوبات'!$A$8:$A$1007,0)),"")=B104,IFERROR(INDEX('07-تصمیمات و مصوبات'!$Z$8:$Z$1007,MATCH(K104,'07-تصمیمات و مصوبات'!$A$8:$A$1007,0)),"")="معتبر",COUNTIFS('15-روابط'!$B$8:$B$1007,K104,'15-روابط'!$C$8:$C$1007,"الزام",'15-روابط'!$D$8:$D$1007,F104,'15-روابط'!$E$8:$E$1007,"رابطه معتبر")&gt;0),IF(J104="نتیجه",AND(COUNTIFS('06-نتایج بازنگری'!$A$8:$A$1007,K104)=1,IFERROR(INDEX('06-نتایج بازنگری'!$D$8:$D$1007,MATCH(K104,'06-نتایج بازنگری'!$A$8:$A$1007,0)),"")=B104,IFERROR(INDEX('06-نتایج بازنگری'!$P$8:$P$1007,MATCH(K104,'06-نتایج بازنگری'!$A$8:$A$1007,0)),"")="معتبر",IFERROR(INDEX('06-نتایج بازنگری'!$F$8:$F$1007,MATCH(K104,'06-نتایج بازنگری'!$A$8:$A$1007,0)),"")=G104),IF(J104="ابلاغ",AND(COUNTIFS('20-ابلاغ نتایج'!$A$8:$A$1007,K104)=1,IFERROR(INDEX('20-ابلاغ نتایج'!$E$8:$E$1007,MATCH(K104,'20-ابلاغ نتایج'!$A$8:$A$1007,0)),"")=B104,IFERROR(INDEX('20-ابلاغ نتایج'!$L$8:$L$1007,MATCH(K104,'20-ابلاغ نتایج'!$A$8:$A$1007,0)),"")="معتبر"),FALSE))))),"سابقه یا شواهد ناقص",IF(IFERROR(INDEX('18-دامنه استانداردها'!$J$8:$J$1007,MATCH(C104&amp;"|"&amp;G104,'18-دامنه استانداردها'!$A$8:$A$1007,0)),"")="تأیید شده","شواهد مرتبط ثبت شد؛ تأیید ممیز لازم",IF(IFERROR(INDEX('18-دامنه استانداردها'!$J$8:$J$1007,MATCH(C104&amp;"|"&amp;G104,'18-دامنه استانداردها'!$A$8:$A$1007,0)),"")="فرضی","پوشش فرضی؛ آموزشی","شواهد حاضر؛ تطبیق نسخه باز"))))))))</f>
        <v>بررسی نشده؛ سابقه لازم</v>
      </c>
      <c r="O104" s="1" t="s">
        <v>1215</v>
      </c>
    </row>
    <row r="105" spans="1:15" ht="36" customHeight="1">
      <c r="A105" s="1" t="s">
        <v>1313</v>
      </c>
      <c r="B105" s="1" t="s">
        <v>530</v>
      </c>
      <c r="C105" s="1" t="s">
        <v>99</v>
      </c>
      <c r="D105" s="1" t="s">
        <v>529</v>
      </c>
      <c r="E105" s="1" t="s">
        <v>531</v>
      </c>
      <c r="F105" s="1" t="s">
        <v>321</v>
      </c>
      <c r="G105" s="3" t="str">
        <f>IF(A105="","",IFERROR(INDEX('02-ماتریس الزامات'!$B$8:$B$1007,MATCH(F105,'02-ماتریس الزامات'!$A$8:$A$1007,0)),""))</f>
        <v>EMS</v>
      </c>
      <c r="H105" s="3" t="str">
        <f>IF(A105="","",IFERROR(INDEX('02-ماتریس الزامات'!$D$8:$D$1007,MATCH(F105,'02-ماتریس الزامات'!$A$8:$A$1007,0)),""))</f>
        <v>9.3 / 9.3.3 نسخه 2026؛ تطبیق لازم</v>
      </c>
      <c r="I105" s="3" t="str">
        <f>IF(A105="","",IFERROR(INDEX('02-ماتریس الزامات'!$F$8:$F$1007,MATCH(F105,'02-ماتریس الزامات'!$A$8:$A$1007,0)),""))</f>
        <v>یکپارچگی با فرآیندهای کسب‌وکار</v>
      </c>
      <c r="J105" s="1" t="s">
        <v>1116</v>
      </c>
      <c r="K105" s="1"/>
      <c r="L105" s="1"/>
      <c r="M105" s="1"/>
      <c r="N105" s="3" t="str">
        <f>IF(A105="","",IF(NOT(AND(COUNTIFS('13-کنترل انطباق'!$A$8:$A$1007,A105)=1,AND(COUNTIFS('17-جلسات و دوره‌ها'!$A$8:$A$1007,B105)=1,IFERROR(INDEX('17-جلسات و دوره‌ها'!$B$8:$B$1007,MATCH(B105,'17-جلسات و دوره‌ها'!$A$8:$A$1007,0)),"")=C105,IFERROR(INDEX('17-جلسات و دوره‌ها'!$C$8:$C$1007,MATCH(B105,'17-جلسات و دوره‌ها'!$A$8:$A$1007,0)),"")=D105),COUNTIFS('02-ماتریس الزامات'!$A$8:$A$1007,F105)=1,COUNTIFS('18-دامنه استانداردها'!$A$8:$A$1007,C105&amp;"|"&amp;G105)=1)),"شناسه یا دامنه نامعتبر",IF(IFERROR(INDEX('18-دامنه استانداردها'!$D$8:$D$1007,MATCH(C105&amp;"|"&amp;G105,'18-دامنه استانداردها'!$A$8:$A$1007,0)),"")="خیر",IF(AND(L105&lt;&gt;"",M105&lt;&gt;"",IFERROR(INDEX('18-دامنه استانداردها'!$H$8:$H$1007,MATCH(C105&amp;"|"&amp;G105,'18-دامنه استانداردها'!$A$8:$A$1007,0)),"")&lt;&gt;"",IFERROR(INDEX('18-دامنه استانداردها'!$I$8:$I$1007,MATCH(C105&amp;"|"&amp;G105,'18-دامنه استانداردها'!$A$8:$A$1007,0)),"")&lt;&gt;""),"عدم کاربرد مستند","عدم کاربرد بدون توجیه"),IF(IFERROR(INDEX('18-دامنه استانداردها'!$D$8:$D$1007,MATCH(C105&amp;"|"&amp;G105,'18-دامنه استانداردها'!$A$8:$A$1007,0)),"")&lt;&gt;"بله","دامنه نامشخص",IF(K105="","بررسی نشده؛ سابقه لازم",IF(NOT(IF(J105="ورودی",AND(COUNTIFS('03-ورودی‌های بازنگری'!$A$8:$A$1007,K105)=1,IFERROR(INDEX('03-ورودی‌های بازنگری'!$D$8:$D$1007,MATCH(K105,'03-ورودی‌های بازنگری'!$A$8:$A$1007,0)),"")=B105,IFERROR(INDEX('03-ورودی‌های بازنگری'!$R$8:$R$1007,MATCH(K105,'03-ورودی‌های بازنگری'!$A$8:$A$1007,0)),"")="معتبر"),IF(J105="تصمیم",AND(COUNTIFS('07-تصمیمات و مصوبات'!$A$8:$A$1007,K105)=1,IFERROR(INDEX('07-تصمیمات و مصوبات'!$B$8:$B$1007,MATCH(K105,'07-تصمیمات و مصوبات'!$A$8:$A$1007,0)),"")=B105,IFERROR(INDEX('07-تصمیمات و مصوبات'!$Z$8:$Z$1007,MATCH(K105,'07-تصمیمات و مصوبات'!$A$8:$A$1007,0)),"")="معتبر",COUNTIFS('15-روابط'!$B$8:$B$1007,K105,'15-روابط'!$C$8:$C$1007,"الزام",'15-روابط'!$D$8:$D$1007,F105,'15-روابط'!$E$8:$E$1007,"رابطه معتبر")&gt;0),IF(J105="نتیجه",AND(COUNTIFS('06-نتایج بازنگری'!$A$8:$A$1007,K105)=1,IFERROR(INDEX('06-نتایج بازنگری'!$D$8:$D$1007,MATCH(K105,'06-نتایج بازنگری'!$A$8:$A$1007,0)),"")=B105,IFERROR(INDEX('06-نتایج بازنگری'!$P$8:$P$1007,MATCH(K105,'06-نتایج بازنگری'!$A$8:$A$1007,0)),"")="معتبر",IFERROR(INDEX('06-نتایج بازنگری'!$F$8:$F$1007,MATCH(K105,'06-نتایج بازنگری'!$A$8:$A$1007,0)),"")=G105),IF(J105="ابلاغ",AND(COUNTIFS('20-ابلاغ نتایج'!$A$8:$A$1007,K105)=1,IFERROR(INDEX('20-ابلاغ نتایج'!$E$8:$E$1007,MATCH(K105,'20-ابلاغ نتایج'!$A$8:$A$1007,0)),"")=B105,IFERROR(INDEX('20-ابلاغ نتایج'!$L$8:$L$1007,MATCH(K105,'20-ابلاغ نتایج'!$A$8:$A$1007,0)),"")="معتبر"),FALSE))))),"سابقه یا شواهد ناقص",IF(IFERROR(INDEX('18-دامنه استانداردها'!$J$8:$J$1007,MATCH(C105&amp;"|"&amp;G105,'18-دامنه استانداردها'!$A$8:$A$1007,0)),"")="تأیید شده","شواهد مرتبط ثبت شد؛ تأیید ممیز لازم",IF(IFERROR(INDEX('18-دامنه استانداردها'!$J$8:$J$1007,MATCH(C105&amp;"|"&amp;G105,'18-دامنه استانداردها'!$A$8:$A$1007,0)),"")="فرضی","پوشش فرضی؛ آموزشی","شواهد حاضر؛ تطبیق نسخه باز"))))))))</f>
        <v>بررسی نشده؛ سابقه لازم</v>
      </c>
      <c r="O105" s="1" t="s">
        <v>1215</v>
      </c>
    </row>
    <row r="106" spans="1:15" ht="36" customHeight="1">
      <c r="A106" s="1" t="s">
        <v>1314</v>
      </c>
      <c r="B106" s="1" t="s">
        <v>83</v>
      </c>
      <c r="C106" s="1" t="s">
        <v>77</v>
      </c>
      <c r="D106" s="1" t="s">
        <v>80</v>
      </c>
      <c r="E106" s="1" t="s">
        <v>379</v>
      </c>
      <c r="F106" s="1" t="s">
        <v>323</v>
      </c>
      <c r="G106" s="3" t="str">
        <f>IF(A106="","",IFERROR(INDEX('02-ماتریس الزامات'!$B$8:$B$1007,MATCH(F106,'02-ماتریس الزامات'!$A$8:$A$1007,0)),""))</f>
        <v>EMS</v>
      </c>
      <c r="H106" s="3" t="str">
        <f>IF(A106="","",IFERROR(INDEX('02-ماتریس الزامات'!$D$8:$D$1007,MATCH(F106,'02-ماتریس الزامات'!$A$8:$A$1007,0)),""))</f>
        <v>9.3 / 9.3.3 نسخه 2026؛ تطبیق لازم</v>
      </c>
      <c r="I106" s="3" t="str">
        <f>IF(A106="","",IFERROR(INDEX('02-ماتریس الزامات'!$F$8:$F$1007,MATCH(F106,'02-ماتریس الزامات'!$A$8:$A$1007,0)),""))</f>
        <v>پیامدهای راهبردی</v>
      </c>
      <c r="J106" s="1" t="s">
        <v>1116</v>
      </c>
      <c r="K106" s="1"/>
      <c r="L106" s="1"/>
      <c r="M106" s="1"/>
      <c r="N106" s="3" t="str">
        <f>IF(A106="","",IF(NOT(AND(COUNTIFS('13-کنترل انطباق'!$A$8:$A$1007,A106)=1,AND(COUNTIFS('17-جلسات و دوره‌ها'!$A$8:$A$1007,B106)=1,IFERROR(INDEX('17-جلسات و دوره‌ها'!$B$8:$B$1007,MATCH(B106,'17-جلسات و دوره‌ها'!$A$8:$A$1007,0)),"")=C106,IFERROR(INDEX('17-جلسات و دوره‌ها'!$C$8:$C$1007,MATCH(B106,'17-جلسات و دوره‌ها'!$A$8:$A$1007,0)),"")=D106),COUNTIFS('02-ماتریس الزامات'!$A$8:$A$1007,F106)=1,COUNTIFS('18-دامنه استانداردها'!$A$8:$A$1007,C106&amp;"|"&amp;G106)=1)),"شناسه یا دامنه نامعتبر",IF(IFERROR(INDEX('18-دامنه استانداردها'!$D$8:$D$1007,MATCH(C106&amp;"|"&amp;G106,'18-دامنه استانداردها'!$A$8:$A$1007,0)),"")="خیر",IF(AND(L106&lt;&gt;"",M106&lt;&gt;"",IFERROR(INDEX('18-دامنه استانداردها'!$H$8:$H$1007,MATCH(C106&amp;"|"&amp;G106,'18-دامنه استانداردها'!$A$8:$A$1007,0)),"")&lt;&gt;"",IFERROR(INDEX('18-دامنه استانداردها'!$I$8:$I$1007,MATCH(C106&amp;"|"&amp;G106,'18-دامنه استانداردها'!$A$8:$A$1007,0)),"")&lt;&gt;""),"عدم کاربرد مستند","عدم کاربرد بدون توجیه"),IF(IFERROR(INDEX('18-دامنه استانداردها'!$D$8:$D$1007,MATCH(C106&amp;"|"&amp;G106,'18-دامنه استانداردها'!$A$8:$A$1007,0)),"")&lt;&gt;"بله","دامنه نامشخص",IF(K106="","بررسی نشده؛ سابقه لازم",IF(NOT(IF(J106="ورودی",AND(COUNTIFS('03-ورودی‌های بازنگری'!$A$8:$A$1007,K106)=1,IFERROR(INDEX('03-ورودی‌های بازنگری'!$D$8:$D$1007,MATCH(K106,'03-ورودی‌های بازنگری'!$A$8:$A$1007,0)),"")=B106,IFERROR(INDEX('03-ورودی‌های بازنگری'!$R$8:$R$1007,MATCH(K106,'03-ورودی‌های بازنگری'!$A$8:$A$1007,0)),"")="معتبر"),IF(J106="تصمیم",AND(COUNTIFS('07-تصمیمات و مصوبات'!$A$8:$A$1007,K106)=1,IFERROR(INDEX('07-تصمیمات و مصوبات'!$B$8:$B$1007,MATCH(K106,'07-تصمیمات و مصوبات'!$A$8:$A$1007,0)),"")=B106,IFERROR(INDEX('07-تصمیمات و مصوبات'!$Z$8:$Z$1007,MATCH(K106,'07-تصمیمات و مصوبات'!$A$8:$A$1007,0)),"")="معتبر",COUNTIFS('15-روابط'!$B$8:$B$1007,K106,'15-روابط'!$C$8:$C$1007,"الزام",'15-روابط'!$D$8:$D$1007,F106,'15-روابط'!$E$8:$E$1007,"رابطه معتبر")&gt;0),IF(J106="نتیجه",AND(COUNTIFS('06-نتایج بازنگری'!$A$8:$A$1007,K106)=1,IFERROR(INDEX('06-نتایج بازنگری'!$D$8:$D$1007,MATCH(K106,'06-نتایج بازنگری'!$A$8:$A$1007,0)),"")=B106,IFERROR(INDEX('06-نتایج بازنگری'!$P$8:$P$1007,MATCH(K106,'06-نتایج بازنگری'!$A$8:$A$1007,0)),"")="معتبر",IFERROR(INDEX('06-نتایج بازنگری'!$F$8:$F$1007,MATCH(K106,'06-نتایج بازنگری'!$A$8:$A$1007,0)),"")=G106),IF(J106="ابلاغ",AND(COUNTIFS('20-ابلاغ نتایج'!$A$8:$A$1007,K106)=1,IFERROR(INDEX('20-ابلاغ نتایج'!$E$8:$E$1007,MATCH(K106,'20-ابلاغ نتایج'!$A$8:$A$1007,0)),"")=B106,IFERROR(INDEX('20-ابلاغ نتایج'!$L$8:$L$1007,MATCH(K106,'20-ابلاغ نتایج'!$A$8:$A$1007,0)),"")="معتبر"),FALSE))))),"سابقه یا شواهد ناقص",IF(IFERROR(INDEX('18-دامنه استانداردها'!$J$8:$J$1007,MATCH(C106&amp;"|"&amp;G106,'18-دامنه استانداردها'!$A$8:$A$1007,0)),"")="تأیید شده","شواهد مرتبط ثبت شد؛ تأیید ممیز لازم",IF(IFERROR(INDEX('18-دامنه استانداردها'!$J$8:$J$1007,MATCH(C106&amp;"|"&amp;G106,'18-دامنه استانداردها'!$A$8:$A$1007,0)),"")="فرضی","پوشش فرضی؛ آموزشی","شواهد حاضر؛ تطبیق نسخه باز"))))))))</f>
        <v>بررسی نشده؛ سابقه لازم</v>
      </c>
      <c r="O106" s="1" t="s">
        <v>1215</v>
      </c>
    </row>
    <row r="107" spans="1:15" ht="36" customHeight="1">
      <c r="A107" s="1" t="s">
        <v>1315</v>
      </c>
      <c r="B107" s="1" t="s">
        <v>530</v>
      </c>
      <c r="C107" s="1" t="s">
        <v>99</v>
      </c>
      <c r="D107" s="1" t="s">
        <v>529</v>
      </c>
      <c r="E107" s="1" t="s">
        <v>531</v>
      </c>
      <c r="F107" s="1" t="s">
        <v>323</v>
      </c>
      <c r="G107" s="3" t="str">
        <f>IF(A107="","",IFERROR(INDEX('02-ماتریس الزامات'!$B$8:$B$1007,MATCH(F107,'02-ماتریس الزامات'!$A$8:$A$1007,0)),""))</f>
        <v>EMS</v>
      </c>
      <c r="H107" s="3" t="str">
        <f>IF(A107="","",IFERROR(INDEX('02-ماتریس الزامات'!$D$8:$D$1007,MATCH(F107,'02-ماتریس الزامات'!$A$8:$A$1007,0)),""))</f>
        <v>9.3 / 9.3.3 نسخه 2026؛ تطبیق لازم</v>
      </c>
      <c r="I107" s="3" t="str">
        <f>IF(A107="","",IFERROR(INDEX('02-ماتریس الزامات'!$F$8:$F$1007,MATCH(F107,'02-ماتریس الزامات'!$A$8:$A$1007,0)),""))</f>
        <v>پیامدهای راهبردی</v>
      </c>
      <c r="J107" s="1" t="s">
        <v>1116</v>
      </c>
      <c r="K107" s="1"/>
      <c r="L107" s="1"/>
      <c r="M107" s="1"/>
      <c r="N107" s="3" t="str">
        <f>IF(A107="","",IF(NOT(AND(COUNTIFS('13-کنترل انطباق'!$A$8:$A$1007,A107)=1,AND(COUNTIFS('17-جلسات و دوره‌ها'!$A$8:$A$1007,B107)=1,IFERROR(INDEX('17-جلسات و دوره‌ها'!$B$8:$B$1007,MATCH(B107,'17-جلسات و دوره‌ها'!$A$8:$A$1007,0)),"")=C107,IFERROR(INDEX('17-جلسات و دوره‌ها'!$C$8:$C$1007,MATCH(B107,'17-جلسات و دوره‌ها'!$A$8:$A$1007,0)),"")=D107),COUNTIFS('02-ماتریس الزامات'!$A$8:$A$1007,F107)=1,COUNTIFS('18-دامنه استانداردها'!$A$8:$A$1007,C107&amp;"|"&amp;G107)=1)),"شناسه یا دامنه نامعتبر",IF(IFERROR(INDEX('18-دامنه استانداردها'!$D$8:$D$1007,MATCH(C107&amp;"|"&amp;G107,'18-دامنه استانداردها'!$A$8:$A$1007,0)),"")="خیر",IF(AND(L107&lt;&gt;"",M107&lt;&gt;"",IFERROR(INDEX('18-دامنه استانداردها'!$H$8:$H$1007,MATCH(C107&amp;"|"&amp;G107,'18-دامنه استانداردها'!$A$8:$A$1007,0)),"")&lt;&gt;"",IFERROR(INDEX('18-دامنه استانداردها'!$I$8:$I$1007,MATCH(C107&amp;"|"&amp;G107,'18-دامنه استانداردها'!$A$8:$A$1007,0)),"")&lt;&gt;""),"عدم کاربرد مستند","عدم کاربرد بدون توجیه"),IF(IFERROR(INDEX('18-دامنه استانداردها'!$D$8:$D$1007,MATCH(C107&amp;"|"&amp;G107,'18-دامنه استانداردها'!$A$8:$A$1007,0)),"")&lt;&gt;"بله","دامنه نامشخص",IF(K107="","بررسی نشده؛ سابقه لازم",IF(NOT(IF(J107="ورودی",AND(COUNTIFS('03-ورودی‌های بازنگری'!$A$8:$A$1007,K107)=1,IFERROR(INDEX('03-ورودی‌های بازنگری'!$D$8:$D$1007,MATCH(K107,'03-ورودی‌های بازنگری'!$A$8:$A$1007,0)),"")=B107,IFERROR(INDEX('03-ورودی‌های بازنگری'!$R$8:$R$1007,MATCH(K107,'03-ورودی‌های بازنگری'!$A$8:$A$1007,0)),"")="معتبر"),IF(J107="تصمیم",AND(COUNTIFS('07-تصمیمات و مصوبات'!$A$8:$A$1007,K107)=1,IFERROR(INDEX('07-تصمیمات و مصوبات'!$B$8:$B$1007,MATCH(K107,'07-تصمیمات و مصوبات'!$A$8:$A$1007,0)),"")=B107,IFERROR(INDEX('07-تصمیمات و مصوبات'!$Z$8:$Z$1007,MATCH(K107,'07-تصمیمات و مصوبات'!$A$8:$A$1007,0)),"")="معتبر",COUNTIFS('15-روابط'!$B$8:$B$1007,K107,'15-روابط'!$C$8:$C$1007,"الزام",'15-روابط'!$D$8:$D$1007,F107,'15-روابط'!$E$8:$E$1007,"رابطه معتبر")&gt;0),IF(J107="نتیجه",AND(COUNTIFS('06-نتایج بازنگری'!$A$8:$A$1007,K107)=1,IFERROR(INDEX('06-نتایج بازنگری'!$D$8:$D$1007,MATCH(K107,'06-نتایج بازنگری'!$A$8:$A$1007,0)),"")=B107,IFERROR(INDEX('06-نتایج بازنگری'!$P$8:$P$1007,MATCH(K107,'06-نتایج بازنگری'!$A$8:$A$1007,0)),"")="معتبر",IFERROR(INDEX('06-نتایج بازنگری'!$F$8:$F$1007,MATCH(K107,'06-نتایج بازنگری'!$A$8:$A$1007,0)),"")=G107),IF(J107="ابلاغ",AND(COUNTIFS('20-ابلاغ نتایج'!$A$8:$A$1007,K107)=1,IFERROR(INDEX('20-ابلاغ نتایج'!$E$8:$E$1007,MATCH(K107,'20-ابلاغ نتایج'!$A$8:$A$1007,0)),"")=B107,IFERROR(INDEX('20-ابلاغ نتایج'!$L$8:$L$1007,MATCH(K107,'20-ابلاغ نتایج'!$A$8:$A$1007,0)),"")="معتبر"),FALSE))))),"سابقه یا شواهد ناقص",IF(IFERROR(INDEX('18-دامنه استانداردها'!$J$8:$J$1007,MATCH(C107&amp;"|"&amp;G107,'18-دامنه استانداردها'!$A$8:$A$1007,0)),"")="تأیید شده","شواهد مرتبط ثبت شد؛ تأیید ممیز لازم",IF(IFERROR(INDEX('18-دامنه استانداردها'!$J$8:$J$1007,MATCH(C107&amp;"|"&amp;G107,'18-دامنه استانداردها'!$A$8:$A$1007,0)),"")="فرضی","پوشش فرضی؛ آموزشی","شواهد حاضر؛ تطبیق نسخه باز"))))))))</f>
        <v>بررسی نشده؛ سابقه لازم</v>
      </c>
      <c r="O107" s="1" t="s">
        <v>1215</v>
      </c>
    </row>
    <row r="108" spans="1:15" ht="36" customHeight="1">
      <c r="A108" s="1" t="s">
        <v>1316</v>
      </c>
      <c r="B108" s="1" t="s">
        <v>83</v>
      </c>
      <c r="C108" s="1" t="s">
        <v>77</v>
      </c>
      <c r="D108" s="1" t="s">
        <v>80</v>
      </c>
      <c r="E108" s="1" t="s">
        <v>379</v>
      </c>
      <c r="F108" s="1" t="s">
        <v>325</v>
      </c>
      <c r="G108" s="3" t="str">
        <f>IF(A108="","",IFERROR(INDEX('02-ماتریس الزامات'!$B$8:$B$1007,MATCH(F108,'02-ماتریس الزامات'!$A$8:$A$1007,0)),""))</f>
        <v>EMS</v>
      </c>
      <c r="H108" s="3" t="str">
        <f>IF(A108="","",IFERROR(INDEX('02-ماتریس الزامات'!$D$8:$D$1007,MATCH(F108,'02-ماتریس الزامات'!$A$8:$A$1007,0)),""))</f>
        <v>9.3 / 9.3.3 نسخه 2026؛ تطبیق لازم</v>
      </c>
      <c r="I108" s="3" t="str">
        <f>IF(A108="","",IFERROR(INDEX('02-ماتریس الزامات'!$F$8:$F$1007,MATCH(F108,'02-ماتریس الزامات'!$A$8:$A$1007,0)),""))</f>
        <v>اقدام برای اهداف محقق‌نشده</v>
      </c>
      <c r="J108" s="1" t="s">
        <v>1116</v>
      </c>
      <c r="K108" s="1"/>
      <c r="L108" s="1"/>
      <c r="M108" s="1"/>
      <c r="N108" s="3" t="str">
        <f>IF(A108="","",IF(NOT(AND(COUNTIFS('13-کنترل انطباق'!$A$8:$A$1007,A108)=1,AND(COUNTIFS('17-جلسات و دوره‌ها'!$A$8:$A$1007,B108)=1,IFERROR(INDEX('17-جلسات و دوره‌ها'!$B$8:$B$1007,MATCH(B108,'17-جلسات و دوره‌ها'!$A$8:$A$1007,0)),"")=C108,IFERROR(INDEX('17-جلسات و دوره‌ها'!$C$8:$C$1007,MATCH(B108,'17-جلسات و دوره‌ها'!$A$8:$A$1007,0)),"")=D108),COUNTIFS('02-ماتریس الزامات'!$A$8:$A$1007,F108)=1,COUNTIFS('18-دامنه استانداردها'!$A$8:$A$1007,C108&amp;"|"&amp;G108)=1)),"شناسه یا دامنه نامعتبر",IF(IFERROR(INDEX('18-دامنه استانداردها'!$D$8:$D$1007,MATCH(C108&amp;"|"&amp;G108,'18-دامنه استانداردها'!$A$8:$A$1007,0)),"")="خیر",IF(AND(L108&lt;&gt;"",M108&lt;&gt;"",IFERROR(INDEX('18-دامنه استانداردها'!$H$8:$H$1007,MATCH(C108&amp;"|"&amp;G108,'18-دامنه استانداردها'!$A$8:$A$1007,0)),"")&lt;&gt;"",IFERROR(INDEX('18-دامنه استانداردها'!$I$8:$I$1007,MATCH(C108&amp;"|"&amp;G108,'18-دامنه استانداردها'!$A$8:$A$1007,0)),"")&lt;&gt;""),"عدم کاربرد مستند","عدم کاربرد بدون توجیه"),IF(IFERROR(INDEX('18-دامنه استانداردها'!$D$8:$D$1007,MATCH(C108&amp;"|"&amp;G108,'18-دامنه استانداردها'!$A$8:$A$1007,0)),"")&lt;&gt;"بله","دامنه نامشخص",IF(K108="","بررسی نشده؛ سابقه لازم",IF(NOT(IF(J108="ورودی",AND(COUNTIFS('03-ورودی‌های بازنگری'!$A$8:$A$1007,K108)=1,IFERROR(INDEX('03-ورودی‌های بازنگری'!$D$8:$D$1007,MATCH(K108,'03-ورودی‌های بازنگری'!$A$8:$A$1007,0)),"")=B108,IFERROR(INDEX('03-ورودی‌های بازنگری'!$R$8:$R$1007,MATCH(K108,'03-ورودی‌های بازنگری'!$A$8:$A$1007,0)),"")="معتبر"),IF(J108="تصمیم",AND(COUNTIFS('07-تصمیمات و مصوبات'!$A$8:$A$1007,K108)=1,IFERROR(INDEX('07-تصمیمات و مصوبات'!$B$8:$B$1007,MATCH(K108,'07-تصمیمات و مصوبات'!$A$8:$A$1007,0)),"")=B108,IFERROR(INDEX('07-تصمیمات و مصوبات'!$Z$8:$Z$1007,MATCH(K108,'07-تصمیمات و مصوبات'!$A$8:$A$1007,0)),"")="معتبر",COUNTIFS('15-روابط'!$B$8:$B$1007,K108,'15-روابط'!$C$8:$C$1007,"الزام",'15-روابط'!$D$8:$D$1007,F108,'15-روابط'!$E$8:$E$1007,"رابطه معتبر")&gt;0),IF(J108="نتیجه",AND(COUNTIFS('06-نتایج بازنگری'!$A$8:$A$1007,K108)=1,IFERROR(INDEX('06-نتایج بازنگری'!$D$8:$D$1007,MATCH(K108,'06-نتایج بازنگری'!$A$8:$A$1007,0)),"")=B108,IFERROR(INDEX('06-نتایج بازنگری'!$P$8:$P$1007,MATCH(K108,'06-نتایج بازنگری'!$A$8:$A$1007,0)),"")="معتبر",IFERROR(INDEX('06-نتایج بازنگری'!$F$8:$F$1007,MATCH(K108,'06-نتایج بازنگری'!$A$8:$A$1007,0)),"")=G108),IF(J108="ابلاغ",AND(COUNTIFS('20-ابلاغ نتایج'!$A$8:$A$1007,K108)=1,IFERROR(INDEX('20-ابلاغ نتایج'!$E$8:$E$1007,MATCH(K108,'20-ابلاغ نتایج'!$A$8:$A$1007,0)),"")=B108,IFERROR(INDEX('20-ابلاغ نتایج'!$L$8:$L$1007,MATCH(K108,'20-ابلاغ نتایج'!$A$8:$A$1007,0)),"")="معتبر"),FALSE))))),"سابقه یا شواهد ناقص",IF(IFERROR(INDEX('18-دامنه استانداردها'!$J$8:$J$1007,MATCH(C108&amp;"|"&amp;G108,'18-دامنه استانداردها'!$A$8:$A$1007,0)),"")="تأیید شده","شواهد مرتبط ثبت شد؛ تأیید ممیز لازم",IF(IFERROR(INDEX('18-دامنه استانداردها'!$J$8:$J$1007,MATCH(C108&amp;"|"&amp;G108,'18-دامنه استانداردها'!$A$8:$A$1007,0)),"")="فرضی","پوشش فرضی؛ آموزشی","شواهد حاضر؛ تطبیق نسخه باز"))))))))</f>
        <v>بررسی نشده؛ سابقه لازم</v>
      </c>
      <c r="O108" s="1" t="s">
        <v>1215</v>
      </c>
    </row>
    <row r="109" spans="1:15" ht="36" customHeight="1">
      <c r="A109" s="1" t="s">
        <v>1317</v>
      </c>
      <c r="B109" s="1" t="s">
        <v>530</v>
      </c>
      <c r="C109" s="1" t="s">
        <v>99</v>
      </c>
      <c r="D109" s="1" t="s">
        <v>529</v>
      </c>
      <c r="E109" s="1" t="s">
        <v>531</v>
      </c>
      <c r="F109" s="1" t="s">
        <v>325</v>
      </c>
      <c r="G109" s="3" t="str">
        <f>IF(A109="","",IFERROR(INDEX('02-ماتریس الزامات'!$B$8:$B$1007,MATCH(F109,'02-ماتریس الزامات'!$A$8:$A$1007,0)),""))</f>
        <v>EMS</v>
      </c>
      <c r="H109" s="3" t="str">
        <f>IF(A109="","",IFERROR(INDEX('02-ماتریس الزامات'!$D$8:$D$1007,MATCH(F109,'02-ماتریس الزامات'!$A$8:$A$1007,0)),""))</f>
        <v>9.3 / 9.3.3 نسخه 2026؛ تطبیق لازم</v>
      </c>
      <c r="I109" s="3" t="str">
        <f>IF(A109="","",IFERROR(INDEX('02-ماتریس الزامات'!$F$8:$F$1007,MATCH(F109,'02-ماتریس الزامات'!$A$8:$A$1007,0)),""))</f>
        <v>اقدام برای اهداف محقق‌نشده</v>
      </c>
      <c r="J109" s="1" t="s">
        <v>1116</v>
      </c>
      <c r="K109" s="1"/>
      <c r="L109" s="1"/>
      <c r="M109" s="1"/>
      <c r="N109" s="3" t="str">
        <f>IF(A109="","",IF(NOT(AND(COUNTIFS('13-کنترل انطباق'!$A$8:$A$1007,A109)=1,AND(COUNTIFS('17-جلسات و دوره‌ها'!$A$8:$A$1007,B109)=1,IFERROR(INDEX('17-جلسات و دوره‌ها'!$B$8:$B$1007,MATCH(B109,'17-جلسات و دوره‌ها'!$A$8:$A$1007,0)),"")=C109,IFERROR(INDEX('17-جلسات و دوره‌ها'!$C$8:$C$1007,MATCH(B109,'17-جلسات و دوره‌ها'!$A$8:$A$1007,0)),"")=D109),COUNTIFS('02-ماتریس الزامات'!$A$8:$A$1007,F109)=1,COUNTIFS('18-دامنه استانداردها'!$A$8:$A$1007,C109&amp;"|"&amp;G109)=1)),"شناسه یا دامنه نامعتبر",IF(IFERROR(INDEX('18-دامنه استانداردها'!$D$8:$D$1007,MATCH(C109&amp;"|"&amp;G109,'18-دامنه استانداردها'!$A$8:$A$1007,0)),"")="خیر",IF(AND(L109&lt;&gt;"",M109&lt;&gt;"",IFERROR(INDEX('18-دامنه استانداردها'!$H$8:$H$1007,MATCH(C109&amp;"|"&amp;G109,'18-دامنه استانداردها'!$A$8:$A$1007,0)),"")&lt;&gt;"",IFERROR(INDEX('18-دامنه استانداردها'!$I$8:$I$1007,MATCH(C109&amp;"|"&amp;G109,'18-دامنه استانداردها'!$A$8:$A$1007,0)),"")&lt;&gt;""),"عدم کاربرد مستند","عدم کاربرد بدون توجیه"),IF(IFERROR(INDEX('18-دامنه استانداردها'!$D$8:$D$1007,MATCH(C109&amp;"|"&amp;G109,'18-دامنه استانداردها'!$A$8:$A$1007,0)),"")&lt;&gt;"بله","دامنه نامشخص",IF(K109="","بررسی نشده؛ سابقه لازم",IF(NOT(IF(J109="ورودی",AND(COUNTIFS('03-ورودی‌های بازنگری'!$A$8:$A$1007,K109)=1,IFERROR(INDEX('03-ورودی‌های بازنگری'!$D$8:$D$1007,MATCH(K109,'03-ورودی‌های بازنگری'!$A$8:$A$1007,0)),"")=B109,IFERROR(INDEX('03-ورودی‌های بازنگری'!$R$8:$R$1007,MATCH(K109,'03-ورودی‌های بازنگری'!$A$8:$A$1007,0)),"")="معتبر"),IF(J109="تصمیم",AND(COUNTIFS('07-تصمیمات و مصوبات'!$A$8:$A$1007,K109)=1,IFERROR(INDEX('07-تصمیمات و مصوبات'!$B$8:$B$1007,MATCH(K109,'07-تصمیمات و مصوبات'!$A$8:$A$1007,0)),"")=B109,IFERROR(INDEX('07-تصمیمات و مصوبات'!$Z$8:$Z$1007,MATCH(K109,'07-تصمیمات و مصوبات'!$A$8:$A$1007,0)),"")="معتبر",COUNTIFS('15-روابط'!$B$8:$B$1007,K109,'15-روابط'!$C$8:$C$1007,"الزام",'15-روابط'!$D$8:$D$1007,F109,'15-روابط'!$E$8:$E$1007,"رابطه معتبر")&gt;0),IF(J109="نتیجه",AND(COUNTIFS('06-نتایج بازنگری'!$A$8:$A$1007,K109)=1,IFERROR(INDEX('06-نتایج بازنگری'!$D$8:$D$1007,MATCH(K109,'06-نتایج بازنگری'!$A$8:$A$1007,0)),"")=B109,IFERROR(INDEX('06-نتایج بازنگری'!$P$8:$P$1007,MATCH(K109,'06-نتایج بازنگری'!$A$8:$A$1007,0)),"")="معتبر",IFERROR(INDEX('06-نتایج بازنگری'!$F$8:$F$1007,MATCH(K109,'06-نتایج بازنگری'!$A$8:$A$1007,0)),"")=G109),IF(J109="ابلاغ",AND(COUNTIFS('20-ابلاغ نتایج'!$A$8:$A$1007,K109)=1,IFERROR(INDEX('20-ابلاغ نتایج'!$E$8:$E$1007,MATCH(K109,'20-ابلاغ نتایج'!$A$8:$A$1007,0)),"")=B109,IFERROR(INDEX('20-ابلاغ نتایج'!$L$8:$L$1007,MATCH(K109,'20-ابلاغ نتایج'!$A$8:$A$1007,0)),"")="معتبر"),FALSE))))),"سابقه یا شواهد ناقص",IF(IFERROR(INDEX('18-دامنه استانداردها'!$J$8:$J$1007,MATCH(C109&amp;"|"&amp;G109,'18-دامنه استانداردها'!$A$8:$A$1007,0)),"")="تأیید شده","شواهد مرتبط ثبت شد؛ تأیید ممیز لازم",IF(IFERROR(INDEX('18-دامنه استانداردها'!$J$8:$J$1007,MATCH(C109&amp;"|"&amp;G109,'18-دامنه استانداردها'!$A$8:$A$1007,0)),"")="فرضی","پوشش فرضی؛ آموزشی","شواهد حاضر؛ تطبیق نسخه باز"))))))))</f>
        <v>بررسی نشده؛ سابقه لازم</v>
      </c>
      <c r="O109" s="1" t="s">
        <v>1215</v>
      </c>
    </row>
    <row r="110" spans="1:15" ht="36" customHeight="1">
      <c r="A110" s="1" t="s">
        <v>1318</v>
      </c>
      <c r="B110" s="1" t="s">
        <v>83</v>
      </c>
      <c r="C110" s="1" t="s">
        <v>77</v>
      </c>
      <c r="D110" s="1" t="s">
        <v>80</v>
      </c>
      <c r="E110" s="1" t="s">
        <v>379</v>
      </c>
      <c r="F110" s="1" t="s">
        <v>327</v>
      </c>
      <c r="G110" s="3" t="str">
        <f>IF(A110="","",IFERROR(INDEX('02-ماتریس الزامات'!$B$8:$B$1007,MATCH(F110,'02-ماتریس الزامات'!$A$8:$A$1007,0)),""))</f>
        <v>EMS</v>
      </c>
      <c r="H110" s="3" t="str">
        <f>IF(A110="","",IFERROR(INDEX('02-ماتریس الزامات'!$D$8:$D$1007,MATCH(F110,'02-ماتریس الزامات'!$A$8:$A$1007,0)),""))</f>
        <v>9.3 / 9.3.3 نسخه 2026؛ تطبیق لازم</v>
      </c>
      <c r="I110" s="3" t="str">
        <f>IF(A110="","",IFERROR(INDEX('02-ماتریس الزامات'!$F$8:$F$1007,MATCH(F110,'02-ماتریس الزامات'!$A$8:$A$1007,0)),""))</f>
        <v>نگهداری شواهد نتایج</v>
      </c>
      <c r="J110" s="1" t="s">
        <v>1116</v>
      </c>
      <c r="K110" s="1"/>
      <c r="L110" s="1"/>
      <c r="M110" s="1"/>
      <c r="N110" s="3" t="str">
        <f>IF(A110="","",IF(NOT(AND(COUNTIFS('13-کنترل انطباق'!$A$8:$A$1007,A110)=1,AND(COUNTIFS('17-جلسات و دوره‌ها'!$A$8:$A$1007,B110)=1,IFERROR(INDEX('17-جلسات و دوره‌ها'!$B$8:$B$1007,MATCH(B110,'17-جلسات و دوره‌ها'!$A$8:$A$1007,0)),"")=C110,IFERROR(INDEX('17-جلسات و دوره‌ها'!$C$8:$C$1007,MATCH(B110,'17-جلسات و دوره‌ها'!$A$8:$A$1007,0)),"")=D110),COUNTIFS('02-ماتریس الزامات'!$A$8:$A$1007,F110)=1,COUNTIFS('18-دامنه استانداردها'!$A$8:$A$1007,C110&amp;"|"&amp;G110)=1)),"شناسه یا دامنه نامعتبر",IF(IFERROR(INDEX('18-دامنه استانداردها'!$D$8:$D$1007,MATCH(C110&amp;"|"&amp;G110,'18-دامنه استانداردها'!$A$8:$A$1007,0)),"")="خیر",IF(AND(L110&lt;&gt;"",M110&lt;&gt;"",IFERROR(INDEX('18-دامنه استانداردها'!$H$8:$H$1007,MATCH(C110&amp;"|"&amp;G110,'18-دامنه استانداردها'!$A$8:$A$1007,0)),"")&lt;&gt;"",IFERROR(INDEX('18-دامنه استانداردها'!$I$8:$I$1007,MATCH(C110&amp;"|"&amp;G110,'18-دامنه استانداردها'!$A$8:$A$1007,0)),"")&lt;&gt;""),"عدم کاربرد مستند","عدم کاربرد بدون توجیه"),IF(IFERROR(INDEX('18-دامنه استانداردها'!$D$8:$D$1007,MATCH(C110&amp;"|"&amp;G110,'18-دامنه استانداردها'!$A$8:$A$1007,0)),"")&lt;&gt;"بله","دامنه نامشخص",IF(K110="","بررسی نشده؛ سابقه لازم",IF(NOT(IF(J110="ورودی",AND(COUNTIFS('03-ورودی‌های بازنگری'!$A$8:$A$1007,K110)=1,IFERROR(INDEX('03-ورودی‌های بازنگری'!$D$8:$D$1007,MATCH(K110,'03-ورودی‌های بازنگری'!$A$8:$A$1007,0)),"")=B110,IFERROR(INDEX('03-ورودی‌های بازنگری'!$R$8:$R$1007,MATCH(K110,'03-ورودی‌های بازنگری'!$A$8:$A$1007,0)),"")="معتبر"),IF(J110="تصمیم",AND(COUNTIFS('07-تصمیمات و مصوبات'!$A$8:$A$1007,K110)=1,IFERROR(INDEX('07-تصمیمات و مصوبات'!$B$8:$B$1007,MATCH(K110,'07-تصمیمات و مصوبات'!$A$8:$A$1007,0)),"")=B110,IFERROR(INDEX('07-تصمیمات و مصوبات'!$Z$8:$Z$1007,MATCH(K110,'07-تصمیمات و مصوبات'!$A$8:$A$1007,0)),"")="معتبر",COUNTIFS('15-روابط'!$B$8:$B$1007,K110,'15-روابط'!$C$8:$C$1007,"الزام",'15-روابط'!$D$8:$D$1007,F110,'15-روابط'!$E$8:$E$1007,"رابطه معتبر")&gt;0),IF(J110="نتیجه",AND(COUNTIFS('06-نتایج بازنگری'!$A$8:$A$1007,K110)=1,IFERROR(INDEX('06-نتایج بازنگری'!$D$8:$D$1007,MATCH(K110,'06-نتایج بازنگری'!$A$8:$A$1007,0)),"")=B110,IFERROR(INDEX('06-نتایج بازنگری'!$P$8:$P$1007,MATCH(K110,'06-نتایج بازنگری'!$A$8:$A$1007,0)),"")="معتبر",IFERROR(INDEX('06-نتایج بازنگری'!$F$8:$F$1007,MATCH(K110,'06-نتایج بازنگری'!$A$8:$A$1007,0)),"")=G110),IF(J110="ابلاغ",AND(COUNTIFS('20-ابلاغ نتایج'!$A$8:$A$1007,K110)=1,IFERROR(INDEX('20-ابلاغ نتایج'!$E$8:$E$1007,MATCH(K110,'20-ابلاغ نتایج'!$A$8:$A$1007,0)),"")=B110,IFERROR(INDEX('20-ابلاغ نتایج'!$L$8:$L$1007,MATCH(K110,'20-ابلاغ نتایج'!$A$8:$A$1007,0)),"")="معتبر"),FALSE))))),"سابقه یا شواهد ناقص",IF(IFERROR(INDEX('18-دامنه استانداردها'!$J$8:$J$1007,MATCH(C110&amp;"|"&amp;G110,'18-دامنه استانداردها'!$A$8:$A$1007,0)),"")="تأیید شده","شواهد مرتبط ثبت شد؛ تأیید ممیز لازم",IF(IFERROR(INDEX('18-دامنه استانداردها'!$J$8:$J$1007,MATCH(C110&amp;"|"&amp;G110,'18-دامنه استانداردها'!$A$8:$A$1007,0)),"")="فرضی","پوشش فرضی؛ آموزشی","شواهد حاضر؛ تطبیق نسخه باز"))))))))</f>
        <v>بررسی نشده؛ سابقه لازم</v>
      </c>
      <c r="O110" s="1" t="s">
        <v>1215</v>
      </c>
    </row>
    <row r="111" spans="1:15" ht="36" customHeight="1">
      <c r="A111" s="1" t="s">
        <v>1319</v>
      </c>
      <c r="B111" s="1" t="s">
        <v>530</v>
      </c>
      <c r="C111" s="1" t="s">
        <v>99</v>
      </c>
      <c r="D111" s="1" t="s">
        <v>529</v>
      </c>
      <c r="E111" s="1" t="s">
        <v>531</v>
      </c>
      <c r="F111" s="1" t="s">
        <v>327</v>
      </c>
      <c r="G111" s="3" t="str">
        <f>IF(A111="","",IFERROR(INDEX('02-ماتریس الزامات'!$B$8:$B$1007,MATCH(F111,'02-ماتریس الزامات'!$A$8:$A$1007,0)),""))</f>
        <v>EMS</v>
      </c>
      <c r="H111" s="3" t="str">
        <f>IF(A111="","",IFERROR(INDEX('02-ماتریس الزامات'!$D$8:$D$1007,MATCH(F111,'02-ماتریس الزامات'!$A$8:$A$1007,0)),""))</f>
        <v>9.3 / 9.3.3 نسخه 2026؛ تطبیق لازم</v>
      </c>
      <c r="I111" s="3" t="str">
        <f>IF(A111="","",IFERROR(INDEX('02-ماتریس الزامات'!$F$8:$F$1007,MATCH(F111,'02-ماتریس الزامات'!$A$8:$A$1007,0)),""))</f>
        <v>نگهداری شواهد نتایج</v>
      </c>
      <c r="J111" s="1" t="s">
        <v>1116</v>
      </c>
      <c r="K111" s="1"/>
      <c r="L111" s="1"/>
      <c r="M111" s="1"/>
      <c r="N111" s="3" t="str">
        <f>IF(A111="","",IF(NOT(AND(COUNTIFS('13-کنترل انطباق'!$A$8:$A$1007,A111)=1,AND(COUNTIFS('17-جلسات و دوره‌ها'!$A$8:$A$1007,B111)=1,IFERROR(INDEX('17-جلسات و دوره‌ها'!$B$8:$B$1007,MATCH(B111,'17-جلسات و دوره‌ها'!$A$8:$A$1007,0)),"")=C111,IFERROR(INDEX('17-جلسات و دوره‌ها'!$C$8:$C$1007,MATCH(B111,'17-جلسات و دوره‌ها'!$A$8:$A$1007,0)),"")=D111),COUNTIFS('02-ماتریس الزامات'!$A$8:$A$1007,F111)=1,COUNTIFS('18-دامنه استانداردها'!$A$8:$A$1007,C111&amp;"|"&amp;G111)=1)),"شناسه یا دامنه نامعتبر",IF(IFERROR(INDEX('18-دامنه استانداردها'!$D$8:$D$1007,MATCH(C111&amp;"|"&amp;G111,'18-دامنه استانداردها'!$A$8:$A$1007,0)),"")="خیر",IF(AND(L111&lt;&gt;"",M111&lt;&gt;"",IFERROR(INDEX('18-دامنه استانداردها'!$H$8:$H$1007,MATCH(C111&amp;"|"&amp;G111,'18-دامنه استانداردها'!$A$8:$A$1007,0)),"")&lt;&gt;"",IFERROR(INDEX('18-دامنه استانداردها'!$I$8:$I$1007,MATCH(C111&amp;"|"&amp;G111,'18-دامنه استانداردها'!$A$8:$A$1007,0)),"")&lt;&gt;""),"عدم کاربرد مستند","عدم کاربرد بدون توجیه"),IF(IFERROR(INDEX('18-دامنه استانداردها'!$D$8:$D$1007,MATCH(C111&amp;"|"&amp;G111,'18-دامنه استانداردها'!$A$8:$A$1007,0)),"")&lt;&gt;"بله","دامنه نامشخص",IF(K111="","بررسی نشده؛ سابقه لازم",IF(NOT(IF(J111="ورودی",AND(COUNTIFS('03-ورودی‌های بازنگری'!$A$8:$A$1007,K111)=1,IFERROR(INDEX('03-ورودی‌های بازنگری'!$D$8:$D$1007,MATCH(K111,'03-ورودی‌های بازنگری'!$A$8:$A$1007,0)),"")=B111,IFERROR(INDEX('03-ورودی‌های بازنگری'!$R$8:$R$1007,MATCH(K111,'03-ورودی‌های بازنگری'!$A$8:$A$1007,0)),"")="معتبر"),IF(J111="تصمیم",AND(COUNTIFS('07-تصمیمات و مصوبات'!$A$8:$A$1007,K111)=1,IFERROR(INDEX('07-تصمیمات و مصوبات'!$B$8:$B$1007,MATCH(K111,'07-تصمیمات و مصوبات'!$A$8:$A$1007,0)),"")=B111,IFERROR(INDEX('07-تصمیمات و مصوبات'!$Z$8:$Z$1007,MATCH(K111,'07-تصمیمات و مصوبات'!$A$8:$A$1007,0)),"")="معتبر",COUNTIFS('15-روابط'!$B$8:$B$1007,K111,'15-روابط'!$C$8:$C$1007,"الزام",'15-روابط'!$D$8:$D$1007,F111,'15-روابط'!$E$8:$E$1007,"رابطه معتبر")&gt;0),IF(J111="نتیجه",AND(COUNTIFS('06-نتایج بازنگری'!$A$8:$A$1007,K111)=1,IFERROR(INDEX('06-نتایج بازنگری'!$D$8:$D$1007,MATCH(K111,'06-نتایج بازنگری'!$A$8:$A$1007,0)),"")=B111,IFERROR(INDEX('06-نتایج بازنگری'!$P$8:$P$1007,MATCH(K111,'06-نتایج بازنگری'!$A$8:$A$1007,0)),"")="معتبر",IFERROR(INDEX('06-نتایج بازنگری'!$F$8:$F$1007,MATCH(K111,'06-نتایج بازنگری'!$A$8:$A$1007,0)),"")=G111),IF(J111="ابلاغ",AND(COUNTIFS('20-ابلاغ نتایج'!$A$8:$A$1007,K111)=1,IFERROR(INDEX('20-ابلاغ نتایج'!$E$8:$E$1007,MATCH(K111,'20-ابلاغ نتایج'!$A$8:$A$1007,0)),"")=B111,IFERROR(INDEX('20-ابلاغ نتایج'!$L$8:$L$1007,MATCH(K111,'20-ابلاغ نتایج'!$A$8:$A$1007,0)),"")="معتبر"),FALSE))))),"سابقه یا شواهد ناقص",IF(IFERROR(INDEX('18-دامنه استانداردها'!$J$8:$J$1007,MATCH(C111&amp;"|"&amp;G111,'18-دامنه استانداردها'!$A$8:$A$1007,0)),"")="تأیید شده","شواهد مرتبط ثبت شد؛ تأیید ممیز لازم",IF(IFERROR(INDEX('18-دامنه استانداردها'!$J$8:$J$1007,MATCH(C111&amp;"|"&amp;G111,'18-دامنه استانداردها'!$A$8:$A$1007,0)),"")="فرضی","پوشش فرضی؛ آموزشی","شواهد حاضر؛ تطبیق نسخه باز"))))))))</f>
        <v>بررسی نشده؛ سابقه لازم</v>
      </c>
      <c r="O111" s="1" t="s">
        <v>1215</v>
      </c>
    </row>
    <row r="112" spans="1:15" ht="36" customHeight="1">
      <c r="A112" s="1" t="s">
        <v>1320</v>
      </c>
      <c r="B112" s="1" t="s">
        <v>83</v>
      </c>
      <c r="C112" s="1" t="s">
        <v>77</v>
      </c>
      <c r="D112" s="1" t="s">
        <v>80</v>
      </c>
      <c r="E112" s="1" t="s">
        <v>379</v>
      </c>
      <c r="F112" s="1" t="s">
        <v>329</v>
      </c>
      <c r="G112" s="3" t="str">
        <f>IF(A112="","",IFERROR(INDEX('02-ماتریس الزامات'!$B$8:$B$1007,MATCH(F112,'02-ماتریس الزامات'!$A$8:$A$1007,0)),""))</f>
        <v>OHS</v>
      </c>
      <c r="H112" s="3" t="str">
        <f>IF(A112="","",IFERROR(INDEX('02-ماتریس الزامات'!$D$8:$D$1007,MATCH(F112,'02-ماتریس الزامات'!$A$8:$A$1007,0)),""))</f>
        <v>9.3؛ شماره جزء تابع ویرایش</v>
      </c>
      <c r="I112" s="3" t="str">
        <f>IF(A112="","",IFERROR(INDEX('02-ماتریس الزامات'!$F$8:$F$1007,MATCH(F112,'02-ماتریس الزامات'!$A$8:$A$1007,0)),""))</f>
        <v>اقدامات قبلی</v>
      </c>
      <c r="J112" s="1" t="s">
        <v>174</v>
      </c>
      <c r="K112" s="1" t="s">
        <v>392</v>
      </c>
      <c r="L112" s="1"/>
      <c r="M112" s="1"/>
      <c r="N112" s="3" t="str">
        <f>IF(A112="","",IF(NOT(AND(COUNTIFS('13-کنترل انطباق'!$A$8:$A$1007,A112)=1,AND(COUNTIFS('17-جلسات و دوره‌ها'!$A$8:$A$1007,B112)=1,IFERROR(INDEX('17-جلسات و دوره‌ها'!$B$8:$B$1007,MATCH(B112,'17-جلسات و دوره‌ها'!$A$8:$A$1007,0)),"")=C112,IFERROR(INDEX('17-جلسات و دوره‌ها'!$C$8:$C$1007,MATCH(B112,'17-جلسات و دوره‌ها'!$A$8:$A$1007,0)),"")=D112),COUNTIFS('02-ماتریس الزامات'!$A$8:$A$1007,F112)=1,COUNTIFS('18-دامنه استانداردها'!$A$8:$A$1007,C112&amp;"|"&amp;G112)=1)),"شناسه یا دامنه نامعتبر",IF(IFERROR(INDEX('18-دامنه استانداردها'!$D$8:$D$1007,MATCH(C112&amp;"|"&amp;G112,'18-دامنه استانداردها'!$A$8:$A$1007,0)),"")="خیر",IF(AND(L112&lt;&gt;"",M112&lt;&gt;"",IFERROR(INDEX('18-دامنه استانداردها'!$H$8:$H$1007,MATCH(C112&amp;"|"&amp;G112,'18-دامنه استانداردها'!$A$8:$A$1007,0)),"")&lt;&gt;"",IFERROR(INDEX('18-دامنه استانداردها'!$I$8:$I$1007,MATCH(C112&amp;"|"&amp;G112,'18-دامنه استانداردها'!$A$8:$A$1007,0)),"")&lt;&gt;""),"عدم کاربرد مستند","عدم کاربرد بدون توجیه"),IF(IFERROR(INDEX('18-دامنه استانداردها'!$D$8:$D$1007,MATCH(C112&amp;"|"&amp;G112,'18-دامنه استانداردها'!$A$8:$A$1007,0)),"")&lt;&gt;"بله","دامنه نامشخص",IF(K112="","بررسی نشده؛ سابقه لازم",IF(NOT(IF(J112="ورودی",AND(COUNTIFS('03-ورودی‌های بازنگری'!$A$8:$A$1007,K112)=1,IFERROR(INDEX('03-ورودی‌های بازنگری'!$D$8:$D$1007,MATCH(K112,'03-ورودی‌های بازنگری'!$A$8:$A$1007,0)),"")=B112,IFERROR(INDEX('03-ورودی‌های بازنگری'!$R$8:$R$1007,MATCH(K112,'03-ورودی‌های بازنگری'!$A$8:$A$1007,0)),"")="معتبر"),IF(J112="تصمیم",AND(COUNTIFS('07-تصمیمات و مصوبات'!$A$8:$A$1007,K112)=1,IFERROR(INDEX('07-تصمیمات و مصوبات'!$B$8:$B$1007,MATCH(K112,'07-تصمیمات و مصوبات'!$A$8:$A$1007,0)),"")=B112,IFERROR(INDEX('07-تصمیمات و مصوبات'!$Z$8:$Z$1007,MATCH(K112,'07-تصمیمات و مصوبات'!$A$8:$A$1007,0)),"")="معتبر",COUNTIFS('15-روابط'!$B$8:$B$1007,K112,'15-روابط'!$C$8:$C$1007,"الزام",'15-روابط'!$D$8:$D$1007,F112,'15-روابط'!$E$8:$E$1007,"رابطه معتبر")&gt;0),IF(J112="نتیجه",AND(COUNTIFS('06-نتایج بازنگری'!$A$8:$A$1007,K112)=1,IFERROR(INDEX('06-نتایج بازنگری'!$D$8:$D$1007,MATCH(K112,'06-نتایج بازنگری'!$A$8:$A$1007,0)),"")=B112,IFERROR(INDEX('06-نتایج بازنگری'!$P$8:$P$1007,MATCH(K112,'06-نتایج بازنگری'!$A$8:$A$1007,0)),"")="معتبر",IFERROR(INDEX('06-نتایج بازنگری'!$F$8:$F$1007,MATCH(K112,'06-نتایج بازنگری'!$A$8:$A$1007,0)),"")=G112),IF(J112="ابلاغ",AND(COUNTIFS('20-ابلاغ نتایج'!$A$8:$A$1007,K112)=1,IFERROR(INDEX('20-ابلاغ نتایج'!$E$8:$E$1007,MATCH(K112,'20-ابلاغ نتایج'!$A$8:$A$1007,0)),"")=B112,IFERROR(INDEX('20-ابلاغ نتایج'!$L$8:$L$1007,MATCH(K112,'20-ابلاغ نتایج'!$A$8:$A$1007,0)),"")="معتبر"),FALSE))))),"سابقه یا شواهد ناقص",IF(IFERROR(INDEX('18-دامنه استانداردها'!$J$8:$J$1007,MATCH(C112&amp;"|"&amp;G112,'18-دامنه استانداردها'!$A$8:$A$1007,0)),"")="تأیید شده","شواهد مرتبط ثبت شد؛ تأیید ممیز لازم",IF(IFERROR(INDEX('18-دامنه استانداردها'!$J$8:$J$1007,MATCH(C112&amp;"|"&amp;G112,'18-دامنه استانداردها'!$A$8:$A$1007,0)),"")="فرضی","پوشش فرضی؛ آموزشی","شواهد حاضر؛ تطبیق نسخه باز"))))))))</f>
        <v>سابقه یا شواهد ناقص</v>
      </c>
      <c r="O112" s="1" t="s">
        <v>1215</v>
      </c>
    </row>
    <row r="113" spans="1:15" ht="36" customHeight="1">
      <c r="A113" s="1" t="s">
        <v>1321</v>
      </c>
      <c r="B113" s="1" t="s">
        <v>530</v>
      </c>
      <c r="C113" s="1" t="s">
        <v>99</v>
      </c>
      <c r="D113" s="1" t="s">
        <v>529</v>
      </c>
      <c r="E113" s="1" t="s">
        <v>531</v>
      </c>
      <c r="F113" s="1" t="s">
        <v>329</v>
      </c>
      <c r="G113" s="3" t="str">
        <f>IF(A113="","",IFERROR(INDEX('02-ماتریس الزامات'!$B$8:$B$1007,MATCH(F113,'02-ماتریس الزامات'!$A$8:$A$1007,0)),""))</f>
        <v>OHS</v>
      </c>
      <c r="H113" s="3" t="str">
        <f>IF(A113="","",IFERROR(INDEX('02-ماتریس الزامات'!$D$8:$D$1007,MATCH(F113,'02-ماتریس الزامات'!$A$8:$A$1007,0)),""))</f>
        <v>9.3؛ شماره جزء تابع ویرایش</v>
      </c>
      <c r="I113" s="3" t="str">
        <f>IF(A113="","",IFERROR(INDEX('02-ماتریس الزامات'!$F$8:$F$1007,MATCH(F113,'02-ماتریس الزامات'!$A$8:$A$1007,0)),""))</f>
        <v>اقدامات قبلی</v>
      </c>
      <c r="J113" s="1" t="s">
        <v>174</v>
      </c>
      <c r="K113" s="1"/>
      <c r="L113" s="1"/>
      <c r="M113" s="1"/>
      <c r="N113" s="3" t="str">
        <f>IF(A113="","",IF(NOT(AND(COUNTIFS('13-کنترل انطباق'!$A$8:$A$1007,A113)=1,AND(COUNTIFS('17-جلسات و دوره‌ها'!$A$8:$A$1007,B113)=1,IFERROR(INDEX('17-جلسات و دوره‌ها'!$B$8:$B$1007,MATCH(B113,'17-جلسات و دوره‌ها'!$A$8:$A$1007,0)),"")=C113,IFERROR(INDEX('17-جلسات و دوره‌ها'!$C$8:$C$1007,MATCH(B113,'17-جلسات و دوره‌ها'!$A$8:$A$1007,0)),"")=D113),COUNTIFS('02-ماتریس الزامات'!$A$8:$A$1007,F113)=1,COUNTIFS('18-دامنه استانداردها'!$A$8:$A$1007,C113&amp;"|"&amp;G113)=1)),"شناسه یا دامنه نامعتبر",IF(IFERROR(INDEX('18-دامنه استانداردها'!$D$8:$D$1007,MATCH(C113&amp;"|"&amp;G113,'18-دامنه استانداردها'!$A$8:$A$1007,0)),"")="خیر",IF(AND(L113&lt;&gt;"",M113&lt;&gt;"",IFERROR(INDEX('18-دامنه استانداردها'!$H$8:$H$1007,MATCH(C113&amp;"|"&amp;G113,'18-دامنه استانداردها'!$A$8:$A$1007,0)),"")&lt;&gt;"",IFERROR(INDEX('18-دامنه استانداردها'!$I$8:$I$1007,MATCH(C113&amp;"|"&amp;G113,'18-دامنه استانداردها'!$A$8:$A$1007,0)),"")&lt;&gt;""),"عدم کاربرد مستند","عدم کاربرد بدون توجیه"),IF(IFERROR(INDEX('18-دامنه استانداردها'!$D$8:$D$1007,MATCH(C113&amp;"|"&amp;G113,'18-دامنه استانداردها'!$A$8:$A$1007,0)),"")&lt;&gt;"بله","دامنه نامشخص",IF(K113="","بررسی نشده؛ سابقه لازم",IF(NOT(IF(J113="ورودی",AND(COUNTIFS('03-ورودی‌های بازنگری'!$A$8:$A$1007,K113)=1,IFERROR(INDEX('03-ورودی‌های بازنگری'!$D$8:$D$1007,MATCH(K113,'03-ورودی‌های بازنگری'!$A$8:$A$1007,0)),"")=B113,IFERROR(INDEX('03-ورودی‌های بازنگری'!$R$8:$R$1007,MATCH(K113,'03-ورودی‌های بازنگری'!$A$8:$A$1007,0)),"")="معتبر"),IF(J113="تصمیم",AND(COUNTIFS('07-تصمیمات و مصوبات'!$A$8:$A$1007,K113)=1,IFERROR(INDEX('07-تصمیمات و مصوبات'!$B$8:$B$1007,MATCH(K113,'07-تصمیمات و مصوبات'!$A$8:$A$1007,0)),"")=B113,IFERROR(INDEX('07-تصمیمات و مصوبات'!$Z$8:$Z$1007,MATCH(K113,'07-تصمیمات و مصوبات'!$A$8:$A$1007,0)),"")="معتبر",COUNTIFS('15-روابط'!$B$8:$B$1007,K113,'15-روابط'!$C$8:$C$1007,"الزام",'15-روابط'!$D$8:$D$1007,F113,'15-روابط'!$E$8:$E$1007,"رابطه معتبر")&gt;0),IF(J113="نتیجه",AND(COUNTIFS('06-نتایج بازنگری'!$A$8:$A$1007,K113)=1,IFERROR(INDEX('06-نتایج بازنگری'!$D$8:$D$1007,MATCH(K113,'06-نتایج بازنگری'!$A$8:$A$1007,0)),"")=B113,IFERROR(INDEX('06-نتایج بازنگری'!$P$8:$P$1007,MATCH(K113,'06-نتایج بازنگری'!$A$8:$A$1007,0)),"")="معتبر",IFERROR(INDEX('06-نتایج بازنگری'!$F$8:$F$1007,MATCH(K113,'06-نتایج بازنگری'!$A$8:$A$1007,0)),"")=G113),IF(J113="ابلاغ",AND(COUNTIFS('20-ابلاغ نتایج'!$A$8:$A$1007,K113)=1,IFERROR(INDEX('20-ابلاغ نتایج'!$E$8:$E$1007,MATCH(K113,'20-ابلاغ نتایج'!$A$8:$A$1007,0)),"")=B113,IFERROR(INDEX('20-ابلاغ نتایج'!$L$8:$L$1007,MATCH(K113,'20-ابلاغ نتایج'!$A$8:$A$1007,0)),"")="معتبر"),FALSE))))),"سابقه یا شواهد ناقص",IF(IFERROR(INDEX('18-دامنه استانداردها'!$J$8:$J$1007,MATCH(C113&amp;"|"&amp;G113,'18-دامنه استانداردها'!$A$8:$A$1007,0)),"")="تأیید شده","شواهد مرتبط ثبت شد؛ تأیید ممیز لازم",IF(IFERROR(INDEX('18-دامنه استانداردها'!$J$8:$J$1007,MATCH(C113&amp;"|"&amp;G113,'18-دامنه استانداردها'!$A$8:$A$1007,0)),"")="فرضی","پوشش فرضی؛ آموزشی","شواهد حاضر؛ تطبیق نسخه باز"))))))))</f>
        <v>بررسی نشده؛ سابقه لازم</v>
      </c>
      <c r="O113" s="1" t="s">
        <v>1215</v>
      </c>
    </row>
    <row r="114" spans="1:15" ht="36" customHeight="1">
      <c r="A114" s="1" t="s">
        <v>1322</v>
      </c>
      <c r="B114" s="1" t="s">
        <v>83</v>
      </c>
      <c r="C114" s="1" t="s">
        <v>77</v>
      </c>
      <c r="D114" s="1" t="s">
        <v>80</v>
      </c>
      <c r="E114" s="1" t="s">
        <v>379</v>
      </c>
      <c r="F114" s="1" t="s">
        <v>332</v>
      </c>
      <c r="G114" s="3" t="str">
        <f>IF(A114="","",IFERROR(INDEX('02-ماتریس الزامات'!$B$8:$B$1007,MATCH(F114,'02-ماتریس الزامات'!$A$8:$A$1007,0)),""))</f>
        <v>OHS</v>
      </c>
      <c r="H114" s="3" t="str">
        <f>IF(A114="","",IFERROR(INDEX('02-ماتریس الزامات'!$D$8:$D$1007,MATCH(F114,'02-ماتریس الزامات'!$A$8:$A$1007,0)),""))</f>
        <v>9.3؛ شماره جزء تابع ویرایش</v>
      </c>
      <c r="I114" s="3" t="str">
        <f>IF(A114="","",IFERROR(INDEX('02-ماتریس الزامات'!$F$8:$F$1007,MATCH(F114,'02-ماتریس الزامات'!$A$8:$A$1007,0)),""))</f>
        <v>تغییرات مسائل و نیازهای ذی‌نفعان</v>
      </c>
      <c r="J114" s="1" t="s">
        <v>174</v>
      </c>
      <c r="K114" s="1" t="s">
        <v>397</v>
      </c>
      <c r="L114" s="1"/>
      <c r="M114" s="1"/>
      <c r="N114" s="3" t="str">
        <f>IF(A114="","",IF(NOT(AND(COUNTIFS('13-کنترل انطباق'!$A$8:$A$1007,A114)=1,AND(COUNTIFS('17-جلسات و دوره‌ها'!$A$8:$A$1007,B114)=1,IFERROR(INDEX('17-جلسات و دوره‌ها'!$B$8:$B$1007,MATCH(B114,'17-جلسات و دوره‌ها'!$A$8:$A$1007,0)),"")=C114,IFERROR(INDEX('17-جلسات و دوره‌ها'!$C$8:$C$1007,MATCH(B114,'17-جلسات و دوره‌ها'!$A$8:$A$1007,0)),"")=D114),COUNTIFS('02-ماتریس الزامات'!$A$8:$A$1007,F114)=1,COUNTIFS('18-دامنه استانداردها'!$A$8:$A$1007,C114&amp;"|"&amp;G114)=1)),"شناسه یا دامنه نامعتبر",IF(IFERROR(INDEX('18-دامنه استانداردها'!$D$8:$D$1007,MATCH(C114&amp;"|"&amp;G114,'18-دامنه استانداردها'!$A$8:$A$1007,0)),"")="خیر",IF(AND(L114&lt;&gt;"",M114&lt;&gt;"",IFERROR(INDEX('18-دامنه استانداردها'!$H$8:$H$1007,MATCH(C114&amp;"|"&amp;G114,'18-دامنه استانداردها'!$A$8:$A$1007,0)),"")&lt;&gt;"",IFERROR(INDEX('18-دامنه استانداردها'!$I$8:$I$1007,MATCH(C114&amp;"|"&amp;G114,'18-دامنه استانداردها'!$A$8:$A$1007,0)),"")&lt;&gt;""),"عدم کاربرد مستند","عدم کاربرد بدون توجیه"),IF(IFERROR(INDEX('18-دامنه استانداردها'!$D$8:$D$1007,MATCH(C114&amp;"|"&amp;G114,'18-دامنه استانداردها'!$A$8:$A$1007,0)),"")&lt;&gt;"بله","دامنه نامشخص",IF(K114="","بررسی نشده؛ سابقه لازم",IF(NOT(IF(J114="ورودی",AND(COUNTIFS('03-ورودی‌های بازنگری'!$A$8:$A$1007,K114)=1,IFERROR(INDEX('03-ورودی‌های بازنگری'!$D$8:$D$1007,MATCH(K114,'03-ورودی‌های بازنگری'!$A$8:$A$1007,0)),"")=B114,IFERROR(INDEX('03-ورودی‌های بازنگری'!$R$8:$R$1007,MATCH(K114,'03-ورودی‌های بازنگری'!$A$8:$A$1007,0)),"")="معتبر"),IF(J114="تصمیم",AND(COUNTIFS('07-تصمیمات و مصوبات'!$A$8:$A$1007,K114)=1,IFERROR(INDEX('07-تصمیمات و مصوبات'!$B$8:$B$1007,MATCH(K114,'07-تصمیمات و مصوبات'!$A$8:$A$1007,0)),"")=B114,IFERROR(INDEX('07-تصمیمات و مصوبات'!$Z$8:$Z$1007,MATCH(K114,'07-تصمیمات و مصوبات'!$A$8:$A$1007,0)),"")="معتبر",COUNTIFS('15-روابط'!$B$8:$B$1007,K114,'15-روابط'!$C$8:$C$1007,"الزام",'15-روابط'!$D$8:$D$1007,F114,'15-روابط'!$E$8:$E$1007,"رابطه معتبر")&gt;0),IF(J114="نتیجه",AND(COUNTIFS('06-نتایج بازنگری'!$A$8:$A$1007,K114)=1,IFERROR(INDEX('06-نتایج بازنگری'!$D$8:$D$1007,MATCH(K114,'06-نتایج بازنگری'!$A$8:$A$1007,0)),"")=B114,IFERROR(INDEX('06-نتایج بازنگری'!$P$8:$P$1007,MATCH(K114,'06-نتایج بازنگری'!$A$8:$A$1007,0)),"")="معتبر",IFERROR(INDEX('06-نتایج بازنگری'!$F$8:$F$1007,MATCH(K114,'06-نتایج بازنگری'!$A$8:$A$1007,0)),"")=G114),IF(J114="ابلاغ",AND(COUNTIFS('20-ابلاغ نتایج'!$A$8:$A$1007,K114)=1,IFERROR(INDEX('20-ابلاغ نتایج'!$E$8:$E$1007,MATCH(K114,'20-ابلاغ نتایج'!$A$8:$A$1007,0)),"")=B114,IFERROR(INDEX('20-ابلاغ نتایج'!$L$8:$L$1007,MATCH(K114,'20-ابلاغ نتایج'!$A$8:$A$1007,0)),"")="معتبر"),FALSE))))),"سابقه یا شواهد ناقص",IF(IFERROR(INDEX('18-دامنه استانداردها'!$J$8:$J$1007,MATCH(C114&amp;"|"&amp;G114,'18-دامنه استانداردها'!$A$8:$A$1007,0)),"")="تأیید شده","شواهد مرتبط ثبت شد؛ تأیید ممیز لازم",IF(IFERROR(INDEX('18-دامنه استانداردها'!$J$8:$J$1007,MATCH(C114&amp;"|"&amp;G114,'18-دامنه استانداردها'!$A$8:$A$1007,0)),"")="فرضی","پوشش فرضی؛ آموزشی","شواهد حاضر؛ تطبیق نسخه باز"))))))))</f>
        <v>سابقه یا شواهد ناقص</v>
      </c>
      <c r="O114" s="1" t="s">
        <v>1215</v>
      </c>
    </row>
    <row r="115" spans="1:15" ht="36" customHeight="1">
      <c r="A115" s="1" t="s">
        <v>1323</v>
      </c>
      <c r="B115" s="1" t="s">
        <v>530</v>
      </c>
      <c r="C115" s="1" t="s">
        <v>99</v>
      </c>
      <c r="D115" s="1" t="s">
        <v>529</v>
      </c>
      <c r="E115" s="1" t="s">
        <v>531</v>
      </c>
      <c r="F115" s="1" t="s">
        <v>332</v>
      </c>
      <c r="G115" s="3" t="str">
        <f>IF(A115="","",IFERROR(INDEX('02-ماتریس الزامات'!$B$8:$B$1007,MATCH(F115,'02-ماتریس الزامات'!$A$8:$A$1007,0)),""))</f>
        <v>OHS</v>
      </c>
      <c r="H115" s="3" t="str">
        <f>IF(A115="","",IFERROR(INDEX('02-ماتریس الزامات'!$D$8:$D$1007,MATCH(F115,'02-ماتریس الزامات'!$A$8:$A$1007,0)),""))</f>
        <v>9.3؛ شماره جزء تابع ویرایش</v>
      </c>
      <c r="I115" s="3" t="str">
        <f>IF(A115="","",IFERROR(INDEX('02-ماتریس الزامات'!$F$8:$F$1007,MATCH(F115,'02-ماتریس الزامات'!$A$8:$A$1007,0)),""))</f>
        <v>تغییرات مسائل و نیازهای ذی‌نفعان</v>
      </c>
      <c r="J115" s="1" t="s">
        <v>174</v>
      </c>
      <c r="K115" s="1"/>
      <c r="L115" s="1"/>
      <c r="M115" s="1"/>
      <c r="N115" s="3" t="str">
        <f>IF(A115="","",IF(NOT(AND(COUNTIFS('13-کنترل انطباق'!$A$8:$A$1007,A115)=1,AND(COUNTIFS('17-جلسات و دوره‌ها'!$A$8:$A$1007,B115)=1,IFERROR(INDEX('17-جلسات و دوره‌ها'!$B$8:$B$1007,MATCH(B115,'17-جلسات و دوره‌ها'!$A$8:$A$1007,0)),"")=C115,IFERROR(INDEX('17-جلسات و دوره‌ها'!$C$8:$C$1007,MATCH(B115,'17-جلسات و دوره‌ها'!$A$8:$A$1007,0)),"")=D115),COUNTIFS('02-ماتریس الزامات'!$A$8:$A$1007,F115)=1,COUNTIFS('18-دامنه استانداردها'!$A$8:$A$1007,C115&amp;"|"&amp;G115)=1)),"شناسه یا دامنه نامعتبر",IF(IFERROR(INDEX('18-دامنه استانداردها'!$D$8:$D$1007,MATCH(C115&amp;"|"&amp;G115,'18-دامنه استانداردها'!$A$8:$A$1007,0)),"")="خیر",IF(AND(L115&lt;&gt;"",M115&lt;&gt;"",IFERROR(INDEX('18-دامنه استانداردها'!$H$8:$H$1007,MATCH(C115&amp;"|"&amp;G115,'18-دامنه استانداردها'!$A$8:$A$1007,0)),"")&lt;&gt;"",IFERROR(INDEX('18-دامنه استانداردها'!$I$8:$I$1007,MATCH(C115&amp;"|"&amp;G115,'18-دامنه استانداردها'!$A$8:$A$1007,0)),"")&lt;&gt;""),"عدم کاربرد مستند","عدم کاربرد بدون توجیه"),IF(IFERROR(INDEX('18-دامنه استانداردها'!$D$8:$D$1007,MATCH(C115&amp;"|"&amp;G115,'18-دامنه استانداردها'!$A$8:$A$1007,0)),"")&lt;&gt;"بله","دامنه نامشخص",IF(K115="","بررسی نشده؛ سابقه لازم",IF(NOT(IF(J115="ورودی",AND(COUNTIFS('03-ورودی‌های بازنگری'!$A$8:$A$1007,K115)=1,IFERROR(INDEX('03-ورودی‌های بازنگری'!$D$8:$D$1007,MATCH(K115,'03-ورودی‌های بازنگری'!$A$8:$A$1007,0)),"")=B115,IFERROR(INDEX('03-ورودی‌های بازنگری'!$R$8:$R$1007,MATCH(K115,'03-ورودی‌های بازنگری'!$A$8:$A$1007,0)),"")="معتبر"),IF(J115="تصمیم",AND(COUNTIFS('07-تصمیمات و مصوبات'!$A$8:$A$1007,K115)=1,IFERROR(INDEX('07-تصمیمات و مصوبات'!$B$8:$B$1007,MATCH(K115,'07-تصمیمات و مصوبات'!$A$8:$A$1007,0)),"")=B115,IFERROR(INDEX('07-تصمیمات و مصوبات'!$Z$8:$Z$1007,MATCH(K115,'07-تصمیمات و مصوبات'!$A$8:$A$1007,0)),"")="معتبر",COUNTIFS('15-روابط'!$B$8:$B$1007,K115,'15-روابط'!$C$8:$C$1007,"الزام",'15-روابط'!$D$8:$D$1007,F115,'15-روابط'!$E$8:$E$1007,"رابطه معتبر")&gt;0),IF(J115="نتیجه",AND(COUNTIFS('06-نتایج بازنگری'!$A$8:$A$1007,K115)=1,IFERROR(INDEX('06-نتایج بازنگری'!$D$8:$D$1007,MATCH(K115,'06-نتایج بازنگری'!$A$8:$A$1007,0)),"")=B115,IFERROR(INDEX('06-نتایج بازنگری'!$P$8:$P$1007,MATCH(K115,'06-نتایج بازنگری'!$A$8:$A$1007,0)),"")="معتبر",IFERROR(INDEX('06-نتایج بازنگری'!$F$8:$F$1007,MATCH(K115,'06-نتایج بازنگری'!$A$8:$A$1007,0)),"")=G115),IF(J115="ابلاغ",AND(COUNTIFS('20-ابلاغ نتایج'!$A$8:$A$1007,K115)=1,IFERROR(INDEX('20-ابلاغ نتایج'!$E$8:$E$1007,MATCH(K115,'20-ابلاغ نتایج'!$A$8:$A$1007,0)),"")=B115,IFERROR(INDEX('20-ابلاغ نتایج'!$L$8:$L$1007,MATCH(K115,'20-ابلاغ نتایج'!$A$8:$A$1007,0)),"")="معتبر"),FALSE))))),"سابقه یا شواهد ناقص",IF(IFERROR(INDEX('18-دامنه استانداردها'!$J$8:$J$1007,MATCH(C115&amp;"|"&amp;G115,'18-دامنه استانداردها'!$A$8:$A$1007,0)),"")="تأیید شده","شواهد مرتبط ثبت شد؛ تأیید ممیز لازم",IF(IFERROR(INDEX('18-دامنه استانداردها'!$J$8:$J$1007,MATCH(C115&amp;"|"&amp;G115,'18-دامنه استانداردها'!$A$8:$A$1007,0)),"")="فرضی","پوشش فرضی؛ آموزشی","شواهد حاضر؛ تطبیق نسخه باز"))))))))</f>
        <v>بررسی نشده؛ سابقه لازم</v>
      </c>
      <c r="O115" s="1" t="s">
        <v>1215</v>
      </c>
    </row>
    <row r="116" spans="1:15" ht="36" customHeight="1">
      <c r="A116" s="1" t="s">
        <v>1324</v>
      </c>
      <c r="B116" s="1" t="s">
        <v>83</v>
      </c>
      <c r="C116" s="1" t="s">
        <v>77</v>
      </c>
      <c r="D116" s="1" t="s">
        <v>80</v>
      </c>
      <c r="E116" s="1" t="s">
        <v>379</v>
      </c>
      <c r="F116" s="1" t="s">
        <v>333</v>
      </c>
      <c r="G116" s="3" t="str">
        <f>IF(A116="","",IFERROR(INDEX('02-ماتریس الزامات'!$B$8:$B$1007,MATCH(F116,'02-ماتریس الزامات'!$A$8:$A$1007,0)),""))</f>
        <v>OHS</v>
      </c>
      <c r="H116" s="3" t="str">
        <f>IF(A116="","",IFERROR(INDEX('02-ماتریس الزامات'!$D$8:$D$1007,MATCH(F116,'02-ماتریس الزامات'!$A$8:$A$1007,0)),""))</f>
        <v>9.3؛ شماره جزء تابع ویرایش</v>
      </c>
      <c r="I116" s="3" t="str">
        <f>IF(A116="","",IFERROR(INDEX('02-ماتریس الزامات'!$F$8:$F$1007,MATCH(F116,'02-ماتریس الزامات'!$A$8:$A$1007,0)),""))</f>
        <v>تغییرات تعهدات قانونی و سایر الزامات</v>
      </c>
      <c r="J116" s="1" t="s">
        <v>174</v>
      </c>
      <c r="K116" s="1" t="s">
        <v>508</v>
      </c>
      <c r="L116" s="1"/>
      <c r="M116" s="1"/>
      <c r="N116" s="3" t="str">
        <f>IF(A116="","",IF(NOT(AND(COUNTIFS('13-کنترل انطباق'!$A$8:$A$1007,A116)=1,AND(COUNTIFS('17-جلسات و دوره‌ها'!$A$8:$A$1007,B116)=1,IFERROR(INDEX('17-جلسات و دوره‌ها'!$B$8:$B$1007,MATCH(B116,'17-جلسات و دوره‌ها'!$A$8:$A$1007,0)),"")=C116,IFERROR(INDEX('17-جلسات و دوره‌ها'!$C$8:$C$1007,MATCH(B116,'17-جلسات و دوره‌ها'!$A$8:$A$1007,0)),"")=D116),COUNTIFS('02-ماتریس الزامات'!$A$8:$A$1007,F116)=1,COUNTIFS('18-دامنه استانداردها'!$A$8:$A$1007,C116&amp;"|"&amp;G116)=1)),"شناسه یا دامنه نامعتبر",IF(IFERROR(INDEX('18-دامنه استانداردها'!$D$8:$D$1007,MATCH(C116&amp;"|"&amp;G116,'18-دامنه استانداردها'!$A$8:$A$1007,0)),"")="خیر",IF(AND(L116&lt;&gt;"",M116&lt;&gt;"",IFERROR(INDEX('18-دامنه استانداردها'!$H$8:$H$1007,MATCH(C116&amp;"|"&amp;G116,'18-دامنه استانداردها'!$A$8:$A$1007,0)),"")&lt;&gt;"",IFERROR(INDEX('18-دامنه استانداردها'!$I$8:$I$1007,MATCH(C116&amp;"|"&amp;G116,'18-دامنه استانداردها'!$A$8:$A$1007,0)),"")&lt;&gt;""),"عدم کاربرد مستند","عدم کاربرد بدون توجیه"),IF(IFERROR(INDEX('18-دامنه استانداردها'!$D$8:$D$1007,MATCH(C116&amp;"|"&amp;G116,'18-دامنه استانداردها'!$A$8:$A$1007,0)),"")&lt;&gt;"بله","دامنه نامشخص",IF(K116="","بررسی نشده؛ سابقه لازم",IF(NOT(IF(J116="ورودی",AND(COUNTIFS('03-ورودی‌های بازنگری'!$A$8:$A$1007,K116)=1,IFERROR(INDEX('03-ورودی‌های بازنگری'!$D$8:$D$1007,MATCH(K116,'03-ورودی‌های بازنگری'!$A$8:$A$1007,0)),"")=B116,IFERROR(INDEX('03-ورودی‌های بازنگری'!$R$8:$R$1007,MATCH(K116,'03-ورودی‌های بازنگری'!$A$8:$A$1007,0)),"")="معتبر"),IF(J116="تصمیم",AND(COUNTIFS('07-تصمیمات و مصوبات'!$A$8:$A$1007,K116)=1,IFERROR(INDEX('07-تصمیمات و مصوبات'!$B$8:$B$1007,MATCH(K116,'07-تصمیمات و مصوبات'!$A$8:$A$1007,0)),"")=B116,IFERROR(INDEX('07-تصمیمات و مصوبات'!$Z$8:$Z$1007,MATCH(K116,'07-تصمیمات و مصوبات'!$A$8:$A$1007,0)),"")="معتبر",COUNTIFS('15-روابط'!$B$8:$B$1007,K116,'15-روابط'!$C$8:$C$1007,"الزام",'15-روابط'!$D$8:$D$1007,F116,'15-روابط'!$E$8:$E$1007,"رابطه معتبر")&gt;0),IF(J116="نتیجه",AND(COUNTIFS('06-نتایج بازنگری'!$A$8:$A$1007,K116)=1,IFERROR(INDEX('06-نتایج بازنگری'!$D$8:$D$1007,MATCH(K116,'06-نتایج بازنگری'!$A$8:$A$1007,0)),"")=B116,IFERROR(INDEX('06-نتایج بازنگری'!$P$8:$P$1007,MATCH(K116,'06-نتایج بازنگری'!$A$8:$A$1007,0)),"")="معتبر",IFERROR(INDEX('06-نتایج بازنگری'!$F$8:$F$1007,MATCH(K116,'06-نتایج بازنگری'!$A$8:$A$1007,0)),"")=G116),IF(J116="ابلاغ",AND(COUNTIFS('20-ابلاغ نتایج'!$A$8:$A$1007,K116)=1,IFERROR(INDEX('20-ابلاغ نتایج'!$E$8:$E$1007,MATCH(K116,'20-ابلاغ نتایج'!$A$8:$A$1007,0)),"")=B116,IFERROR(INDEX('20-ابلاغ نتایج'!$L$8:$L$1007,MATCH(K116,'20-ابلاغ نتایج'!$A$8:$A$1007,0)),"")="معتبر"),FALSE))))),"سابقه یا شواهد ناقص",IF(IFERROR(INDEX('18-دامنه استانداردها'!$J$8:$J$1007,MATCH(C116&amp;"|"&amp;G116,'18-دامنه استانداردها'!$A$8:$A$1007,0)),"")="تأیید شده","شواهد مرتبط ثبت شد؛ تأیید ممیز لازم",IF(IFERROR(INDEX('18-دامنه استانداردها'!$J$8:$J$1007,MATCH(C116&amp;"|"&amp;G116,'18-دامنه استانداردها'!$A$8:$A$1007,0)),"")="فرضی","پوشش فرضی؛ آموزشی","شواهد حاضر؛ تطبیق نسخه باز"))))))))</f>
        <v>سابقه یا شواهد ناقص</v>
      </c>
      <c r="O116" s="1" t="s">
        <v>1215</v>
      </c>
    </row>
    <row r="117" spans="1:15" ht="36" customHeight="1">
      <c r="A117" s="1" t="s">
        <v>1325</v>
      </c>
      <c r="B117" s="1" t="s">
        <v>530</v>
      </c>
      <c r="C117" s="1" t="s">
        <v>99</v>
      </c>
      <c r="D117" s="1" t="s">
        <v>529</v>
      </c>
      <c r="E117" s="1" t="s">
        <v>531</v>
      </c>
      <c r="F117" s="1" t="s">
        <v>333</v>
      </c>
      <c r="G117" s="3" t="str">
        <f>IF(A117="","",IFERROR(INDEX('02-ماتریس الزامات'!$B$8:$B$1007,MATCH(F117,'02-ماتریس الزامات'!$A$8:$A$1007,0)),""))</f>
        <v>OHS</v>
      </c>
      <c r="H117" s="3" t="str">
        <f>IF(A117="","",IFERROR(INDEX('02-ماتریس الزامات'!$D$8:$D$1007,MATCH(F117,'02-ماتریس الزامات'!$A$8:$A$1007,0)),""))</f>
        <v>9.3؛ شماره جزء تابع ویرایش</v>
      </c>
      <c r="I117" s="3" t="str">
        <f>IF(A117="","",IFERROR(INDEX('02-ماتریس الزامات'!$F$8:$F$1007,MATCH(F117,'02-ماتریس الزامات'!$A$8:$A$1007,0)),""))</f>
        <v>تغییرات تعهدات قانونی و سایر الزامات</v>
      </c>
      <c r="J117" s="1" t="s">
        <v>174</v>
      </c>
      <c r="K117" s="1"/>
      <c r="L117" s="1"/>
      <c r="M117" s="1"/>
      <c r="N117" s="3" t="str">
        <f>IF(A117="","",IF(NOT(AND(COUNTIFS('13-کنترل انطباق'!$A$8:$A$1007,A117)=1,AND(COUNTIFS('17-جلسات و دوره‌ها'!$A$8:$A$1007,B117)=1,IFERROR(INDEX('17-جلسات و دوره‌ها'!$B$8:$B$1007,MATCH(B117,'17-جلسات و دوره‌ها'!$A$8:$A$1007,0)),"")=C117,IFERROR(INDEX('17-جلسات و دوره‌ها'!$C$8:$C$1007,MATCH(B117,'17-جلسات و دوره‌ها'!$A$8:$A$1007,0)),"")=D117),COUNTIFS('02-ماتریس الزامات'!$A$8:$A$1007,F117)=1,COUNTIFS('18-دامنه استانداردها'!$A$8:$A$1007,C117&amp;"|"&amp;G117)=1)),"شناسه یا دامنه نامعتبر",IF(IFERROR(INDEX('18-دامنه استانداردها'!$D$8:$D$1007,MATCH(C117&amp;"|"&amp;G117,'18-دامنه استانداردها'!$A$8:$A$1007,0)),"")="خیر",IF(AND(L117&lt;&gt;"",M117&lt;&gt;"",IFERROR(INDEX('18-دامنه استانداردها'!$H$8:$H$1007,MATCH(C117&amp;"|"&amp;G117,'18-دامنه استانداردها'!$A$8:$A$1007,0)),"")&lt;&gt;"",IFERROR(INDEX('18-دامنه استانداردها'!$I$8:$I$1007,MATCH(C117&amp;"|"&amp;G117,'18-دامنه استانداردها'!$A$8:$A$1007,0)),"")&lt;&gt;""),"عدم کاربرد مستند","عدم کاربرد بدون توجیه"),IF(IFERROR(INDEX('18-دامنه استانداردها'!$D$8:$D$1007,MATCH(C117&amp;"|"&amp;G117,'18-دامنه استانداردها'!$A$8:$A$1007,0)),"")&lt;&gt;"بله","دامنه نامشخص",IF(K117="","بررسی نشده؛ سابقه لازم",IF(NOT(IF(J117="ورودی",AND(COUNTIFS('03-ورودی‌های بازنگری'!$A$8:$A$1007,K117)=1,IFERROR(INDEX('03-ورودی‌های بازنگری'!$D$8:$D$1007,MATCH(K117,'03-ورودی‌های بازنگری'!$A$8:$A$1007,0)),"")=B117,IFERROR(INDEX('03-ورودی‌های بازنگری'!$R$8:$R$1007,MATCH(K117,'03-ورودی‌های بازنگری'!$A$8:$A$1007,0)),"")="معتبر"),IF(J117="تصمیم",AND(COUNTIFS('07-تصمیمات و مصوبات'!$A$8:$A$1007,K117)=1,IFERROR(INDEX('07-تصمیمات و مصوبات'!$B$8:$B$1007,MATCH(K117,'07-تصمیمات و مصوبات'!$A$8:$A$1007,0)),"")=B117,IFERROR(INDEX('07-تصمیمات و مصوبات'!$Z$8:$Z$1007,MATCH(K117,'07-تصمیمات و مصوبات'!$A$8:$A$1007,0)),"")="معتبر",COUNTIFS('15-روابط'!$B$8:$B$1007,K117,'15-روابط'!$C$8:$C$1007,"الزام",'15-روابط'!$D$8:$D$1007,F117,'15-روابط'!$E$8:$E$1007,"رابطه معتبر")&gt;0),IF(J117="نتیجه",AND(COUNTIFS('06-نتایج بازنگری'!$A$8:$A$1007,K117)=1,IFERROR(INDEX('06-نتایج بازنگری'!$D$8:$D$1007,MATCH(K117,'06-نتایج بازنگری'!$A$8:$A$1007,0)),"")=B117,IFERROR(INDEX('06-نتایج بازنگری'!$P$8:$P$1007,MATCH(K117,'06-نتایج بازنگری'!$A$8:$A$1007,0)),"")="معتبر",IFERROR(INDEX('06-نتایج بازنگری'!$F$8:$F$1007,MATCH(K117,'06-نتایج بازنگری'!$A$8:$A$1007,0)),"")=G117),IF(J117="ابلاغ",AND(COUNTIFS('20-ابلاغ نتایج'!$A$8:$A$1007,K117)=1,IFERROR(INDEX('20-ابلاغ نتایج'!$E$8:$E$1007,MATCH(K117,'20-ابلاغ نتایج'!$A$8:$A$1007,0)),"")=B117,IFERROR(INDEX('20-ابلاغ نتایج'!$L$8:$L$1007,MATCH(K117,'20-ابلاغ نتایج'!$A$8:$A$1007,0)),"")="معتبر"),FALSE))))),"سابقه یا شواهد ناقص",IF(IFERROR(INDEX('18-دامنه استانداردها'!$J$8:$J$1007,MATCH(C117&amp;"|"&amp;G117,'18-دامنه استانداردها'!$A$8:$A$1007,0)),"")="تأیید شده","شواهد مرتبط ثبت شد؛ تأیید ممیز لازم",IF(IFERROR(INDEX('18-دامنه استانداردها'!$J$8:$J$1007,MATCH(C117&amp;"|"&amp;G117,'18-دامنه استانداردها'!$A$8:$A$1007,0)),"")="فرضی","پوشش فرضی؛ آموزشی","شواهد حاضر؛ تطبیق نسخه باز"))))))))</f>
        <v>بررسی نشده؛ سابقه لازم</v>
      </c>
      <c r="O117" s="1" t="s">
        <v>1215</v>
      </c>
    </row>
    <row r="118" spans="1:15" ht="36" customHeight="1">
      <c r="A118" s="1" t="s">
        <v>1326</v>
      </c>
      <c r="B118" s="1" t="s">
        <v>83</v>
      </c>
      <c r="C118" s="1" t="s">
        <v>77</v>
      </c>
      <c r="D118" s="1" t="s">
        <v>80</v>
      </c>
      <c r="E118" s="1" t="s">
        <v>379</v>
      </c>
      <c r="F118" s="1" t="s">
        <v>334</v>
      </c>
      <c r="G118" s="3" t="str">
        <f>IF(A118="","",IFERROR(INDEX('02-ماتریس الزامات'!$B$8:$B$1007,MATCH(F118,'02-ماتریس الزامات'!$A$8:$A$1007,0)),""))</f>
        <v>OHS</v>
      </c>
      <c r="H118" s="3" t="str">
        <f>IF(A118="","",IFERROR(INDEX('02-ماتریس الزامات'!$D$8:$D$1007,MATCH(F118,'02-ماتریس الزامات'!$A$8:$A$1007,0)),""))</f>
        <v>9.3؛ شماره جزء تابع ویرایش</v>
      </c>
      <c r="I118" s="3" t="str">
        <f>IF(A118="","",IFERROR(INDEX('02-ماتریس الزامات'!$F$8:$F$1007,MATCH(F118,'02-ماتریس الزامات'!$A$8:$A$1007,0)),""))</f>
        <v>تحقق اهداف و خط‌مشی</v>
      </c>
      <c r="J118" s="1" t="s">
        <v>174</v>
      </c>
      <c r="K118" s="1" t="s">
        <v>412</v>
      </c>
      <c r="L118" s="1"/>
      <c r="M118" s="1"/>
      <c r="N118" s="3" t="str">
        <f>IF(A118="","",IF(NOT(AND(COUNTIFS('13-کنترل انطباق'!$A$8:$A$1007,A118)=1,AND(COUNTIFS('17-جلسات و دوره‌ها'!$A$8:$A$1007,B118)=1,IFERROR(INDEX('17-جلسات و دوره‌ها'!$B$8:$B$1007,MATCH(B118,'17-جلسات و دوره‌ها'!$A$8:$A$1007,0)),"")=C118,IFERROR(INDEX('17-جلسات و دوره‌ها'!$C$8:$C$1007,MATCH(B118,'17-جلسات و دوره‌ها'!$A$8:$A$1007,0)),"")=D118),COUNTIFS('02-ماتریس الزامات'!$A$8:$A$1007,F118)=1,COUNTIFS('18-دامنه استانداردها'!$A$8:$A$1007,C118&amp;"|"&amp;G118)=1)),"شناسه یا دامنه نامعتبر",IF(IFERROR(INDEX('18-دامنه استانداردها'!$D$8:$D$1007,MATCH(C118&amp;"|"&amp;G118,'18-دامنه استانداردها'!$A$8:$A$1007,0)),"")="خیر",IF(AND(L118&lt;&gt;"",M118&lt;&gt;"",IFERROR(INDEX('18-دامنه استانداردها'!$H$8:$H$1007,MATCH(C118&amp;"|"&amp;G118,'18-دامنه استانداردها'!$A$8:$A$1007,0)),"")&lt;&gt;"",IFERROR(INDEX('18-دامنه استانداردها'!$I$8:$I$1007,MATCH(C118&amp;"|"&amp;G118,'18-دامنه استانداردها'!$A$8:$A$1007,0)),"")&lt;&gt;""),"عدم کاربرد مستند","عدم کاربرد بدون توجیه"),IF(IFERROR(INDEX('18-دامنه استانداردها'!$D$8:$D$1007,MATCH(C118&amp;"|"&amp;G118,'18-دامنه استانداردها'!$A$8:$A$1007,0)),"")&lt;&gt;"بله","دامنه نامشخص",IF(K118="","بررسی نشده؛ سابقه لازم",IF(NOT(IF(J118="ورودی",AND(COUNTIFS('03-ورودی‌های بازنگری'!$A$8:$A$1007,K118)=1,IFERROR(INDEX('03-ورودی‌های بازنگری'!$D$8:$D$1007,MATCH(K118,'03-ورودی‌های بازنگری'!$A$8:$A$1007,0)),"")=B118,IFERROR(INDEX('03-ورودی‌های بازنگری'!$R$8:$R$1007,MATCH(K118,'03-ورودی‌های بازنگری'!$A$8:$A$1007,0)),"")="معتبر"),IF(J118="تصمیم",AND(COUNTIFS('07-تصمیمات و مصوبات'!$A$8:$A$1007,K118)=1,IFERROR(INDEX('07-تصمیمات و مصوبات'!$B$8:$B$1007,MATCH(K118,'07-تصمیمات و مصوبات'!$A$8:$A$1007,0)),"")=B118,IFERROR(INDEX('07-تصمیمات و مصوبات'!$Z$8:$Z$1007,MATCH(K118,'07-تصمیمات و مصوبات'!$A$8:$A$1007,0)),"")="معتبر",COUNTIFS('15-روابط'!$B$8:$B$1007,K118,'15-روابط'!$C$8:$C$1007,"الزام",'15-روابط'!$D$8:$D$1007,F118,'15-روابط'!$E$8:$E$1007,"رابطه معتبر")&gt;0),IF(J118="نتیجه",AND(COUNTIFS('06-نتایج بازنگری'!$A$8:$A$1007,K118)=1,IFERROR(INDEX('06-نتایج بازنگری'!$D$8:$D$1007,MATCH(K118,'06-نتایج بازنگری'!$A$8:$A$1007,0)),"")=B118,IFERROR(INDEX('06-نتایج بازنگری'!$P$8:$P$1007,MATCH(K118,'06-نتایج بازنگری'!$A$8:$A$1007,0)),"")="معتبر",IFERROR(INDEX('06-نتایج بازنگری'!$F$8:$F$1007,MATCH(K118,'06-نتایج بازنگری'!$A$8:$A$1007,0)),"")=G118),IF(J118="ابلاغ",AND(COUNTIFS('20-ابلاغ نتایج'!$A$8:$A$1007,K118)=1,IFERROR(INDEX('20-ابلاغ نتایج'!$E$8:$E$1007,MATCH(K118,'20-ابلاغ نتایج'!$A$8:$A$1007,0)),"")=B118,IFERROR(INDEX('20-ابلاغ نتایج'!$L$8:$L$1007,MATCH(K118,'20-ابلاغ نتایج'!$A$8:$A$1007,0)),"")="معتبر"),FALSE))))),"سابقه یا شواهد ناقص",IF(IFERROR(INDEX('18-دامنه استانداردها'!$J$8:$J$1007,MATCH(C118&amp;"|"&amp;G118,'18-دامنه استانداردها'!$A$8:$A$1007,0)),"")="تأیید شده","شواهد مرتبط ثبت شد؛ تأیید ممیز لازم",IF(IFERROR(INDEX('18-دامنه استانداردها'!$J$8:$J$1007,MATCH(C118&amp;"|"&amp;G118,'18-دامنه استانداردها'!$A$8:$A$1007,0)),"")="فرضی","پوشش فرضی؛ آموزشی","شواهد حاضر؛ تطبیق نسخه باز"))))))))</f>
        <v>سابقه یا شواهد ناقص</v>
      </c>
      <c r="O118" s="1" t="s">
        <v>1215</v>
      </c>
    </row>
    <row r="119" spans="1:15" ht="36" customHeight="1">
      <c r="A119" s="1" t="s">
        <v>1327</v>
      </c>
      <c r="B119" s="1" t="s">
        <v>530</v>
      </c>
      <c r="C119" s="1" t="s">
        <v>99</v>
      </c>
      <c r="D119" s="1" t="s">
        <v>529</v>
      </c>
      <c r="E119" s="1" t="s">
        <v>531</v>
      </c>
      <c r="F119" s="1" t="s">
        <v>334</v>
      </c>
      <c r="G119" s="3" t="str">
        <f>IF(A119="","",IFERROR(INDEX('02-ماتریس الزامات'!$B$8:$B$1007,MATCH(F119,'02-ماتریس الزامات'!$A$8:$A$1007,0)),""))</f>
        <v>OHS</v>
      </c>
      <c r="H119" s="3" t="str">
        <f>IF(A119="","",IFERROR(INDEX('02-ماتریس الزامات'!$D$8:$D$1007,MATCH(F119,'02-ماتریس الزامات'!$A$8:$A$1007,0)),""))</f>
        <v>9.3؛ شماره جزء تابع ویرایش</v>
      </c>
      <c r="I119" s="3" t="str">
        <f>IF(A119="","",IFERROR(INDEX('02-ماتریس الزامات'!$F$8:$F$1007,MATCH(F119,'02-ماتریس الزامات'!$A$8:$A$1007,0)),""))</f>
        <v>تحقق اهداف و خط‌مشی</v>
      </c>
      <c r="J119" s="1" t="s">
        <v>174</v>
      </c>
      <c r="K119" s="1"/>
      <c r="L119" s="1"/>
      <c r="M119" s="1"/>
      <c r="N119" s="3" t="str">
        <f>IF(A119="","",IF(NOT(AND(COUNTIFS('13-کنترل انطباق'!$A$8:$A$1007,A119)=1,AND(COUNTIFS('17-جلسات و دوره‌ها'!$A$8:$A$1007,B119)=1,IFERROR(INDEX('17-جلسات و دوره‌ها'!$B$8:$B$1007,MATCH(B119,'17-جلسات و دوره‌ها'!$A$8:$A$1007,0)),"")=C119,IFERROR(INDEX('17-جلسات و دوره‌ها'!$C$8:$C$1007,MATCH(B119,'17-جلسات و دوره‌ها'!$A$8:$A$1007,0)),"")=D119),COUNTIFS('02-ماتریس الزامات'!$A$8:$A$1007,F119)=1,COUNTIFS('18-دامنه استانداردها'!$A$8:$A$1007,C119&amp;"|"&amp;G119)=1)),"شناسه یا دامنه نامعتبر",IF(IFERROR(INDEX('18-دامنه استانداردها'!$D$8:$D$1007,MATCH(C119&amp;"|"&amp;G119,'18-دامنه استانداردها'!$A$8:$A$1007,0)),"")="خیر",IF(AND(L119&lt;&gt;"",M119&lt;&gt;"",IFERROR(INDEX('18-دامنه استانداردها'!$H$8:$H$1007,MATCH(C119&amp;"|"&amp;G119,'18-دامنه استانداردها'!$A$8:$A$1007,0)),"")&lt;&gt;"",IFERROR(INDEX('18-دامنه استانداردها'!$I$8:$I$1007,MATCH(C119&amp;"|"&amp;G119,'18-دامنه استانداردها'!$A$8:$A$1007,0)),"")&lt;&gt;""),"عدم کاربرد مستند","عدم کاربرد بدون توجیه"),IF(IFERROR(INDEX('18-دامنه استانداردها'!$D$8:$D$1007,MATCH(C119&amp;"|"&amp;G119,'18-دامنه استانداردها'!$A$8:$A$1007,0)),"")&lt;&gt;"بله","دامنه نامشخص",IF(K119="","بررسی نشده؛ سابقه لازم",IF(NOT(IF(J119="ورودی",AND(COUNTIFS('03-ورودی‌های بازنگری'!$A$8:$A$1007,K119)=1,IFERROR(INDEX('03-ورودی‌های بازنگری'!$D$8:$D$1007,MATCH(K119,'03-ورودی‌های بازنگری'!$A$8:$A$1007,0)),"")=B119,IFERROR(INDEX('03-ورودی‌های بازنگری'!$R$8:$R$1007,MATCH(K119,'03-ورودی‌های بازنگری'!$A$8:$A$1007,0)),"")="معتبر"),IF(J119="تصمیم",AND(COUNTIFS('07-تصمیمات و مصوبات'!$A$8:$A$1007,K119)=1,IFERROR(INDEX('07-تصمیمات و مصوبات'!$B$8:$B$1007,MATCH(K119,'07-تصمیمات و مصوبات'!$A$8:$A$1007,0)),"")=B119,IFERROR(INDEX('07-تصمیمات و مصوبات'!$Z$8:$Z$1007,MATCH(K119,'07-تصمیمات و مصوبات'!$A$8:$A$1007,0)),"")="معتبر",COUNTIFS('15-روابط'!$B$8:$B$1007,K119,'15-روابط'!$C$8:$C$1007,"الزام",'15-روابط'!$D$8:$D$1007,F119,'15-روابط'!$E$8:$E$1007,"رابطه معتبر")&gt;0),IF(J119="نتیجه",AND(COUNTIFS('06-نتایج بازنگری'!$A$8:$A$1007,K119)=1,IFERROR(INDEX('06-نتایج بازنگری'!$D$8:$D$1007,MATCH(K119,'06-نتایج بازنگری'!$A$8:$A$1007,0)),"")=B119,IFERROR(INDEX('06-نتایج بازنگری'!$P$8:$P$1007,MATCH(K119,'06-نتایج بازنگری'!$A$8:$A$1007,0)),"")="معتبر",IFERROR(INDEX('06-نتایج بازنگری'!$F$8:$F$1007,MATCH(K119,'06-نتایج بازنگری'!$A$8:$A$1007,0)),"")=G119),IF(J119="ابلاغ",AND(COUNTIFS('20-ابلاغ نتایج'!$A$8:$A$1007,K119)=1,IFERROR(INDEX('20-ابلاغ نتایج'!$E$8:$E$1007,MATCH(K119,'20-ابلاغ نتایج'!$A$8:$A$1007,0)),"")=B119,IFERROR(INDEX('20-ابلاغ نتایج'!$L$8:$L$1007,MATCH(K119,'20-ابلاغ نتایج'!$A$8:$A$1007,0)),"")="معتبر"),FALSE))))),"سابقه یا شواهد ناقص",IF(IFERROR(INDEX('18-دامنه استانداردها'!$J$8:$J$1007,MATCH(C119&amp;"|"&amp;G119,'18-دامنه استانداردها'!$A$8:$A$1007,0)),"")="تأیید شده","شواهد مرتبط ثبت شد؛ تأیید ممیز لازم",IF(IFERROR(INDEX('18-دامنه استانداردها'!$J$8:$J$1007,MATCH(C119&amp;"|"&amp;G119,'18-دامنه استانداردها'!$A$8:$A$1007,0)),"")="فرضی","پوشش فرضی؛ آموزشی","شواهد حاضر؛ تطبیق نسخه باز"))))))))</f>
        <v>بررسی نشده؛ سابقه لازم</v>
      </c>
      <c r="O119" s="1" t="s">
        <v>1215</v>
      </c>
    </row>
    <row r="120" spans="1:15" ht="36" customHeight="1">
      <c r="A120" s="1" t="s">
        <v>1328</v>
      </c>
      <c r="B120" s="1" t="s">
        <v>83</v>
      </c>
      <c r="C120" s="1" t="s">
        <v>77</v>
      </c>
      <c r="D120" s="1" t="s">
        <v>80</v>
      </c>
      <c r="E120" s="1" t="s">
        <v>379</v>
      </c>
      <c r="F120" s="1" t="s">
        <v>335</v>
      </c>
      <c r="G120" s="3" t="str">
        <f>IF(A120="","",IFERROR(INDEX('02-ماتریس الزامات'!$B$8:$B$1007,MATCH(F120,'02-ماتریس الزامات'!$A$8:$A$1007,0)),""))</f>
        <v>OHS</v>
      </c>
      <c r="H120" s="3" t="str">
        <f>IF(A120="","",IFERROR(INDEX('02-ماتریس الزامات'!$D$8:$D$1007,MATCH(F120,'02-ماتریس الزامات'!$A$8:$A$1007,0)),""))</f>
        <v>9.3؛ شماره جزء تابع ویرایش</v>
      </c>
      <c r="I120" s="3" t="str">
        <f>IF(A120="","",IFERROR(INDEX('02-ماتریس الزامات'!$F$8:$F$1007,MATCH(F120,'02-ماتریس الزامات'!$A$8:$A$1007,0)),""))</f>
        <v>روند عملکرد، عدم‌انطباق و اقدام اصلاحی</v>
      </c>
      <c r="J120" s="1" t="s">
        <v>174</v>
      </c>
      <c r="K120" s="1" t="s">
        <v>427</v>
      </c>
      <c r="L120" s="1"/>
      <c r="M120" s="1"/>
      <c r="N120" s="3" t="str">
        <f>IF(A120="","",IF(NOT(AND(COUNTIFS('13-کنترل انطباق'!$A$8:$A$1007,A120)=1,AND(COUNTIFS('17-جلسات و دوره‌ها'!$A$8:$A$1007,B120)=1,IFERROR(INDEX('17-جلسات و دوره‌ها'!$B$8:$B$1007,MATCH(B120,'17-جلسات و دوره‌ها'!$A$8:$A$1007,0)),"")=C120,IFERROR(INDEX('17-جلسات و دوره‌ها'!$C$8:$C$1007,MATCH(B120,'17-جلسات و دوره‌ها'!$A$8:$A$1007,0)),"")=D120),COUNTIFS('02-ماتریس الزامات'!$A$8:$A$1007,F120)=1,COUNTIFS('18-دامنه استانداردها'!$A$8:$A$1007,C120&amp;"|"&amp;G120)=1)),"شناسه یا دامنه نامعتبر",IF(IFERROR(INDEX('18-دامنه استانداردها'!$D$8:$D$1007,MATCH(C120&amp;"|"&amp;G120,'18-دامنه استانداردها'!$A$8:$A$1007,0)),"")="خیر",IF(AND(L120&lt;&gt;"",M120&lt;&gt;"",IFERROR(INDEX('18-دامنه استانداردها'!$H$8:$H$1007,MATCH(C120&amp;"|"&amp;G120,'18-دامنه استانداردها'!$A$8:$A$1007,0)),"")&lt;&gt;"",IFERROR(INDEX('18-دامنه استانداردها'!$I$8:$I$1007,MATCH(C120&amp;"|"&amp;G120,'18-دامنه استانداردها'!$A$8:$A$1007,0)),"")&lt;&gt;""),"عدم کاربرد مستند","عدم کاربرد بدون توجیه"),IF(IFERROR(INDEX('18-دامنه استانداردها'!$D$8:$D$1007,MATCH(C120&amp;"|"&amp;G120,'18-دامنه استانداردها'!$A$8:$A$1007,0)),"")&lt;&gt;"بله","دامنه نامشخص",IF(K120="","بررسی نشده؛ سابقه لازم",IF(NOT(IF(J120="ورودی",AND(COUNTIFS('03-ورودی‌های بازنگری'!$A$8:$A$1007,K120)=1,IFERROR(INDEX('03-ورودی‌های بازنگری'!$D$8:$D$1007,MATCH(K120,'03-ورودی‌های بازنگری'!$A$8:$A$1007,0)),"")=B120,IFERROR(INDEX('03-ورودی‌های بازنگری'!$R$8:$R$1007,MATCH(K120,'03-ورودی‌های بازنگری'!$A$8:$A$1007,0)),"")="معتبر"),IF(J120="تصمیم",AND(COUNTIFS('07-تصمیمات و مصوبات'!$A$8:$A$1007,K120)=1,IFERROR(INDEX('07-تصمیمات و مصوبات'!$B$8:$B$1007,MATCH(K120,'07-تصمیمات و مصوبات'!$A$8:$A$1007,0)),"")=B120,IFERROR(INDEX('07-تصمیمات و مصوبات'!$Z$8:$Z$1007,MATCH(K120,'07-تصمیمات و مصوبات'!$A$8:$A$1007,0)),"")="معتبر",COUNTIFS('15-روابط'!$B$8:$B$1007,K120,'15-روابط'!$C$8:$C$1007,"الزام",'15-روابط'!$D$8:$D$1007,F120,'15-روابط'!$E$8:$E$1007,"رابطه معتبر")&gt;0),IF(J120="نتیجه",AND(COUNTIFS('06-نتایج بازنگری'!$A$8:$A$1007,K120)=1,IFERROR(INDEX('06-نتایج بازنگری'!$D$8:$D$1007,MATCH(K120,'06-نتایج بازنگری'!$A$8:$A$1007,0)),"")=B120,IFERROR(INDEX('06-نتایج بازنگری'!$P$8:$P$1007,MATCH(K120,'06-نتایج بازنگری'!$A$8:$A$1007,0)),"")="معتبر",IFERROR(INDEX('06-نتایج بازنگری'!$F$8:$F$1007,MATCH(K120,'06-نتایج بازنگری'!$A$8:$A$1007,0)),"")=G120),IF(J120="ابلاغ",AND(COUNTIFS('20-ابلاغ نتایج'!$A$8:$A$1007,K120)=1,IFERROR(INDEX('20-ابلاغ نتایج'!$E$8:$E$1007,MATCH(K120,'20-ابلاغ نتایج'!$A$8:$A$1007,0)),"")=B120,IFERROR(INDEX('20-ابلاغ نتایج'!$L$8:$L$1007,MATCH(K120,'20-ابلاغ نتایج'!$A$8:$A$1007,0)),"")="معتبر"),FALSE))))),"سابقه یا شواهد ناقص",IF(IFERROR(INDEX('18-دامنه استانداردها'!$J$8:$J$1007,MATCH(C120&amp;"|"&amp;G120,'18-دامنه استانداردها'!$A$8:$A$1007,0)),"")="تأیید شده","شواهد مرتبط ثبت شد؛ تأیید ممیز لازم",IF(IFERROR(INDEX('18-دامنه استانداردها'!$J$8:$J$1007,MATCH(C120&amp;"|"&amp;G120,'18-دامنه استانداردها'!$A$8:$A$1007,0)),"")="فرضی","پوشش فرضی؛ آموزشی","شواهد حاضر؛ تطبیق نسخه باز"))))))))</f>
        <v>سابقه یا شواهد ناقص</v>
      </c>
      <c r="O120" s="1" t="s">
        <v>1215</v>
      </c>
    </row>
    <row r="121" spans="1:15" ht="36" customHeight="1">
      <c r="A121" s="1" t="s">
        <v>1329</v>
      </c>
      <c r="B121" s="1" t="s">
        <v>530</v>
      </c>
      <c r="C121" s="1" t="s">
        <v>99</v>
      </c>
      <c r="D121" s="1" t="s">
        <v>529</v>
      </c>
      <c r="E121" s="1" t="s">
        <v>531</v>
      </c>
      <c r="F121" s="1" t="s">
        <v>335</v>
      </c>
      <c r="G121" s="3" t="str">
        <f>IF(A121="","",IFERROR(INDEX('02-ماتریس الزامات'!$B$8:$B$1007,MATCH(F121,'02-ماتریس الزامات'!$A$8:$A$1007,0)),""))</f>
        <v>OHS</v>
      </c>
      <c r="H121" s="3" t="str">
        <f>IF(A121="","",IFERROR(INDEX('02-ماتریس الزامات'!$D$8:$D$1007,MATCH(F121,'02-ماتریس الزامات'!$A$8:$A$1007,0)),""))</f>
        <v>9.3؛ شماره جزء تابع ویرایش</v>
      </c>
      <c r="I121" s="3" t="str">
        <f>IF(A121="","",IFERROR(INDEX('02-ماتریس الزامات'!$F$8:$F$1007,MATCH(F121,'02-ماتریس الزامات'!$A$8:$A$1007,0)),""))</f>
        <v>روند عملکرد، عدم‌انطباق و اقدام اصلاحی</v>
      </c>
      <c r="J121" s="1" t="s">
        <v>174</v>
      </c>
      <c r="K121" s="1"/>
      <c r="L121" s="1"/>
      <c r="M121" s="1"/>
      <c r="N121" s="3" t="str">
        <f>IF(A121="","",IF(NOT(AND(COUNTIFS('13-کنترل انطباق'!$A$8:$A$1007,A121)=1,AND(COUNTIFS('17-جلسات و دوره‌ها'!$A$8:$A$1007,B121)=1,IFERROR(INDEX('17-جلسات و دوره‌ها'!$B$8:$B$1007,MATCH(B121,'17-جلسات و دوره‌ها'!$A$8:$A$1007,0)),"")=C121,IFERROR(INDEX('17-جلسات و دوره‌ها'!$C$8:$C$1007,MATCH(B121,'17-جلسات و دوره‌ها'!$A$8:$A$1007,0)),"")=D121),COUNTIFS('02-ماتریس الزامات'!$A$8:$A$1007,F121)=1,COUNTIFS('18-دامنه استانداردها'!$A$8:$A$1007,C121&amp;"|"&amp;G121)=1)),"شناسه یا دامنه نامعتبر",IF(IFERROR(INDEX('18-دامنه استانداردها'!$D$8:$D$1007,MATCH(C121&amp;"|"&amp;G121,'18-دامنه استانداردها'!$A$8:$A$1007,0)),"")="خیر",IF(AND(L121&lt;&gt;"",M121&lt;&gt;"",IFERROR(INDEX('18-دامنه استانداردها'!$H$8:$H$1007,MATCH(C121&amp;"|"&amp;G121,'18-دامنه استانداردها'!$A$8:$A$1007,0)),"")&lt;&gt;"",IFERROR(INDEX('18-دامنه استانداردها'!$I$8:$I$1007,MATCH(C121&amp;"|"&amp;G121,'18-دامنه استانداردها'!$A$8:$A$1007,0)),"")&lt;&gt;""),"عدم کاربرد مستند","عدم کاربرد بدون توجیه"),IF(IFERROR(INDEX('18-دامنه استانداردها'!$D$8:$D$1007,MATCH(C121&amp;"|"&amp;G121,'18-دامنه استانداردها'!$A$8:$A$1007,0)),"")&lt;&gt;"بله","دامنه نامشخص",IF(K121="","بررسی نشده؛ سابقه لازم",IF(NOT(IF(J121="ورودی",AND(COUNTIFS('03-ورودی‌های بازنگری'!$A$8:$A$1007,K121)=1,IFERROR(INDEX('03-ورودی‌های بازنگری'!$D$8:$D$1007,MATCH(K121,'03-ورودی‌های بازنگری'!$A$8:$A$1007,0)),"")=B121,IFERROR(INDEX('03-ورودی‌های بازنگری'!$R$8:$R$1007,MATCH(K121,'03-ورودی‌های بازنگری'!$A$8:$A$1007,0)),"")="معتبر"),IF(J121="تصمیم",AND(COUNTIFS('07-تصمیمات و مصوبات'!$A$8:$A$1007,K121)=1,IFERROR(INDEX('07-تصمیمات و مصوبات'!$B$8:$B$1007,MATCH(K121,'07-تصمیمات و مصوبات'!$A$8:$A$1007,0)),"")=B121,IFERROR(INDEX('07-تصمیمات و مصوبات'!$Z$8:$Z$1007,MATCH(K121,'07-تصمیمات و مصوبات'!$A$8:$A$1007,0)),"")="معتبر",COUNTIFS('15-روابط'!$B$8:$B$1007,K121,'15-روابط'!$C$8:$C$1007,"الزام",'15-روابط'!$D$8:$D$1007,F121,'15-روابط'!$E$8:$E$1007,"رابطه معتبر")&gt;0),IF(J121="نتیجه",AND(COUNTIFS('06-نتایج بازنگری'!$A$8:$A$1007,K121)=1,IFERROR(INDEX('06-نتایج بازنگری'!$D$8:$D$1007,MATCH(K121,'06-نتایج بازنگری'!$A$8:$A$1007,0)),"")=B121,IFERROR(INDEX('06-نتایج بازنگری'!$P$8:$P$1007,MATCH(K121,'06-نتایج بازنگری'!$A$8:$A$1007,0)),"")="معتبر",IFERROR(INDEX('06-نتایج بازنگری'!$F$8:$F$1007,MATCH(K121,'06-نتایج بازنگری'!$A$8:$A$1007,0)),"")=G121),IF(J121="ابلاغ",AND(COUNTIFS('20-ابلاغ نتایج'!$A$8:$A$1007,K121)=1,IFERROR(INDEX('20-ابلاغ نتایج'!$E$8:$E$1007,MATCH(K121,'20-ابلاغ نتایج'!$A$8:$A$1007,0)),"")=B121,IFERROR(INDEX('20-ابلاغ نتایج'!$L$8:$L$1007,MATCH(K121,'20-ابلاغ نتایج'!$A$8:$A$1007,0)),"")="معتبر"),FALSE))))),"سابقه یا شواهد ناقص",IF(IFERROR(INDEX('18-دامنه استانداردها'!$J$8:$J$1007,MATCH(C121&amp;"|"&amp;G121,'18-دامنه استانداردها'!$A$8:$A$1007,0)),"")="تأیید شده","شواهد مرتبط ثبت شد؛ تأیید ممیز لازم",IF(IFERROR(INDEX('18-دامنه استانداردها'!$J$8:$J$1007,MATCH(C121&amp;"|"&amp;G121,'18-دامنه استانداردها'!$A$8:$A$1007,0)),"")="فرضی","پوشش فرضی؛ آموزشی","شواهد حاضر؛ تطبیق نسخه باز"))))))))</f>
        <v>بررسی نشده؛ سابقه لازم</v>
      </c>
      <c r="O121" s="1" t="s">
        <v>1215</v>
      </c>
    </row>
    <row r="122" spans="1:15" ht="36" customHeight="1">
      <c r="A122" s="1" t="s">
        <v>1330</v>
      </c>
      <c r="B122" s="1" t="s">
        <v>83</v>
      </c>
      <c r="C122" s="1" t="s">
        <v>77</v>
      </c>
      <c r="D122" s="1" t="s">
        <v>80</v>
      </c>
      <c r="E122" s="1" t="s">
        <v>379</v>
      </c>
      <c r="F122" s="1" t="s">
        <v>336</v>
      </c>
      <c r="G122" s="3" t="str">
        <f>IF(A122="","",IFERROR(INDEX('02-ماتریس الزامات'!$B$8:$B$1007,MATCH(F122,'02-ماتریس الزامات'!$A$8:$A$1007,0)),""))</f>
        <v>OHS</v>
      </c>
      <c r="H122" s="3" t="str">
        <f>IF(A122="","",IFERROR(INDEX('02-ماتریس الزامات'!$D$8:$D$1007,MATCH(F122,'02-ماتریس الزامات'!$A$8:$A$1007,0)),""))</f>
        <v>9.3؛ شماره جزء تابع ویرایش</v>
      </c>
      <c r="I122" s="3" t="str">
        <f>IF(A122="","",IFERROR(INDEX('02-ماتریس الزامات'!$F$8:$F$1007,MATCH(F122,'02-ماتریس الزامات'!$A$8:$A$1007,0)),""))</f>
        <v>پایش و ارزیابی انطباق</v>
      </c>
      <c r="J122" s="1" t="s">
        <v>174</v>
      </c>
      <c r="K122" s="1" t="s">
        <v>503</v>
      </c>
      <c r="L122" s="1"/>
      <c r="M122" s="1"/>
      <c r="N122" s="3" t="str">
        <f>IF(A122="","",IF(NOT(AND(COUNTIFS('13-کنترل انطباق'!$A$8:$A$1007,A122)=1,AND(COUNTIFS('17-جلسات و دوره‌ها'!$A$8:$A$1007,B122)=1,IFERROR(INDEX('17-جلسات و دوره‌ها'!$B$8:$B$1007,MATCH(B122,'17-جلسات و دوره‌ها'!$A$8:$A$1007,0)),"")=C122,IFERROR(INDEX('17-جلسات و دوره‌ها'!$C$8:$C$1007,MATCH(B122,'17-جلسات و دوره‌ها'!$A$8:$A$1007,0)),"")=D122),COUNTIFS('02-ماتریس الزامات'!$A$8:$A$1007,F122)=1,COUNTIFS('18-دامنه استانداردها'!$A$8:$A$1007,C122&amp;"|"&amp;G122)=1)),"شناسه یا دامنه نامعتبر",IF(IFERROR(INDEX('18-دامنه استانداردها'!$D$8:$D$1007,MATCH(C122&amp;"|"&amp;G122,'18-دامنه استانداردها'!$A$8:$A$1007,0)),"")="خیر",IF(AND(L122&lt;&gt;"",M122&lt;&gt;"",IFERROR(INDEX('18-دامنه استانداردها'!$H$8:$H$1007,MATCH(C122&amp;"|"&amp;G122,'18-دامنه استانداردها'!$A$8:$A$1007,0)),"")&lt;&gt;"",IFERROR(INDEX('18-دامنه استانداردها'!$I$8:$I$1007,MATCH(C122&amp;"|"&amp;G122,'18-دامنه استانداردها'!$A$8:$A$1007,0)),"")&lt;&gt;""),"عدم کاربرد مستند","عدم کاربرد بدون توجیه"),IF(IFERROR(INDEX('18-دامنه استانداردها'!$D$8:$D$1007,MATCH(C122&amp;"|"&amp;G122,'18-دامنه استانداردها'!$A$8:$A$1007,0)),"")&lt;&gt;"بله","دامنه نامشخص",IF(K122="","بررسی نشده؛ سابقه لازم",IF(NOT(IF(J122="ورودی",AND(COUNTIFS('03-ورودی‌های بازنگری'!$A$8:$A$1007,K122)=1,IFERROR(INDEX('03-ورودی‌های بازنگری'!$D$8:$D$1007,MATCH(K122,'03-ورودی‌های بازنگری'!$A$8:$A$1007,0)),"")=B122,IFERROR(INDEX('03-ورودی‌های بازنگری'!$R$8:$R$1007,MATCH(K122,'03-ورودی‌های بازنگری'!$A$8:$A$1007,0)),"")="معتبر"),IF(J122="تصمیم",AND(COUNTIFS('07-تصمیمات و مصوبات'!$A$8:$A$1007,K122)=1,IFERROR(INDEX('07-تصمیمات و مصوبات'!$B$8:$B$1007,MATCH(K122,'07-تصمیمات و مصوبات'!$A$8:$A$1007,0)),"")=B122,IFERROR(INDEX('07-تصمیمات و مصوبات'!$Z$8:$Z$1007,MATCH(K122,'07-تصمیمات و مصوبات'!$A$8:$A$1007,0)),"")="معتبر",COUNTIFS('15-روابط'!$B$8:$B$1007,K122,'15-روابط'!$C$8:$C$1007,"الزام",'15-روابط'!$D$8:$D$1007,F122,'15-روابط'!$E$8:$E$1007,"رابطه معتبر")&gt;0),IF(J122="نتیجه",AND(COUNTIFS('06-نتایج بازنگری'!$A$8:$A$1007,K122)=1,IFERROR(INDEX('06-نتایج بازنگری'!$D$8:$D$1007,MATCH(K122,'06-نتایج بازنگری'!$A$8:$A$1007,0)),"")=B122,IFERROR(INDEX('06-نتایج بازنگری'!$P$8:$P$1007,MATCH(K122,'06-نتایج بازنگری'!$A$8:$A$1007,0)),"")="معتبر",IFERROR(INDEX('06-نتایج بازنگری'!$F$8:$F$1007,MATCH(K122,'06-نتایج بازنگری'!$A$8:$A$1007,0)),"")=G122),IF(J122="ابلاغ",AND(COUNTIFS('20-ابلاغ نتایج'!$A$8:$A$1007,K122)=1,IFERROR(INDEX('20-ابلاغ نتایج'!$E$8:$E$1007,MATCH(K122,'20-ابلاغ نتایج'!$A$8:$A$1007,0)),"")=B122,IFERROR(INDEX('20-ابلاغ نتایج'!$L$8:$L$1007,MATCH(K122,'20-ابلاغ نتایج'!$A$8:$A$1007,0)),"")="معتبر"),FALSE))))),"سابقه یا شواهد ناقص",IF(IFERROR(INDEX('18-دامنه استانداردها'!$J$8:$J$1007,MATCH(C122&amp;"|"&amp;G122,'18-دامنه استانداردها'!$A$8:$A$1007,0)),"")="تأیید شده","شواهد مرتبط ثبت شد؛ تأیید ممیز لازم",IF(IFERROR(INDEX('18-دامنه استانداردها'!$J$8:$J$1007,MATCH(C122&amp;"|"&amp;G122,'18-دامنه استانداردها'!$A$8:$A$1007,0)),"")="فرضی","پوشش فرضی؛ آموزشی","شواهد حاضر؛ تطبیق نسخه باز"))))))))</f>
        <v>سابقه یا شواهد ناقص</v>
      </c>
      <c r="O122" s="1" t="s">
        <v>1215</v>
      </c>
    </row>
    <row r="123" spans="1:15" ht="36" customHeight="1">
      <c r="A123" s="1" t="s">
        <v>1331</v>
      </c>
      <c r="B123" s="1" t="s">
        <v>530</v>
      </c>
      <c r="C123" s="1" t="s">
        <v>99</v>
      </c>
      <c r="D123" s="1" t="s">
        <v>529</v>
      </c>
      <c r="E123" s="1" t="s">
        <v>531</v>
      </c>
      <c r="F123" s="1" t="s">
        <v>336</v>
      </c>
      <c r="G123" s="3" t="str">
        <f>IF(A123="","",IFERROR(INDEX('02-ماتریس الزامات'!$B$8:$B$1007,MATCH(F123,'02-ماتریس الزامات'!$A$8:$A$1007,0)),""))</f>
        <v>OHS</v>
      </c>
      <c r="H123" s="3" t="str">
        <f>IF(A123="","",IFERROR(INDEX('02-ماتریس الزامات'!$D$8:$D$1007,MATCH(F123,'02-ماتریس الزامات'!$A$8:$A$1007,0)),""))</f>
        <v>9.3؛ شماره جزء تابع ویرایش</v>
      </c>
      <c r="I123" s="3" t="str">
        <f>IF(A123="","",IFERROR(INDEX('02-ماتریس الزامات'!$F$8:$F$1007,MATCH(F123,'02-ماتریس الزامات'!$A$8:$A$1007,0)),""))</f>
        <v>پایش و ارزیابی انطباق</v>
      </c>
      <c r="J123" s="1" t="s">
        <v>174</v>
      </c>
      <c r="K123" s="1"/>
      <c r="L123" s="1"/>
      <c r="M123" s="1"/>
      <c r="N123" s="3" t="str">
        <f>IF(A123="","",IF(NOT(AND(COUNTIFS('13-کنترل انطباق'!$A$8:$A$1007,A123)=1,AND(COUNTIFS('17-جلسات و دوره‌ها'!$A$8:$A$1007,B123)=1,IFERROR(INDEX('17-جلسات و دوره‌ها'!$B$8:$B$1007,MATCH(B123,'17-جلسات و دوره‌ها'!$A$8:$A$1007,0)),"")=C123,IFERROR(INDEX('17-جلسات و دوره‌ها'!$C$8:$C$1007,MATCH(B123,'17-جلسات و دوره‌ها'!$A$8:$A$1007,0)),"")=D123),COUNTIFS('02-ماتریس الزامات'!$A$8:$A$1007,F123)=1,COUNTIFS('18-دامنه استانداردها'!$A$8:$A$1007,C123&amp;"|"&amp;G123)=1)),"شناسه یا دامنه نامعتبر",IF(IFERROR(INDEX('18-دامنه استانداردها'!$D$8:$D$1007,MATCH(C123&amp;"|"&amp;G123,'18-دامنه استانداردها'!$A$8:$A$1007,0)),"")="خیر",IF(AND(L123&lt;&gt;"",M123&lt;&gt;"",IFERROR(INDEX('18-دامنه استانداردها'!$H$8:$H$1007,MATCH(C123&amp;"|"&amp;G123,'18-دامنه استانداردها'!$A$8:$A$1007,0)),"")&lt;&gt;"",IFERROR(INDEX('18-دامنه استانداردها'!$I$8:$I$1007,MATCH(C123&amp;"|"&amp;G123,'18-دامنه استانداردها'!$A$8:$A$1007,0)),"")&lt;&gt;""),"عدم کاربرد مستند","عدم کاربرد بدون توجیه"),IF(IFERROR(INDEX('18-دامنه استانداردها'!$D$8:$D$1007,MATCH(C123&amp;"|"&amp;G123,'18-دامنه استانداردها'!$A$8:$A$1007,0)),"")&lt;&gt;"بله","دامنه نامشخص",IF(K123="","بررسی نشده؛ سابقه لازم",IF(NOT(IF(J123="ورودی",AND(COUNTIFS('03-ورودی‌های بازنگری'!$A$8:$A$1007,K123)=1,IFERROR(INDEX('03-ورودی‌های بازنگری'!$D$8:$D$1007,MATCH(K123,'03-ورودی‌های بازنگری'!$A$8:$A$1007,0)),"")=B123,IFERROR(INDEX('03-ورودی‌های بازنگری'!$R$8:$R$1007,MATCH(K123,'03-ورودی‌های بازنگری'!$A$8:$A$1007,0)),"")="معتبر"),IF(J123="تصمیم",AND(COUNTIFS('07-تصمیمات و مصوبات'!$A$8:$A$1007,K123)=1,IFERROR(INDEX('07-تصمیمات و مصوبات'!$B$8:$B$1007,MATCH(K123,'07-تصمیمات و مصوبات'!$A$8:$A$1007,0)),"")=B123,IFERROR(INDEX('07-تصمیمات و مصوبات'!$Z$8:$Z$1007,MATCH(K123,'07-تصمیمات و مصوبات'!$A$8:$A$1007,0)),"")="معتبر",COUNTIFS('15-روابط'!$B$8:$B$1007,K123,'15-روابط'!$C$8:$C$1007,"الزام",'15-روابط'!$D$8:$D$1007,F123,'15-روابط'!$E$8:$E$1007,"رابطه معتبر")&gt;0),IF(J123="نتیجه",AND(COUNTIFS('06-نتایج بازنگری'!$A$8:$A$1007,K123)=1,IFERROR(INDEX('06-نتایج بازنگری'!$D$8:$D$1007,MATCH(K123,'06-نتایج بازنگری'!$A$8:$A$1007,0)),"")=B123,IFERROR(INDEX('06-نتایج بازنگری'!$P$8:$P$1007,MATCH(K123,'06-نتایج بازنگری'!$A$8:$A$1007,0)),"")="معتبر",IFERROR(INDEX('06-نتایج بازنگری'!$F$8:$F$1007,MATCH(K123,'06-نتایج بازنگری'!$A$8:$A$1007,0)),"")=G123),IF(J123="ابلاغ",AND(COUNTIFS('20-ابلاغ نتایج'!$A$8:$A$1007,K123)=1,IFERROR(INDEX('20-ابلاغ نتایج'!$E$8:$E$1007,MATCH(K123,'20-ابلاغ نتایج'!$A$8:$A$1007,0)),"")=B123,IFERROR(INDEX('20-ابلاغ نتایج'!$L$8:$L$1007,MATCH(K123,'20-ابلاغ نتایج'!$A$8:$A$1007,0)),"")="معتبر"),FALSE))))),"سابقه یا شواهد ناقص",IF(IFERROR(INDEX('18-دامنه استانداردها'!$J$8:$J$1007,MATCH(C123&amp;"|"&amp;G123,'18-دامنه استانداردها'!$A$8:$A$1007,0)),"")="تأیید شده","شواهد مرتبط ثبت شد؛ تأیید ممیز لازم",IF(IFERROR(INDEX('18-دامنه استانداردها'!$J$8:$J$1007,MATCH(C123&amp;"|"&amp;G123,'18-دامنه استانداردها'!$A$8:$A$1007,0)),"")="فرضی","پوشش فرضی؛ آموزشی","شواهد حاضر؛ تطبیق نسخه باز"))))))))</f>
        <v>بررسی نشده؛ سابقه لازم</v>
      </c>
      <c r="O123" s="1" t="s">
        <v>1215</v>
      </c>
    </row>
    <row r="124" spans="1:15" ht="36" customHeight="1">
      <c r="A124" s="1" t="s">
        <v>1332</v>
      </c>
      <c r="B124" s="1" t="s">
        <v>83</v>
      </c>
      <c r="C124" s="1" t="s">
        <v>77</v>
      </c>
      <c r="D124" s="1" t="s">
        <v>80</v>
      </c>
      <c r="E124" s="1" t="s">
        <v>379</v>
      </c>
      <c r="F124" s="1" t="s">
        <v>337</v>
      </c>
      <c r="G124" s="3" t="str">
        <f>IF(A124="","",IFERROR(INDEX('02-ماتریس الزامات'!$B$8:$B$1007,MATCH(F124,'02-ماتریس الزامات'!$A$8:$A$1007,0)),""))</f>
        <v>OHS</v>
      </c>
      <c r="H124" s="3" t="str">
        <f>IF(A124="","",IFERROR(INDEX('02-ماتریس الزامات'!$D$8:$D$1007,MATCH(F124,'02-ماتریس الزامات'!$A$8:$A$1007,0)),""))</f>
        <v>9.3؛ شماره جزء تابع ویرایش</v>
      </c>
      <c r="I124" s="3" t="str">
        <f>IF(A124="","",IFERROR(INDEX('02-ماتریس الزامات'!$F$8:$F$1007,MATCH(F124,'02-ماتریس الزامات'!$A$8:$A$1007,0)),""))</f>
        <v>ممیزی‌ها</v>
      </c>
      <c r="J124" s="1" t="s">
        <v>174</v>
      </c>
      <c r="K124" s="1" t="s">
        <v>417</v>
      </c>
      <c r="L124" s="1"/>
      <c r="M124" s="1"/>
      <c r="N124" s="3" t="str">
        <f>IF(A124="","",IF(NOT(AND(COUNTIFS('13-کنترل انطباق'!$A$8:$A$1007,A124)=1,AND(COUNTIFS('17-جلسات و دوره‌ها'!$A$8:$A$1007,B124)=1,IFERROR(INDEX('17-جلسات و دوره‌ها'!$B$8:$B$1007,MATCH(B124,'17-جلسات و دوره‌ها'!$A$8:$A$1007,0)),"")=C124,IFERROR(INDEX('17-جلسات و دوره‌ها'!$C$8:$C$1007,MATCH(B124,'17-جلسات و دوره‌ها'!$A$8:$A$1007,0)),"")=D124),COUNTIFS('02-ماتریس الزامات'!$A$8:$A$1007,F124)=1,COUNTIFS('18-دامنه استانداردها'!$A$8:$A$1007,C124&amp;"|"&amp;G124)=1)),"شناسه یا دامنه نامعتبر",IF(IFERROR(INDEX('18-دامنه استانداردها'!$D$8:$D$1007,MATCH(C124&amp;"|"&amp;G124,'18-دامنه استانداردها'!$A$8:$A$1007,0)),"")="خیر",IF(AND(L124&lt;&gt;"",M124&lt;&gt;"",IFERROR(INDEX('18-دامنه استانداردها'!$H$8:$H$1007,MATCH(C124&amp;"|"&amp;G124,'18-دامنه استانداردها'!$A$8:$A$1007,0)),"")&lt;&gt;"",IFERROR(INDEX('18-دامنه استانداردها'!$I$8:$I$1007,MATCH(C124&amp;"|"&amp;G124,'18-دامنه استانداردها'!$A$8:$A$1007,0)),"")&lt;&gt;""),"عدم کاربرد مستند","عدم کاربرد بدون توجیه"),IF(IFERROR(INDEX('18-دامنه استانداردها'!$D$8:$D$1007,MATCH(C124&amp;"|"&amp;G124,'18-دامنه استانداردها'!$A$8:$A$1007,0)),"")&lt;&gt;"بله","دامنه نامشخص",IF(K124="","بررسی نشده؛ سابقه لازم",IF(NOT(IF(J124="ورودی",AND(COUNTIFS('03-ورودی‌های بازنگری'!$A$8:$A$1007,K124)=1,IFERROR(INDEX('03-ورودی‌های بازنگری'!$D$8:$D$1007,MATCH(K124,'03-ورودی‌های بازنگری'!$A$8:$A$1007,0)),"")=B124,IFERROR(INDEX('03-ورودی‌های بازنگری'!$R$8:$R$1007,MATCH(K124,'03-ورودی‌های بازنگری'!$A$8:$A$1007,0)),"")="معتبر"),IF(J124="تصمیم",AND(COUNTIFS('07-تصمیمات و مصوبات'!$A$8:$A$1007,K124)=1,IFERROR(INDEX('07-تصمیمات و مصوبات'!$B$8:$B$1007,MATCH(K124,'07-تصمیمات و مصوبات'!$A$8:$A$1007,0)),"")=B124,IFERROR(INDEX('07-تصمیمات و مصوبات'!$Z$8:$Z$1007,MATCH(K124,'07-تصمیمات و مصوبات'!$A$8:$A$1007,0)),"")="معتبر",COUNTIFS('15-روابط'!$B$8:$B$1007,K124,'15-روابط'!$C$8:$C$1007,"الزام",'15-روابط'!$D$8:$D$1007,F124,'15-روابط'!$E$8:$E$1007,"رابطه معتبر")&gt;0),IF(J124="نتیجه",AND(COUNTIFS('06-نتایج بازنگری'!$A$8:$A$1007,K124)=1,IFERROR(INDEX('06-نتایج بازنگری'!$D$8:$D$1007,MATCH(K124,'06-نتایج بازنگری'!$A$8:$A$1007,0)),"")=B124,IFERROR(INDEX('06-نتایج بازنگری'!$P$8:$P$1007,MATCH(K124,'06-نتایج بازنگری'!$A$8:$A$1007,0)),"")="معتبر",IFERROR(INDEX('06-نتایج بازنگری'!$F$8:$F$1007,MATCH(K124,'06-نتایج بازنگری'!$A$8:$A$1007,0)),"")=G124),IF(J124="ابلاغ",AND(COUNTIFS('20-ابلاغ نتایج'!$A$8:$A$1007,K124)=1,IFERROR(INDEX('20-ابلاغ نتایج'!$E$8:$E$1007,MATCH(K124,'20-ابلاغ نتایج'!$A$8:$A$1007,0)),"")=B124,IFERROR(INDEX('20-ابلاغ نتایج'!$L$8:$L$1007,MATCH(K124,'20-ابلاغ نتایج'!$A$8:$A$1007,0)),"")="معتبر"),FALSE))))),"سابقه یا شواهد ناقص",IF(IFERROR(INDEX('18-دامنه استانداردها'!$J$8:$J$1007,MATCH(C124&amp;"|"&amp;G124,'18-دامنه استانداردها'!$A$8:$A$1007,0)),"")="تأیید شده","شواهد مرتبط ثبت شد؛ تأیید ممیز لازم",IF(IFERROR(INDEX('18-دامنه استانداردها'!$J$8:$J$1007,MATCH(C124&amp;"|"&amp;G124,'18-دامنه استانداردها'!$A$8:$A$1007,0)),"")="فرضی","پوشش فرضی؛ آموزشی","شواهد حاضر؛ تطبیق نسخه باز"))))))))</f>
        <v>سابقه یا شواهد ناقص</v>
      </c>
      <c r="O124" s="1" t="s">
        <v>1215</v>
      </c>
    </row>
    <row r="125" spans="1:15" ht="36" customHeight="1">
      <c r="A125" s="1" t="s">
        <v>1333</v>
      </c>
      <c r="B125" s="1" t="s">
        <v>530</v>
      </c>
      <c r="C125" s="1" t="s">
        <v>99</v>
      </c>
      <c r="D125" s="1" t="s">
        <v>529</v>
      </c>
      <c r="E125" s="1" t="s">
        <v>531</v>
      </c>
      <c r="F125" s="1" t="s">
        <v>337</v>
      </c>
      <c r="G125" s="3" t="str">
        <f>IF(A125="","",IFERROR(INDEX('02-ماتریس الزامات'!$B$8:$B$1007,MATCH(F125,'02-ماتریس الزامات'!$A$8:$A$1007,0)),""))</f>
        <v>OHS</v>
      </c>
      <c r="H125" s="3" t="str">
        <f>IF(A125="","",IFERROR(INDEX('02-ماتریس الزامات'!$D$8:$D$1007,MATCH(F125,'02-ماتریس الزامات'!$A$8:$A$1007,0)),""))</f>
        <v>9.3؛ شماره جزء تابع ویرایش</v>
      </c>
      <c r="I125" s="3" t="str">
        <f>IF(A125="","",IFERROR(INDEX('02-ماتریس الزامات'!$F$8:$F$1007,MATCH(F125,'02-ماتریس الزامات'!$A$8:$A$1007,0)),""))</f>
        <v>ممیزی‌ها</v>
      </c>
      <c r="J125" s="1" t="s">
        <v>174</v>
      </c>
      <c r="K125" s="1"/>
      <c r="L125" s="1"/>
      <c r="M125" s="1"/>
      <c r="N125" s="3" t="str">
        <f>IF(A125="","",IF(NOT(AND(COUNTIFS('13-کنترل انطباق'!$A$8:$A$1007,A125)=1,AND(COUNTIFS('17-جلسات و دوره‌ها'!$A$8:$A$1007,B125)=1,IFERROR(INDEX('17-جلسات و دوره‌ها'!$B$8:$B$1007,MATCH(B125,'17-جلسات و دوره‌ها'!$A$8:$A$1007,0)),"")=C125,IFERROR(INDEX('17-جلسات و دوره‌ها'!$C$8:$C$1007,MATCH(B125,'17-جلسات و دوره‌ها'!$A$8:$A$1007,0)),"")=D125),COUNTIFS('02-ماتریس الزامات'!$A$8:$A$1007,F125)=1,COUNTIFS('18-دامنه استانداردها'!$A$8:$A$1007,C125&amp;"|"&amp;G125)=1)),"شناسه یا دامنه نامعتبر",IF(IFERROR(INDEX('18-دامنه استانداردها'!$D$8:$D$1007,MATCH(C125&amp;"|"&amp;G125,'18-دامنه استانداردها'!$A$8:$A$1007,0)),"")="خیر",IF(AND(L125&lt;&gt;"",M125&lt;&gt;"",IFERROR(INDEX('18-دامنه استانداردها'!$H$8:$H$1007,MATCH(C125&amp;"|"&amp;G125,'18-دامنه استانداردها'!$A$8:$A$1007,0)),"")&lt;&gt;"",IFERROR(INDEX('18-دامنه استانداردها'!$I$8:$I$1007,MATCH(C125&amp;"|"&amp;G125,'18-دامنه استانداردها'!$A$8:$A$1007,0)),"")&lt;&gt;""),"عدم کاربرد مستند","عدم کاربرد بدون توجیه"),IF(IFERROR(INDEX('18-دامنه استانداردها'!$D$8:$D$1007,MATCH(C125&amp;"|"&amp;G125,'18-دامنه استانداردها'!$A$8:$A$1007,0)),"")&lt;&gt;"بله","دامنه نامشخص",IF(K125="","بررسی نشده؛ سابقه لازم",IF(NOT(IF(J125="ورودی",AND(COUNTIFS('03-ورودی‌های بازنگری'!$A$8:$A$1007,K125)=1,IFERROR(INDEX('03-ورودی‌های بازنگری'!$D$8:$D$1007,MATCH(K125,'03-ورودی‌های بازنگری'!$A$8:$A$1007,0)),"")=B125,IFERROR(INDEX('03-ورودی‌های بازنگری'!$R$8:$R$1007,MATCH(K125,'03-ورودی‌های بازنگری'!$A$8:$A$1007,0)),"")="معتبر"),IF(J125="تصمیم",AND(COUNTIFS('07-تصمیمات و مصوبات'!$A$8:$A$1007,K125)=1,IFERROR(INDEX('07-تصمیمات و مصوبات'!$B$8:$B$1007,MATCH(K125,'07-تصمیمات و مصوبات'!$A$8:$A$1007,0)),"")=B125,IFERROR(INDEX('07-تصمیمات و مصوبات'!$Z$8:$Z$1007,MATCH(K125,'07-تصمیمات و مصوبات'!$A$8:$A$1007,0)),"")="معتبر",COUNTIFS('15-روابط'!$B$8:$B$1007,K125,'15-روابط'!$C$8:$C$1007,"الزام",'15-روابط'!$D$8:$D$1007,F125,'15-روابط'!$E$8:$E$1007,"رابطه معتبر")&gt;0),IF(J125="نتیجه",AND(COUNTIFS('06-نتایج بازنگری'!$A$8:$A$1007,K125)=1,IFERROR(INDEX('06-نتایج بازنگری'!$D$8:$D$1007,MATCH(K125,'06-نتایج بازنگری'!$A$8:$A$1007,0)),"")=B125,IFERROR(INDEX('06-نتایج بازنگری'!$P$8:$P$1007,MATCH(K125,'06-نتایج بازنگری'!$A$8:$A$1007,0)),"")="معتبر",IFERROR(INDEX('06-نتایج بازنگری'!$F$8:$F$1007,MATCH(K125,'06-نتایج بازنگری'!$A$8:$A$1007,0)),"")=G125),IF(J125="ابلاغ",AND(COUNTIFS('20-ابلاغ نتایج'!$A$8:$A$1007,K125)=1,IFERROR(INDEX('20-ابلاغ نتایج'!$E$8:$E$1007,MATCH(K125,'20-ابلاغ نتایج'!$A$8:$A$1007,0)),"")=B125,IFERROR(INDEX('20-ابلاغ نتایج'!$L$8:$L$1007,MATCH(K125,'20-ابلاغ نتایج'!$A$8:$A$1007,0)),"")="معتبر"),FALSE))))),"سابقه یا شواهد ناقص",IF(IFERROR(INDEX('18-دامنه استانداردها'!$J$8:$J$1007,MATCH(C125&amp;"|"&amp;G125,'18-دامنه استانداردها'!$A$8:$A$1007,0)),"")="تأیید شده","شواهد مرتبط ثبت شد؛ تأیید ممیز لازم",IF(IFERROR(INDEX('18-دامنه استانداردها'!$J$8:$J$1007,MATCH(C125&amp;"|"&amp;G125,'18-دامنه استانداردها'!$A$8:$A$1007,0)),"")="فرضی","پوشش فرضی؛ آموزشی","شواهد حاضر؛ تطبیق نسخه باز"))))))))</f>
        <v>بررسی نشده؛ سابقه لازم</v>
      </c>
      <c r="O125" s="1" t="s">
        <v>1215</v>
      </c>
    </row>
    <row r="126" spans="1:15" ht="36" customHeight="1">
      <c r="A126" s="1" t="s">
        <v>1334</v>
      </c>
      <c r="B126" s="1" t="s">
        <v>83</v>
      </c>
      <c r="C126" s="1" t="s">
        <v>77</v>
      </c>
      <c r="D126" s="1" t="s">
        <v>80</v>
      </c>
      <c r="E126" s="1" t="s">
        <v>379</v>
      </c>
      <c r="F126" s="1" t="s">
        <v>338</v>
      </c>
      <c r="G126" s="3" t="str">
        <f>IF(A126="","",IFERROR(INDEX('02-ماتریس الزامات'!$B$8:$B$1007,MATCH(F126,'02-ماتریس الزامات'!$A$8:$A$1007,0)),""))</f>
        <v>OHS</v>
      </c>
      <c r="H126" s="3" t="str">
        <f>IF(A126="","",IFERROR(INDEX('02-ماتریس الزامات'!$D$8:$D$1007,MATCH(F126,'02-ماتریس الزامات'!$A$8:$A$1007,0)),""))</f>
        <v>9.3؛ شماره جزء تابع ویرایش</v>
      </c>
      <c r="I126" s="3" t="str">
        <f>IF(A126="","",IFERROR(INDEX('02-ماتریس الزامات'!$F$8:$F$1007,MATCH(F126,'02-ماتریس الزامات'!$A$8:$A$1007,0)),""))</f>
        <v>کفایت منابع</v>
      </c>
      <c r="J126" s="1" t="s">
        <v>174</v>
      </c>
      <c r="K126" s="1" t="s">
        <v>462</v>
      </c>
      <c r="L126" s="1"/>
      <c r="M126" s="1"/>
      <c r="N126" s="3" t="str">
        <f>IF(A126="","",IF(NOT(AND(COUNTIFS('13-کنترل انطباق'!$A$8:$A$1007,A126)=1,AND(COUNTIFS('17-جلسات و دوره‌ها'!$A$8:$A$1007,B126)=1,IFERROR(INDEX('17-جلسات و دوره‌ها'!$B$8:$B$1007,MATCH(B126,'17-جلسات و دوره‌ها'!$A$8:$A$1007,0)),"")=C126,IFERROR(INDEX('17-جلسات و دوره‌ها'!$C$8:$C$1007,MATCH(B126,'17-جلسات و دوره‌ها'!$A$8:$A$1007,0)),"")=D126),COUNTIFS('02-ماتریس الزامات'!$A$8:$A$1007,F126)=1,COUNTIFS('18-دامنه استانداردها'!$A$8:$A$1007,C126&amp;"|"&amp;G126)=1)),"شناسه یا دامنه نامعتبر",IF(IFERROR(INDEX('18-دامنه استانداردها'!$D$8:$D$1007,MATCH(C126&amp;"|"&amp;G126,'18-دامنه استانداردها'!$A$8:$A$1007,0)),"")="خیر",IF(AND(L126&lt;&gt;"",M126&lt;&gt;"",IFERROR(INDEX('18-دامنه استانداردها'!$H$8:$H$1007,MATCH(C126&amp;"|"&amp;G126,'18-دامنه استانداردها'!$A$8:$A$1007,0)),"")&lt;&gt;"",IFERROR(INDEX('18-دامنه استانداردها'!$I$8:$I$1007,MATCH(C126&amp;"|"&amp;G126,'18-دامنه استانداردها'!$A$8:$A$1007,0)),"")&lt;&gt;""),"عدم کاربرد مستند","عدم کاربرد بدون توجیه"),IF(IFERROR(INDEX('18-دامنه استانداردها'!$D$8:$D$1007,MATCH(C126&amp;"|"&amp;G126,'18-دامنه استانداردها'!$A$8:$A$1007,0)),"")&lt;&gt;"بله","دامنه نامشخص",IF(K126="","بررسی نشده؛ سابقه لازم",IF(NOT(IF(J126="ورودی",AND(COUNTIFS('03-ورودی‌های بازنگری'!$A$8:$A$1007,K126)=1,IFERROR(INDEX('03-ورودی‌های بازنگری'!$D$8:$D$1007,MATCH(K126,'03-ورودی‌های بازنگری'!$A$8:$A$1007,0)),"")=B126,IFERROR(INDEX('03-ورودی‌های بازنگری'!$R$8:$R$1007,MATCH(K126,'03-ورودی‌های بازنگری'!$A$8:$A$1007,0)),"")="معتبر"),IF(J126="تصمیم",AND(COUNTIFS('07-تصمیمات و مصوبات'!$A$8:$A$1007,K126)=1,IFERROR(INDEX('07-تصمیمات و مصوبات'!$B$8:$B$1007,MATCH(K126,'07-تصمیمات و مصوبات'!$A$8:$A$1007,0)),"")=B126,IFERROR(INDEX('07-تصمیمات و مصوبات'!$Z$8:$Z$1007,MATCH(K126,'07-تصمیمات و مصوبات'!$A$8:$A$1007,0)),"")="معتبر",COUNTIFS('15-روابط'!$B$8:$B$1007,K126,'15-روابط'!$C$8:$C$1007,"الزام",'15-روابط'!$D$8:$D$1007,F126,'15-روابط'!$E$8:$E$1007,"رابطه معتبر")&gt;0),IF(J126="نتیجه",AND(COUNTIFS('06-نتایج بازنگری'!$A$8:$A$1007,K126)=1,IFERROR(INDEX('06-نتایج بازنگری'!$D$8:$D$1007,MATCH(K126,'06-نتایج بازنگری'!$A$8:$A$1007,0)),"")=B126,IFERROR(INDEX('06-نتایج بازنگری'!$P$8:$P$1007,MATCH(K126,'06-نتایج بازنگری'!$A$8:$A$1007,0)),"")="معتبر",IFERROR(INDEX('06-نتایج بازنگری'!$F$8:$F$1007,MATCH(K126,'06-نتایج بازنگری'!$A$8:$A$1007,0)),"")=G126),IF(J126="ابلاغ",AND(COUNTIFS('20-ابلاغ نتایج'!$A$8:$A$1007,K126)=1,IFERROR(INDEX('20-ابلاغ نتایج'!$E$8:$E$1007,MATCH(K126,'20-ابلاغ نتایج'!$A$8:$A$1007,0)),"")=B126,IFERROR(INDEX('20-ابلاغ نتایج'!$L$8:$L$1007,MATCH(K126,'20-ابلاغ نتایج'!$A$8:$A$1007,0)),"")="معتبر"),FALSE))))),"سابقه یا شواهد ناقص",IF(IFERROR(INDEX('18-دامنه استانداردها'!$J$8:$J$1007,MATCH(C126&amp;"|"&amp;G126,'18-دامنه استانداردها'!$A$8:$A$1007,0)),"")="تأیید شده","شواهد مرتبط ثبت شد؛ تأیید ممیز لازم",IF(IFERROR(INDEX('18-دامنه استانداردها'!$J$8:$J$1007,MATCH(C126&amp;"|"&amp;G126,'18-دامنه استانداردها'!$A$8:$A$1007,0)),"")="فرضی","پوشش فرضی؛ آموزشی","شواهد حاضر؛ تطبیق نسخه باز"))))))))</f>
        <v>سابقه یا شواهد ناقص</v>
      </c>
      <c r="O126" s="1" t="s">
        <v>1215</v>
      </c>
    </row>
    <row r="127" spans="1:15" ht="36" customHeight="1">
      <c r="A127" s="1" t="s">
        <v>1335</v>
      </c>
      <c r="B127" s="1" t="s">
        <v>530</v>
      </c>
      <c r="C127" s="1" t="s">
        <v>99</v>
      </c>
      <c r="D127" s="1" t="s">
        <v>529</v>
      </c>
      <c r="E127" s="1" t="s">
        <v>531</v>
      </c>
      <c r="F127" s="1" t="s">
        <v>338</v>
      </c>
      <c r="G127" s="3" t="str">
        <f>IF(A127="","",IFERROR(INDEX('02-ماتریس الزامات'!$B$8:$B$1007,MATCH(F127,'02-ماتریس الزامات'!$A$8:$A$1007,0)),""))</f>
        <v>OHS</v>
      </c>
      <c r="H127" s="3" t="str">
        <f>IF(A127="","",IFERROR(INDEX('02-ماتریس الزامات'!$D$8:$D$1007,MATCH(F127,'02-ماتریس الزامات'!$A$8:$A$1007,0)),""))</f>
        <v>9.3؛ شماره جزء تابع ویرایش</v>
      </c>
      <c r="I127" s="3" t="str">
        <f>IF(A127="","",IFERROR(INDEX('02-ماتریس الزامات'!$F$8:$F$1007,MATCH(F127,'02-ماتریس الزامات'!$A$8:$A$1007,0)),""))</f>
        <v>کفایت منابع</v>
      </c>
      <c r="J127" s="1" t="s">
        <v>174</v>
      </c>
      <c r="K127" s="1"/>
      <c r="L127" s="1"/>
      <c r="M127" s="1"/>
      <c r="N127" s="3" t="str">
        <f>IF(A127="","",IF(NOT(AND(COUNTIFS('13-کنترل انطباق'!$A$8:$A$1007,A127)=1,AND(COUNTIFS('17-جلسات و دوره‌ها'!$A$8:$A$1007,B127)=1,IFERROR(INDEX('17-جلسات و دوره‌ها'!$B$8:$B$1007,MATCH(B127,'17-جلسات و دوره‌ها'!$A$8:$A$1007,0)),"")=C127,IFERROR(INDEX('17-جلسات و دوره‌ها'!$C$8:$C$1007,MATCH(B127,'17-جلسات و دوره‌ها'!$A$8:$A$1007,0)),"")=D127),COUNTIFS('02-ماتریس الزامات'!$A$8:$A$1007,F127)=1,COUNTIFS('18-دامنه استانداردها'!$A$8:$A$1007,C127&amp;"|"&amp;G127)=1)),"شناسه یا دامنه نامعتبر",IF(IFERROR(INDEX('18-دامنه استانداردها'!$D$8:$D$1007,MATCH(C127&amp;"|"&amp;G127,'18-دامنه استانداردها'!$A$8:$A$1007,0)),"")="خیر",IF(AND(L127&lt;&gt;"",M127&lt;&gt;"",IFERROR(INDEX('18-دامنه استانداردها'!$H$8:$H$1007,MATCH(C127&amp;"|"&amp;G127,'18-دامنه استانداردها'!$A$8:$A$1007,0)),"")&lt;&gt;"",IFERROR(INDEX('18-دامنه استانداردها'!$I$8:$I$1007,MATCH(C127&amp;"|"&amp;G127,'18-دامنه استانداردها'!$A$8:$A$1007,0)),"")&lt;&gt;""),"عدم کاربرد مستند","عدم کاربرد بدون توجیه"),IF(IFERROR(INDEX('18-دامنه استانداردها'!$D$8:$D$1007,MATCH(C127&amp;"|"&amp;G127,'18-دامنه استانداردها'!$A$8:$A$1007,0)),"")&lt;&gt;"بله","دامنه نامشخص",IF(K127="","بررسی نشده؛ سابقه لازم",IF(NOT(IF(J127="ورودی",AND(COUNTIFS('03-ورودی‌های بازنگری'!$A$8:$A$1007,K127)=1,IFERROR(INDEX('03-ورودی‌های بازنگری'!$D$8:$D$1007,MATCH(K127,'03-ورودی‌های بازنگری'!$A$8:$A$1007,0)),"")=B127,IFERROR(INDEX('03-ورودی‌های بازنگری'!$R$8:$R$1007,MATCH(K127,'03-ورودی‌های بازنگری'!$A$8:$A$1007,0)),"")="معتبر"),IF(J127="تصمیم",AND(COUNTIFS('07-تصمیمات و مصوبات'!$A$8:$A$1007,K127)=1,IFERROR(INDEX('07-تصمیمات و مصوبات'!$B$8:$B$1007,MATCH(K127,'07-تصمیمات و مصوبات'!$A$8:$A$1007,0)),"")=B127,IFERROR(INDEX('07-تصمیمات و مصوبات'!$Z$8:$Z$1007,MATCH(K127,'07-تصمیمات و مصوبات'!$A$8:$A$1007,0)),"")="معتبر",COUNTIFS('15-روابط'!$B$8:$B$1007,K127,'15-روابط'!$C$8:$C$1007,"الزام",'15-روابط'!$D$8:$D$1007,F127,'15-روابط'!$E$8:$E$1007,"رابطه معتبر")&gt;0),IF(J127="نتیجه",AND(COUNTIFS('06-نتایج بازنگری'!$A$8:$A$1007,K127)=1,IFERROR(INDEX('06-نتایج بازنگری'!$D$8:$D$1007,MATCH(K127,'06-نتایج بازنگری'!$A$8:$A$1007,0)),"")=B127,IFERROR(INDEX('06-نتایج بازنگری'!$P$8:$P$1007,MATCH(K127,'06-نتایج بازنگری'!$A$8:$A$1007,0)),"")="معتبر",IFERROR(INDEX('06-نتایج بازنگری'!$F$8:$F$1007,MATCH(K127,'06-نتایج بازنگری'!$A$8:$A$1007,0)),"")=G127),IF(J127="ابلاغ",AND(COUNTIFS('20-ابلاغ نتایج'!$A$8:$A$1007,K127)=1,IFERROR(INDEX('20-ابلاغ نتایج'!$E$8:$E$1007,MATCH(K127,'20-ابلاغ نتایج'!$A$8:$A$1007,0)),"")=B127,IFERROR(INDEX('20-ابلاغ نتایج'!$L$8:$L$1007,MATCH(K127,'20-ابلاغ نتایج'!$A$8:$A$1007,0)),"")="معتبر"),FALSE))))),"سابقه یا شواهد ناقص",IF(IFERROR(INDEX('18-دامنه استانداردها'!$J$8:$J$1007,MATCH(C127&amp;"|"&amp;G127,'18-دامنه استانداردها'!$A$8:$A$1007,0)),"")="تأیید شده","شواهد مرتبط ثبت شد؛ تأیید ممیز لازم",IF(IFERROR(INDEX('18-دامنه استانداردها'!$J$8:$J$1007,MATCH(C127&amp;"|"&amp;G127,'18-دامنه استانداردها'!$A$8:$A$1007,0)),"")="فرضی","پوشش فرضی؛ آموزشی","شواهد حاضر؛ تطبیق نسخه باز"))))))))</f>
        <v>بررسی نشده؛ سابقه لازم</v>
      </c>
      <c r="O127" s="1" t="s">
        <v>1215</v>
      </c>
    </row>
    <row r="128" spans="1:15" ht="36" customHeight="1">
      <c r="A128" s="1" t="s">
        <v>1336</v>
      </c>
      <c r="B128" s="1" t="s">
        <v>83</v>
      </c>
      <c r="C128" s="1" t="s">
        <v>77</v>
      </c>
      <c r="D128" s="1" t="s">
        <v>80</v>
      </c>
      <c r="E128" s="1" t="s">
        <v>379</v>
      </c>
      <c r="F128" s="1" t="s">
        <v>339</v>
      </c>
      <c r="G128" s="3" t="str">
        <f>IF(A128="","",IFERROR(INDEX('02-ماتریس الزامات'!$B$8:$B$1007,MATCH(F128,'02-ماتریس الزامات'!$A$8:$A$1007,0)),""))</f>
        <v>OHS</v>
      </c>
      <c r="H128" s="3" t="str">
        <f>IF(A128="","",IFERROR(INDEX('02-ماتریس الزامات'!$D$8:$D$1007,MATCH(F128,'02-ماتریس الزامات'!$A$8:$A$1007,0)),""))</f>
        <v>9.3؛ شماره جزء تابع ویرایش</v>
      </c>
      <c r="I128" s="3" t="str">
        <f>IF(A128="","",IFERROR(INDEX('02-ماتریس الزامات'!$F$8:$F$1007,MATCH(F128,'02-ماتریس الزامات'!$A$8:$A$1007,0)),""))</f>
        <v>ریسک‌ها و فرصت‌ها</v>
      </c>
      <c r="J128" s="1" t="s">
        <v>174</v>
      </c>
      <c r="K128" s="1" t="s">
        <v>497</v>
      </c>
      <c r="L128" s="1"/>
      <c r="M128" s="1"/>
      <c r="N128" s="3" t="str">
        <f>IF(A128="","",IF(NOT(AND(COUNTIFS('13-کنترل انطباق'!$A$8:$A$1007,A128)=1,AND(COUNTIFS('17-جلسات و دوره‌ها'!$A$8:$A$1007,B128)=1,IFERROR(INDEX('17-جلسات و دوره‌ها'!$B$8:$B$1007,MATCH(B128,'17-جلسات و دوره‌ها'!$A$8:$A$1007,0)),"")=C128,IFERROR(INDEX('17-جلسات و دوره‌ها'!$C$8:$C$1007,MATCH(B128,'17-جلسات و دوره‌ها'!$A$8:$A$1007,0)),"")=D128),COUNTIFS('02-ماتریس الزامات'!$A$8:$A$1007,F128)=1,COUNTIFS('18-دامنه استانداردها'!$A$8:$A$1007,C128&amp;"|"&amp;G128)=1)),"شناسه یا دامنه نامعتبر",IF(IFERROR(INDEX('18-دامنه استانداردها'!$D$8:$D$1007,MATCH(C128&amp;"|"&amp;G128,'18-دامنه استانداردها'!$A$8:$A$1007,0)),"")="خیر",IF(AND(L128&lt;&gt;"",M128&lt;&gt;"",IFERROR(INDEX('18-دامنه استانداردها'!$H$8:$H$1007,MATCH(C128&amp;"|"&amp;G128,'18-دامنه استانداردها'!$A$8:$A$1007,0)),"")&lt;&gt;"",IFERROR(INDEX('18-دامنه استانداردها'!$I$8:$I$1007,MATCH(C128&amp;"|"&amp;G128,'18-دامنه استانداردها'!$A$8:$A$1007,0)),"")&lt;&gt;""),"عدم کاربرد مستند","عدم کاربرد بدون توجیه"),IF(IFERROR(INDEX('18-دامنه استانداردها'!$D$8:$D$1007,MATCH(C128&amp;"|"&amp;G128,'18-دامنه استانداردها'!$A$8:$A$1007,0)),"")&lt;&gt;"بله","دامنه نامشخص",IF(K128="","بررسی نشده؛ سابقه لازم",IF(NOT(IF(J128="ورودی",AND(COUNTIFS('03-ورودی‌های بازنگری'!$A$8:$A$1007,K128)=1,IFERROR(INDEX('03-ورودی‌های بازنگری'!$D$8:$D$1007,MATCH(K128,'03-ورودی‌های بازنگری'!$A$8:$A$1007,0)),"")=B128,IFERROR(INDEX('03-ورودی‌های بازنگری'!$R$8:$R$1007,MATCH(K128,'03-ورودی‌های بازنگری'!$A$8:$A$1007,0)),"")="معتبر"),IF(J128="تصمیم",AND(COUNTIFS('07-تصمیمات و مصوبات'!$A$8:$A$1007,K128)=1,IFERROR(INDEX('07-تصمیمات و مصوبات'!$B$8:$B$1007,MATCH(K128,'07-تصمیمات و مصوبات'!$A$8:$A$1007,0)),"")=B128,IFERROR(INDEX('07-تصمیمات و مصوبات'!$Z$8:$Z$1007,MATCH(K128,'07-تصمیمات و مصوبات'!$A$8:$A$1007,0)),"")="معتبر",COUNTIFS('15-روابط'!$B$8:$B$1007,K128,'15-روابط'!$C$8:$C$1007,"الزام",'15-روابط'!$D$8:$D$1007,F128,'15-روابط'!$E$8:$E$1007,"رابطه معتبر")&gt;0),IF(J128="نتیجه",AND(COUNTIFS('06-نتایج بازنگری'!$A$8:$A$1007,K128)=1,IFERROR(INDEX('06-نتایج بازنگری'!$D$8:$D$1007,MATCH(K128,'06-نتایج بازنگری'!$A$8:$A$1007,0)),"")=B128,IFERROR(INDEX('06-نتایج بازنگری'!$P$8:$P$1007,MATCH(K128,'06-نتایج بازنگری'!$A$8:$A$1007,0)),"")="معتبر",IFERROR(INDEX('06-نتایج بازنگری'!$F$8:$F$1007,MATCH(K128,'06-نتایج بازنگری'!$A$8:$A$1007,0)),"")=G128),IF(J128="ابلاغ",AND(COUNTIFS('20-ابلاغ نتایج'!$A$8:$A$1007,K128)=1,IFERROR(INDEX('20-ابلاغ نتایج'!$E$8:$E$1007,MATCH(K128,'20-ابلاغ نتایج'!$A$8:$A$1007,0)),"")=B128,IFERROR(INDEX('20-ابلاغ نتایج'!$L$8:$L$1007,MATCH(K128,'20-ابلاغ نتایج'!$A$8:$A$1007,0)),"")="معتبر"),FALSE))))),"سابقه یا شواهد ناقص",IF(IFERROR(INDEX('18-دامنه استانداردها'!$J$8:$J$1007,MATCH(C128&amp;"|"&amp;G128,'18-دامنه استانداردها'!$A$8:$A$1007,0)),"")="تأیید شده","شواهد مرتبط ثبت شد؛ تأیید ممیز لازم",IF(IFERROR(INDEX('18-دامنه استانداردها'!$J$8:$J$1007,MATCH(C128&amp;"|"&amp;G128,'18-دامنه استانداردها'!$A$8:$A$1007,0)),"")="فرضی","پوشش فرضی؛ آموزشی","شواهد حاضر؛ تطبیق نسخه باز"))))))))</f>
        <v>سابقه یا شواهد ناقص</v>
      </c>
      <c r="O128" s="1" t="s">
        <v>1215</v>
      </c>
    </row>
    <row r="129" spans="1:15" ht="36" customHeight="1">
      <c r="A129" s="1" t="s">
        <v>1337</v>
      </c>
      <c r="B129" s="1" t="s">
        <v>530</v>
      </c>
      <c r="C129" s="1" t="s">
        <v>99</v>
      </c>
      <c r="D129" s="1" t="s">
        <v>529</v>
      </c>
      <c r="E129" s="1" t="s">
        <v>531</v>
      </c>
      <c r="F129" s="1" t="s">
        <v>339</v>
      </c>
      <c r="G129" s="3" t="str">
        <f>IF(A129="","",IFERROR(INDEX('02-ماتریس الزامات'!$B$8:$B$1007,MATCH(F129,'02-ماتریس الزامات'!$A$8:$A$1007,0)),""))</f>
        <v>OHS</v>
      </c>
      <c r="H129" s="3" t="str">
        <f>IF(A129="","",IFERROR(INDEX('02-ماتریس الزامات'!$D$8:$D$1007,MATCH(F129,'02-ماتریس الزامات'!$A$8:$A$1007,0)),""))</f>
        <v>9.3؛ شماره جزء تابع ویرایش</v>
      </c>
      <c r="I129" s="3" t="str">
        <f>IF(A129="","",IFERROR(INDEX('02-ماتریس الزامات'!$F$8:$F$1007,MATCH(F129,'02-ماتریس الزامات'!$A$8:$A$1007,0)),""))</f>
        <v>ریسک‌ها و فرصت‌ها</v>
      </c>
      <c r="J129" s="1" t="s">
        <v>174</v>
      </c>
      <c r="K129" s="1"/>
      <c r="L129" s="1"/>
      <c r="M129" s="1"/>
      <c r="N129" s="3" t="str">
        <f>IF(A129="","",IF(NOT(AND(COUNTIFS('13-کنترل انطباق'!$A$8:$A$1007,A129)=1,AND(COUNTIFS('17-جلسات و دوره‌ها'!$A$8:$A$1007,B129)=1,IFERROR(INDEX('17-جلسات و دوره‌ها'!$B$8:$B$1007,MATCH(B129,'17-جلسات و دوره‌ها'!$A$8:$A$1007,0)),"")=C129,IFERROR(INDEX('17-جلسات و دوره‌ها'!$C$8:$C$1007,MATCH(B129,'17-جلسات و دوره‌ها'!$A$8:$A$1007,0)),"")=D129),COUNTIFS('02-ماتریس الزامات'!$A$8:$A$1007,F129)=1,COUNTIFS('18-دامنه استانداردها'!$A$8:$A$1007,C129&amp;"|"&amp;G129)=1)),"شناسه یا دامنه نامعتبر",IF(IFERROR(INDEX('18-دامنه استانداردها'!$D$8:$D$1007,MATCH(C129&amp;"|"&amp;G129,'18-دامنه استانداردها'!$A$8:$A$1007,0)),"")="خیر",IF(AND(L129&lt;&gt;"",M129&lt;&gt;"",IFERROR(INDEX('18-دامنه استانداردها'!$H$8:$H$1007,MATCH(C129&amp;"|"&amp;G129,'18-دامنه استانداردها'!$A$8:$A$1007,0)),"")&lt;&gt;"",IFERROR(INDEX('18-دامنه استانداردها'!$I$8:$I$1007,MATCH(C129&amp;"|"&amp;G129,'18-دامنه استانداردها'!$A$8:$A$1007,0)),"")&lt;&gt;""),"عدم کاربرد مستند","عدم کاربرد بدون توجیه"),IF(IFERROR(INDEX('18-دامنه استانداردها'!$D$8:$D$1007,MATCH(C129&amp;"|"&amp;G129,'18-دامنه استانداردها'!$A$8:$A$1007,0)),"")&lt;&gt;"بله","دامنه نامشخص",IF(K129="","بررسی نشده؛ سابقه لازم",IF(NOT(IF(J129="ورودی",AND(COUNTIFS('03-ورودی‌های بازنگری'!$A$8:$A$1007,K129)=1,IFERROR(INDEX('03-ورودی‌های بازنگری'!$D$8:$D$1007,MATCH(K129,'03-ورودی‌های بازنگری'!$A$8:$A$1007,0)),"")=B129,IFERROR(INDEX('03-ورودی‌های بازنگری'!$R$8:$R$1007,MATCH(K129,'03-ورودی‌های بازنگری'!$A$8:$A$1007,0)),"")="معتبر"),IF(J129="تصمیم",AND(COUNTIFS('07-تصمیمات و مصوبات'!$A$8:$A$1007,K129)=1,IFERROR(INDEX('07-تصمیمات و مصوبات'!$B$8:$B$1007,MATCH(K129,'07-تصمیمات و مصوبات'!$A$8:$A$1007,0)),"")=B129,IFERROR(INDEX('07-تصمیمات و مصوبات'!$Z$8:$Z$1007,MATCH(K129,'07-تصمیمات و مصوبات'!$A$8:$A$1007,0)),"")="معتبر",COUNTIFS('15-روابط'!$B$8:$B$1007,K129,'15-روابط'!$C$8:$C$1007,"الزام",'15-روابط'!$D$8:$D$1007,F129,'15-روابط'!$E$8:$E$1007,"رابطه معتبر")&gt;0),IF(J129="نتیجه",AND(COUNTIFS('06-نتایج بازنگری'!$A$8:$A$1007,K129)=1,IFERROR(INDEX('06-نتایج بازنگری'!$D$8:$D$1007,MATCH(K129,'06-نتایج بازنگری'!$A$8:$A$1007,0)),"")=B129,IFERROR(INDEX('06-نتایج بازنگری'!$P$8:$P$1007,MATCH(K129,'06-نتایج بازنگری'!$A$8:$A$1007,0)),"")="معتبر",IFERROR(INDEX('06-نتایج بازنگری'!$F$8:$F$1007,MATCH(K129,'06-نتایج بازنگری'!$A$8:$A$1007,0)),"")=G129),IF(J129="ابلاغ",AND(COUNTIFS('20-ابلاغ نتایج'!$A$8:$A$1007,K129)=1,IFERROR(INDEX('20-ابلاغ نتایج'!$E$8:$E$1007,MATCH(K129,'20-ابلاغ نتایج'!$A$8:$A$1007,0)),"")=B129,IFERROR(INDEX('20-ابلاغ نتایج'!$L$8:$L$1007,MATCH(K129,'20-ابلاغ نتایج'!$A$8:$A$1007,0)),"")="معتبر"),FALSE))))),"سابقه یا شواهد ناقص",IF(IFERROR(INDEX('18-دامنه استانداردها'!$J$8:$J$1007,MATCH(C129&amp;"|"&amp;G129,'18-دامنه استانداردها'!$A$8:$A$1007,0)),"")="تأیید شده","شواهد مرتبط ثبت شد؛ تأیید ممیز لازم",IF(IFERROR(INDEX('18-دامنه استانداردها'!$J$8:$J$1007,MATCH(C129&amp;"|"&amp;G129,'18-دامنه استانداردها'!$A$8:$A$1007,0)),"")="فرضی","پوشش فرضی؛ آموزشی","شواهد حاضر؛ تطبیق نسخه باز"))))))))</f>
        <v>بررسی نشده؛ سابقه لازم</v>
      </c>
      <c r="O129" s="1" t="s">
        <v>1215</v>
      </c>
    </row>
    <row r="130" spans="1:15" ht="36" customHeight="1">
      <c r="A130" s="1" t="s">
        <v>1338</v>
      </c>
      <c r="B130" s="1" t="s">
        <v>83</v>
      </c>
      <c r="C130" s="1" t="s">
        <v>77</v>
      </c>
      <c r="D130" s="1" t="s">
        <v>80</v>
      </c>
      <c r="E130" s="1" t="s">
        <v>379</v>
      </c>
      <c r="F130" s="1" t="s">
        <v>340</v>
      </c>
      <c r="G130" s="3" t="str">
        <f>IF(A130="","",IFERROR(INDEX('02-ماتریس الزامات'!$B$8:$B$1007,MATCH(F130,'02-ماتریس الزامات'!$A$8:$A$1007,0)),""))</f>
        <v>OHS</v>
      </c>
      <c r="H130" s="3" t="str">
        <f>IF(A130="","",IFERROR(INDEX('02-ماتریس الزامات'!$D$8:$D$1007,MATCH(F130,'02-ماتریس الزامات'!$A$8:$A$1007,0)),""))</f>
        <v>9.3؛ شماره جزء تابع ویرایش</v>
      </c>
      <c r="I130" s="3" t="str">
        <f>IF(A130="","",IFERROR(INDEX('02-ماتریس الزامات'!$F$8:$F$1007,MATCH(F130,'02-ماتریس الزامات'!$A$8:$A$1007,0)),""))</f>
        <v>ارتباطات و شکایات</v>
      </c>
      <c r="J130" s="1" t="s">
        <v>174</v>
      </c>
      <c r="K130" s="1" t="s">
        <v>407</v>
      </c>
      <c r="L130" s="1"/>
      <c r="M130" s="1"/>
      <c r="N130" s="3" t="str">
        <f>IF(A130="","",IF(NOT(AND(COUNTIFS('13-کنترل انطباق'!$A$8:$A$1007,A130)=1,AND(COUNTIFS('17-جلسات و دوره‌ها'!$A$8:$A$1007,B130)=1,IFERROR(INDEX('17-جلسات و دوره‌ها'!$B$8:$B$1007,MATCH(B130,'17-جلسات و دوره‌ها'!$A$8:$A$1007,0)),"")=C130,IFERROR(INDEX('17-جلسات و دوره‌ها'!$C$8:$C$1007,MATCH(B130,'17-جلسات و دوره‌ها'!$A$8:$A$1007,0)),"")=D130),COUNTIFS('02-ماتریس الزامات'!$A$8:$A$1007,F130)=1,COUNTIFS('18-دامنه استانداردها'!$A$8:$A$1007,C130&amp;"|"&amp;G130)=1)),"شناسه یا دامنه نامعتبر",IF(IFERROR(INDEX('18-دامنه استانداردها'!$D$8:$D$1007,MATCH(C130&amp;"|"&amp;G130,'18-دامنه استانداردها'!$A$8:$A$1007,0)),"")="خیر",IF(AND(L130&lt;&gt;"",M130&lt;&gt;"",IFERROR(INDEX('18-دامنه استانداردها'!$H$8:$H$1007,MATCH(C130&amp;"|"&amp;G130,'18-دامنه استانداردها'!$A$8:$A$1007,0)),"")&lt;&gt;"",IFERROR(INDEX('18-دامنه استانداردها'!$I$8:$I$1007,MATCH(C130&amp;"|"&amp;G130,'18-دامنه استانداردها'!$A$8:$A$1007,0)),"")&lt;&gt;""),"عدم کاربرد مستند","عدم کاربرد بدون توجیه"),IF(IFERROR(INDEX('18-دامنه استانداردها'!$D$8:$D$1007,MATCH(C130&amp;"|"&amp;G130,'18-دامنه استانداردها'!$A$8:$A$1007,0)),"")&lt;&gt;"بله","دامنه نامشخص",IF(K130="","بررسی نشده؛ سابقه لازم",IF(NOT(IF(J130="ورودی",AND(COUNTIFS('03-ورودی‌های بازنگری'!$A$8:$A$1007,K130)=1,IFERROR(INDEX('03-ورودی‌های بازنگری'!$D$8:$D$1007,MATCH(K130,'03-ورودی‌های بازنگری'!$A$8:$A$1007,0)),"")=B130,IFERROR(INDEX('03-ورودی‌های بازنگری'!$R$8:$R$1007,MATCH(K130,'03-ورودی‌های بازنگری'!$A$8:$A$1007,0)),"")="معتبر"),IF(J130="تصمیم",AND(COUNTIFS('07-تصمیمات و مصوبات'!$A$8:$A$1007,K130)=1,IFERROR(INDEX('07-تصمیمات و مصوبات'!$B$8:$B$1007,MATCH(K130,'07-تصمیمات و مصوبات'!$A$8:$A$1007,0)),"")=B130,IFERROR(INDEX('07-تصمیمات و مصوبات'!$Z$8:$Z$1007,MATCH(K130,'07-تصمیمات و مصوبات'!$A$8:$A$1007,0)),"")="معتبر",COUNTIFS('15-روابط'!$B$8:$B$1007,K130,'15-روابط'!$C$8:$C$1007,"الزام",'15-روابط'!$D$8:$D$1007,F130,'15-روابط'!$E$8:$E$1007,"رابطه معتبر")&gt;0),IF(J130="نتیجه",AND(COUNTIFS('06-نتایج بازنگری'!$A$8:$A$1007,K130)=1,IFERROR(INDEX('06-نتایج بازنگری'!$D$8:$D$1007,MATCH(K130,'06-نتایج بازنگری'!$A$8:$A$1007,0)),"")=B130,IFERROR(INDEX('06-نتایج بازنگری'!$P$8:$P$1007,MATCH(K130,'06-نتایج بازنگری'!$A$8:$A$1007,0)),"")="معتبر",IFERROR(INDEX('06-نتایج بازنگری'!$F$8:$F$1007,MATCH(K130,'06-نتایج بازنگری'!$A$8:$A$1007,0)),"")=G130),IF(J130="ابلاغ",AND(COUNTIFS('20-ابلاغ نتایج'!$A$8:$A$1007,K130)=1,IFERROR(INDEX('20-ابلاغ نتایج'!$E$8:$E$1007,MATCH(K130,'20-ابلاغ نتایج'!$A$8:$A$1007,0)),"")=B130,IFERROR(INDEX('20-ابلاغ نتایج'!$L$8:$L$1007,MATCH(K130,'20-ابلاغ نتایج'!$A$8:$A$1007,0)),"")="معتبر"),FALSE))))),"سابقه یا شواهد ناقص",IF(IFERROR(INDEX('18-دامنه استانداردها'!$J$8:$J$1007,MATCH(C130&amp;"|"&amp;G130,'18-دامنه استانداردها'!$A$8:$A$1007,0)),"")="تأیید شده","شواهد مرتبط ثبت شد؛ تأیید ممیز لازم",IF(IFERROR(INDEX('18-دامنه استانداردها'!$J$8:$J$1007,MATCH(C130&amp;"|"&amp;G130,'18-دامنه استانداردها'!$A$8:$A$1007,0)),"")="فرضی","پوشش فرضی؛ آموزشی","شواهد حاضر؛ تطبیق نسخه باز"))))))))</f>
        <v>سابقه یا شواهد ناقص</v>
      </c>
      <c r="O130" s="1" t="s">
        <v>1215</v>
      </c>
    </row>
    <row r="131" spans="1:15" ht="36" customHeight="1">
      <c r="A131" s="1" t="s">
        <v>1339</v>
      </c>
      <c r="B131" s="1" t="s">
        <v>530</v>
      </c>
      <c r="C131" s="1" t="s">
        <v>99</v>
      </c>
      <c r="D131" s="1" t="s">
        <v>529</v>
      </c>
      <c r="E131" s="1" t="s">
        <v>531</v>
      </c>
      <c r="F131" s="1" t="s">
        <v>340</v>
      </c>
      <c r="G131" s="3" t="str">
        <f>IF(A131="","",IFERROR(INDEX('02-ماتریس الزامات'!$B$8:$B$1007,MATCH(F131,'02-ماتریس الزامات'!$A$8:$A$1007,0)),""))</f>
        <v>OHS</v>
      </c>
      <c r="H131" s="3" t="str">
        <f>IF(A131="","",IFERROR(INDEX('02-ماتریس الزامات'!$D$8:$D$1007,MATCH(F131,'02-ماتریس الزامات'!$A$8:$A$1007,0)),""))</f>
        <v>9.3؛ شماره جزء تابع ویرایش</v>
      </c>
      <c r="I131" s="3" t="str">
        <f>IF(A131="","",IFERROR(INDEX('02-ماتریس الزامات'!$F$8:$F$1007,MATCH(F131,'02-ماتریس الزامات'!$A$8:$A$1007,0)),""))</f>
        <v>ارتباطات و شکایات</v>
      </c>
      <c r="J131" s="1" t="s">
        <v>174</v>
      </c>
      <c r="K131" s="1"/>
      <c r="L131" s="1"/>
      <c r="M131" s="1"/>
      <c r="N131" s="3" t="str">
        <f>IF(A131="","",IF(NOT(AND(COUNTIFS('13-کنترل انطباق'!$A$8:$A$1007,A131)=1,AND(COUNTIFS('17-جلسات و دوره‌ها'!$A$8:$A$1007,B131)=1,IFERROR(INDEX('17-جلسات و دوره‌ها'!$B$8:$B$1007,MATCH(B131,'17-جلسات و دوره‌ها'!$A$8:$A$1007,0)),"")=C131,IFERROR(INDEX('17-جلسات و دوره‌ها'!$C$8:$C$1007,MATCH(B131,'17-جلسات و دوره‌ها'!$A$8:$A$1007,0)),"")=D131),COUNTIFS('02-ماتریس الزامات'!$A$8:$A$1007,F131)=1,COUNTIFS('18-دامنه استانداردها'!$A$8:$A$1007,C131&amp;"|"&amp;G131)=1)),"شناسه یا دامنه نامعتبر",IF(IFERROR(INDEX('18-دامنه استانداردها'!$D$8:$D$1007,MATCH(C131&amp;"|"&amp;G131,'18-دامنه استانداردها'!$A$8:$A$1007,0)),"")="خیر",IF(AND(L131&lt;&gt;"",M131&lt;&gt;"",IFERROR(INDEX('18-دامنه استانداردها'!$H$8:$H$1007,MATCH(C131&amp;"|"&amp;G131,'18-دامنه استانداردها'!$A$8:$A$1007,0)),"")&lt;&gt;"",IFERROR(INDEX('18-دامنه استانداردها'!$I$8:$I$1007,MATCH(C131&amp;"|"&amp;G131,'18-دامنه استانداردها'!$A$8:$A$1007,0)),"")&lt;&gt;""),"عدم کاربرد مستند","عدم کاربرد بدون توجیه"),IF(IFERROR(INDEX('18-دامنه استانداردها'!$D$8:$D$1007,MATCH(C131&amp;"|"&amp;G131,'18-دامنه استانداردها'!$A$8:$A$1007,0)),"")&lt;&gt;"بله","دامنه نامشخص",IF(K131="","بررسی نشده؛ سابقه لازم",IF(NOT(IF(J131="ورودی",AND(COUNTIFS('03-ورودی‌های بازنگری'!$A$8:$A$1007,K131)=1,IFERROR(INDEX('03-ورودی‌های بازنگری'!$D$8:$D$1007,MATCH(K131,'03-ورودی‌های بازنگری'!$A$8:$A$1007,0)),"")=B131,IFERROR(INDEX('03-ورودی‌های بازنگری'!$R$8:$R$1007,MATCH(K131,'03-ورودی‌های بازنگری'!$A$8:$A$1007,0)),"")="معتبر"),IF(J131="تصمیم",AND(COUNTIFS('07-تصمیمات و مصوبات'!$A$8:$A$1007,K131)=1,IFERROR(INDEX('07-تصمیمات و مصوبات'!$B$8:$B$1007,MATCH(K131,'07-تصمیمات و مصوبات'!$A$8:$A$1007,0)),"")=B131,IFERROR(INDEX('07-تصمیمات و مصوبات'!$Z$8:$Z$1007,MATCH(K131,'07-تصمیمات و مصوبات'!$A$8:$A$1007,0)),"")="معتبر",COUNTIFS('15-روابط'!$B$8:$B$1007,K131,'15-روابط'!$C$8:$C$1007,"الزام",'15-روابط'!$D$8:$D$1007,F131,'15-روابط'!$E$8:$E$1007,"رابطه معتبر")&gt;0),IF(J131="نتیجه",AND(COUNTIFS('06-نتایج بازنگری'!$A$8:$A$1007,K131)=1,IFERROR(INDEX('06-نتایج بازنگری'!$D$8:$D$1007,MATCH(K131,'06-نتایج بازنگری'!$A$8:$A$1007,0)),"")=B131,IFERROR(INDEX('06-نتایج بازنگری'!$P$8:$P$1007,MATCH(K131,'06-نتایج بازنگری'!$A$8:$A$1007,0)),"")="معتبر",IFERROR(INDEX('06-نتایج بازنگری'!$F$8:$F$1007,MATCH(K131,'06-نتایج بازنگری'!$A$8:$A$1007,0)),"")=G131),IF(J131="ابلاغ",AND(COUNTIFS('20-ابلاغ نتایج'!$A$8:$A$1007,K131)=1,IFERROR(INDEX('20-ابلاغ نتایج'!$E$8:$E$1007,MATCH(K131,'20-ابلاغ نتایج'!$A$8:$A$1007,0)),"")=B131,IFERROR(INDEX('20-ابلاغ نتایج'!$L$8:$L$1007,MATCH(K131,'20-ابلاغ نتایج'!$A$8:$A$1007,0)),"")="معتبر"),FALSE))))),"سابقه یا شواهد ناقص",IF(IFERROR(INDEX('18-دامنه استانداردها'!$J$8:$J$1007,MATCH(C131&amp;"|"&amp;G131,'18-دامنه استانداردها'!$A$8:$A$1007,0)),"")="تأیید شده","شواهد مرتبط ثبت شد؛ تأیید ممیز لازم",IF(IFERROR(INDEX('18-دامنه استانداردها'!$J$8:$J$1007,MATCH(C131&amp;"|"&amp;G131,'18-دامنه استانداردها'!$A$8:$A$1007,0)),"")="فرضی","پوشش فرضی؛ آموزشی","شواهد حاضر؛ تطبیق نسخه باز"))))))))</f>
        <v>بررسی نشده؛ سابقه لازم</v>
      </c>
      <c r="O131" s="1" t="s">
        <v>1215</v>
      </c>
    </row>
    <row r="132" spans="1:15" ht="36" customHeight="1">
      <c r="A132" s="1" t="s">
        <v>1340</v>
      </c>
      <c r="B132" s="1" t="s">
        <v>83</v>
      </c>
      <c r="C132" s="1" t="s">
        <v>77</v>
      </c>
      <c r="D132" s="1" t="s">
        <v>80</v>
      </c>
      <c r="E132" s="1" t="s">
        <v>379</v>
      </c>
      <c r="F132" s="1" t="s">
        <v>341</v>
      </c>
      <c r="G132" s="3" t="str">
        <f>IF(A132="","",IFERROR(INDEX('02-ماتریس الزامات'!$B$8:$B$1007,MATCH(F132,'02-ماتریس الزامات'!$A$8:$A$1007,0)),""))</f>
        <v>OHS</v>
      </c>
      <c r="H132" s="3" t="str">
        <f>IF(A132="","",IFERROR(INDEX('02-ماتریس الزامات'!$D$8:$D$1007,MATCH(F132,'02-ماتریس الزامات'!$A$8:$A$1007,0)),""))</f>
        <v>9.3؛ شماره جزء تابع ویرایش</v>
      </c>
      <c r="I132" s="3" t="str">
        <f>IF(A132="","",IFERROR(INDEX('02-ماتریس الزامات'!$F$8:$F$1007,MATCH(F132,'02-ماتریس الزامات'!$A$8:$A$1007,0)),""))</f>
        <v>فرصت‌های بهبود</v>
      </c>
      <c r="J132" s="1" t="s">
        <v>174</v>
      </c>
      <c r="K132" s="1" t="s">
        <v>402</v>
      </c>
      <c r="L132" s="1"/>
      <c r="M132" s="1"/>
      <c r="N132" s="3" t="str">
        <f>IF(A132="","",IF(NOT(AND(COUNTIFS('13-کنترل انطباق'!$A$8:$A$1007,A132)=1,AND(COUNTIFS('17-جلسات و دوره‌ها'!$A$8:$A$1007,B132)=1,IFERROR(INDEX('17-جلسات و دوره‌ها'!$B$8:$B$1007,MATCH(B132,'17-جلسات و دوره‌ها'!$A$8:$A$1007,0)),"")=C132,IFERROR(INDEX('17-جلسات و دوره‌ها'!$C$8:$C$1007,MATCH(B132,'17-جلسات و دوره‌ها'!$A$8:$A$1007,0)),"")=D132),COUNTIFS('02-ماتریس الزامات'!$A$8:$A$1007,F132)=1,COUNTIFS('18-دامنه استانداردها'!$A$8:$A$1007,C132&amp;"|"&amp;G132)=1)),"شناسه یا دامنه نامعتبر",IF(IFERROR(INDEX('18-دامنه استانداردها'!$D$8:$D$1007,MATCH(C132&amp;"|"&amp;G132,'18-دامنه استانداردها'!$A$8:$A$1007,0)),"")="خیر",IF(AND(L132&lt;&gt;"",M132&lt;&gt;"",IFERROR(INDEX('18-دامنه استانداردها'!$H$8:$H$1007,MATCH(C132&amp;"|"&amp;G132,'18-دامنه استانداردها'!$A$8:$A$1007,0)),"")&lt;&gt;"",IFERROR(INDEX('18-دامنه استانداردها'!$I$8:$I$1007,MATCH(C132&amp;"|"&amp;G132,'18-دامنه استانداردها'!$A$8:$A$1007,0)),"")&lt;&gt;""),"عدم کاربرد مستند","عدم کاربرد بدون توجیه"),IF(IFERROR(INDEX('18-دامنه استانداردها'!$D$8:$D$1007,MATCH(C132&amp;"|"&amp;G132,'18-دامنه استانداردها'!$A$8:$A$1007,0)),"")&lt;&gt;"بله","دامنه نامشخص",IF(K132="","بررسی نشده؛ سابقه لازم",IF(NOT(IF(J132="ورودی",AND(COUNTIFS('03-ورودی‌های بازنگری'!$A$8:$A$1007,K132)=1,IFERROR(INDEX('03-ورودی‌های بازنگری'!$D$8:$D$1007,MATCH(K132,'03-ورودی‌های بازنگری'!$A$8:$A$1007,0)),"")=B132,IFERROR(INDEX('03-ورودی‌های بازنگری'!$R$8:$R$1007,MATCH(K132,'03-ورودی‌های بازنگری'!$A$8:$A$1007,0)),"")="معتبر"),IF(J132="تصمیم",AND(COUNTIFS('07-تصمیمات و مصوبات'!$A$8:$A$1007,K132)=1,IFERROR(INDEX('07-تصمیمات و مصوبات'!$B$8:$B$1007,MATCH(K132,'07-تصمیمات و مصوبات'!$A$8:$A$1007,0)),"")=B132,IFERROR(INDEX('07-تصمیمات و مصوبات'!$Z$8:$Z$1007,MATCH(K132,'07-تصمیمات و مصوبات'!$A$8:$A$1007,0)),"")="معتبر",COUNTIFS('15-روابط'!$B$8:$B$1007,K132,'15-روابط'!$C$8:$C$1007,"الزام",'15-روابط'!$D$8:$D$1007,F132,'15-روابط'!$E$8:$E$1007,"رابطه معتبر")&gt;0),IF(J132="نتیجه",AND(COUNTIFS('06-نتایج بازنگری'!$A$8:$A$1007,K132)=1,IFERROR(INDEX('06-نتایج بازنگری'!$D$8:$D$1007,MATCH(K132,'06-نتایج بازنگری'!$A$8:$A$1007,0)),"")=B132,IFERROR(INDEX('06-نتایج بازنگری'!$P$8:$P$1007,MATCH(K132,'06-نتایج بازنگری'!$A$8:$A$1007,0)),"")="معتبر",IFERROR(INDEX('06-نتایج بازنگری'!$F$8:$F$1007,MATCH(K132,'06-نتایج بازنگری'!$A$8:$A$1007,0)),"")=G132),IF(J132="ابلاغ",AND(COUNTIFS('20-ابلاغ نتایج'!$A$8:$A$1007,K132)=1,IFERROR(INDEX('20-ابلاغ نتایج'!$E$8:$E$1007,MATCH(K132,'20-ابلاغ نتایج'!$A$8:$A$1007,0)),"")=B132,IFERROR(INDEX('20-ابلاغ نتایج'!$L$8:$L$1007,MATCH(K132,'20-ابلاغ نتایج'!$A$8:$A$1007,0)),"")="معتبر"),FALSE))))),"سابقه یا شواهد ناقص",IF(IFERROR(INDEX('18-دامنه استانداردها'!$J$8:$J$1007,MATCH(C132&amp;"|"&amp;G132,'18-دامنه استانداردها'!$A$8:$A$1007,0)),"")="تأیید شده","شواهد مرتبط ثبت شد؛ تأیید ممیز لازم",IF(IFERROR(INDEX('18-دامنه استانداردها'!$J$8:$J$1007,MATCH(C132&amp;"|"&amp;G132,'18-دامنه استانداردها'!$A$8:$A$1007,0)),"")="فرضی","پوشش فرضی؛ آموزشی","شواهد حاضر؛ تطبیق نسخه باز"))))))))</f>
        <v>سابقه یا شواهد ناقص</v>
      </c>
      <c r="O132" s="1" t="s">
        <v>1215</v>
      </c>
    </row>
    <row r="133" spans="1:15" ht="36" customHeight="1">
      <c r="A133" s="1" t="s">
        <v>1341</v>
      </c>
      <c r="B133" s="1" t="s">
        <v>530</v>
      </c>
      <c r="C133" s="1" t="s">
        <v>99</v>
      </c>
      <c r="D133" s="1" t="s">
        <v>529</v>
      </c>
      <c r="E133" s="1" t="s">
        <v>531</v>
      </c>
      <c r="F133" s="1" t="s">
        <v>341</v>
      </c>
      <c r="G133" s="3" t="str">
        <f>IF(A133="","",IFERROR(INDEX('02-ماتریس الزامات'!$B$8:$B$1007,MATCH(F133,'02-ماتریس الزامات'!$A$8:$A$1007,0)),""))</f>
        <v>OHS</v>
      </c>
      <c r="H133" s="3" t="str">
        <f>IF(A133="","",IFERROR(INDEX('02-ماتریس الزامات'!$D$8:$D$1007,MATCH(F133,'02-ماتریس الزامات'!$A$8:$A$1007,0)),""))</f>
        <v>9.3؛ شماره جزء تابع ویرایش</v>
      </c>
      <c r="I133" s="3" t="str">
        <f>IF(A133="","",IFERROR(INDEX('02-ماتریس الزامات'!$F$8:$F$1007,MATCH(F133,'02-ماتریس الزامات'!$A$8:$A$1007,0)),""))</f>
        <v>فرصت‌های بهبود</v>
      </c>
      <c r="J133" s="1" t="s">
        <v>174</v>
      </c>
      <c r="K133" s="1"/>
      <c r="L133" s="1"/>
      <c r="M133" s="1"/>
      <c r="N133" s="3" t="str">
        <f>IF(A133="","",IF(NOT(AND(COUNTIFS('13-کنترل انطباق'!$A$8:$A$1007,A133)=1,AND(COUNTIFS('17-جلسات و دوره‌ها'!$A$8:$A$1007,B133)=1,IFERROR(INDEX('17-جلسات و دوره‌ها'!$B$8:$B$1007,MATCH(B133,'17-جلسات و دوره‌ها'!$A$8:$A$1007,0)),"")=C133,IFERROR(INDEX('17-جلسات و دوره‌ها'!$C$8:$C$1007,MATCH(B133,'17-جلسات و دوره‌ها'!$A$8:$A$1007,0)),"")=D133),COUNTIFS('02-ماتریس الزامات'!$A$8:$A$1007,F133)=1,COUNTIFS('18-دامنه استانداردها'!$A$8:$A$1007,C133&amp;"|"&amp;G133)=1)),"شناسه یا دامنه نامعتبر",IF(IFERROR(INDEX('18-دامنه استانداردها'!$D$8:$D$1007,MATCH(C133&amp;"|"&amp;G133,'18-دامنه استانداردها'!$A$8:$A$1007,0)),"")="خیر",IF(AND(L133&lt;&gt;"",M133&lt;&gt;"",IFERROR(INDEX('18-دامنه استانداردها'!$H$8:$H$1007,MATCH(C133&amp;"|"&amp;G133,'18-دامنه استانداردها'!$A$8:$A$1007,0)),"")&lt;&gt;"",IFERROR(INDEX('18-دامنه استانداردها'!$I$8:$I$1007,MATCH(C133&amp;"|"&amp;G133,'18-دامنه استانداردها'!$A$8:$A$1007,0)),"")&lt;&gt;""),"عدم کاربرد مستند","عدم کاربرد بدون توجیه"),IF(IFERROR(INDEX('18-دامنه استانداردها'!$D$8:$D$1007,MATCH(C133&amp;"|"&amp;G133,'18-دامنه استانداردها'!$A$8:$A$1007,0)),"")&lt;&gt;"بله","دامنه نامشخص",IF(K133="","بررسی نشده؛ سابقه لازم",IF(NOT(IF(J133="ورودی",AND(COUNTIFS('03-ورودی‌های بازنگری'!$A$8:$A$1007,K133)=1,IFERROR(INDEX('03-ورودی‌های بازنگری'!$D$8:$D$1007,MATCH(K133,'03-ورودی‌های بازنگری'!$A$8:$A$1007,0)),"")=B133,IFERROR(INDEX('03-ورودی‌های بازنگری'!$R$8:$R$1007,MATCH(K133,'03-ورودی‌های بازنگری'!$A$8:$A$1007,0)),"")="معتبر"),IF(J133="تصمیم",AND(COUNTIFS('07-تصمیمات و مصوبات'!$A$8:$A$1007,K133)=1,IFERROR(INDEX('07-تصمیمات و مصوبات'!$B$8:$B$1007,MATCH(K133,'07-تصمیمات و مصوبات'!$A$8:$A$1007,0)),"")=B133,IFERROR(INDEX('07-تصمیمات و مصوبات'!$Z$8:$Z$1007,MATCH(K133,'07-تصمیمات و مصوبات'!$A$8:$A$1007,0)),"")="معتبر",COUNTIFS('15-روابط'!$B$8:$B$1007,K133,'15-روابط'!$C$8:$C$1007,"الزام",'15-روابط'!$D$8:$D$1007,F133,'15-روابط'!$E$8:$E$1007,"رابطه معتبر")&gt;0),IF(J133="نتیجه",AND(COUNTIFS('06-نتایج بازنگری'!$A$8:$A$1007,K133)=1,IFERROR(INDEX('06-نتایج بازنگری'!$D$8:$D$1007,MATCH(K133,'06-نتایج بازنگری'!$A$8:$A$1007,0)),"")=B133,IFERROR(INDEX('06-نتایج بازنگری'!$P$8:$P$1007,MATCH(K133,'06-نتایج بازنگری'!$A$8:$A$1007,0)),"")="معتبر",IFERROR(INDEX('06-نتایج بازنگری'!$F$8:$F$1007,MATCH(K133,'06-نتایج بازنگری'!$A$8:$A$1007,0)),"")=G133),IF(J133="ابلاغ",AND(COUNTIFS('20-ابلاغ نتایج'!$A$8:$A$1007,K133)=1,IFERROR(INDEX('20-ابلاغ نتایج'!$E$8:$E$1007,MATCH(K133,'20-ابلاغ نتایج'!$A$8:$A$1007,0)),"")=B133,IFERROR(INDEX('20-ابلاغ نتایج'!$L$8:$L$1007,MATCH(K133,'20-ابلاغ نتایج'!$A$8:$A$1007,0)),"")="معتبر"),FALSE))))),"سابقه یا شواهد ناقص",IF(IFERROR(INDEX('18-دامنه استانداردها'!$J$8:$J$1007,MATCH(C133&amp;"|"&amp;G133,'18-دامنه استانداردها'!$A$8:$A$1007,0)),"")="تأیید شده","شواهد مرتبط ثبت شد؛ تأیید ممیز لازم",IF(IFERROR(INDEX('18-دامنه استانداردها'!$J$8:$J$1007,MATCH(C133&amp;"|"&amp;G133,'18-دامنه استانداردها'!$A$8:$A$1007,0)),"")="فرضی","پوشش فرضی؛ آموزشی","شواهد حاضر؛ تطبیق نسخه باز"))))))))</f>
        <v>بررسی نشده؛ سابقه لازم</v>
      </c>
      <c r="O133" s="1" t="s">
        <v>1215</v>
      </c>
    </row>
    <row r="134" spans="1:15" ht="36" customHeight="1">
      <c r="A134" s="1" t="s">
        <v>1342</v>
      </c>
      <c r="B134" s="1" t="s">
        <v>83</v>
      </c>
      <c r="C134" s="1" t="s">
        <v>77</v>
      </c>
      <c r="D134" s="1" t="s">
        <v>80</v>
      </c>
      <c r="E134" s="1" t="s">
        <v>379</v>
      </c>
      <c r="F134" s="1" t="s">
        <v>342</v>
      </c>
      <c r="G134" s="3" t="str">
        <f>IF(A134="","",IFERROR(INDEX('02-ماتریس الزامات'!$B$8:$B$1007,MATCH(F134,'02-ماتریس الزامات'!$A$8:$A$1007,0)),""))</f>
        <v>OHS</v>
      </c>
      <c r="H134" s="3" t="str">
        <f>IF(A134="","",IFERROR(INDEX('02-ماتریس الزامات'!$D$8:$D$1007,MATCH(F134,'02-ماتریس الزامات'!$A$8:$A$1007,0)),""))</f>
        <v>9.3؛ شماره جزء تابع ویرایش</v>
      </c>
      <c r="I134" s="3" t="str">
        <f>IF(A134="","",IFERROR(INDEX('02-ماتریس الزامات'!$F$8:$F$1007,MATCH(F134,'02-ماتریس الزامات'!$A$8:$A$1007,0)),""))</f>
        <v>حوادث و خطرات</v>
      </c>
      <c r="J134" s="1" t="s">
        <v>174</v>
      </c>
      <c r="K134" s="1" t="s">
        <v>513</v>
      </c>
      <c r="L134" s="1"/>
      <c r="M134" s="1"/>
      <c r="N134" s="3" t="str">
        <f>IF(A134="","",IF(NOT(AND(COUNTIFS('13-کنترل انطباق'!$A$8:$A$1007,A134)=1,AND(COUNTIFS('17-جلسات و دوره‌ها'!$A$8:$A$1007,B134)=1,IFERROR(INDEX('17-جلسات و دوره‌ها'!$B$8:$B$1007,MATCH(B134,'17-جلسات و دوره‌ها'!$A$8:$A$1007,0)),"")=C134,IFERROR(INDEX('17-جلسات و دوره‌ها'!$C$8:$C$1007,MATCH(B134,'17-جلسات و دوره‌ها'!$A$8:$A$1007,0)),"")=D134),COUNTIFS('02-ماتریس الزامات'!$A$8:$A$1007,F134)=1,COUNTIFS('18-دامنه استانداردها'!$A$8:$A$1007,C134&amp;"|"&amp;G134)=1)),"شناسه یا دامنه نامعتبر",IF(IFERROR(INDEX('18-دامنه استانداردها'!$D$8:$D$1007,MATCH(C134&amp;"|"&amp;G134,'18-دامنه استانداردها'!$A$8:$A$1007,0)),"")="خیر",IF(AND(L134&lt;&gt;"",M134&lt;&gt;"",IFERROR(INDEX('18-دامنه استانداردها'!$H$8:$H$1007,MATCH(C134&amp;"|"&amp;G134,'18-دامنه استانداردها'!$A$8:$A$1007,0)),"")&lt;&gt;"",IFERROR(INDEX('18-دامنه استانداردها'!$I$8:$I$1007,MATCH(C134&amp;"|"&amp;G134,'18-دامنه استانداردها'!$A$8:$A$1007,0)),"")&lt;&gt;""),"عدم کاربرد مستند","عدم کاربرد بدون توجیه"),IF(IFERROR(INDEX('18-دامنه استانداردها'!$D$8:$D$1007,MATCH(C134&amp;"|"&amp;G134,'18-دامنه استانداردها'!$A$8:$A$1007,0)),"")&lt;&gt;"بله","دامنه نامشخص",IF(K134="","بررسی نشده؛ سابقه لازم",IF(NOT(IF(J134="ورودی",AND(COUNTIFS('03-ورودی‌های بازنگری'!$A$8:$A$1007,K134)=1,IFERROR(INDEX('03-ورودی‌های بازنگری'!$D$8:$D$1007,MATCH(K134,'03-ورودی‌های بازنگری'!$A$8:$A$1007,0)),"")=B134,IFERROR(INDEX('03-ورودی‌های بازنگری'!$R$8:$R$1007,MATCH(K134,'03-ورودی‌های بازنگری'!$A$8:$A$1007,0)),"")="معتبر"),IF(J134="تصمیم",AND(COUNTIFS('07-تصمیمات و مصوبات'!$A$8:$A$1007,K134)=1,IFERROR(INDEX('07-تصمیمات و مصوبات'!$B$8:$B$1007,MATCH(K134,'07-تصمیمات و مصوبات'!$A$8:$A$1007,0)),"")=B134,IFERROR(INDEX('07-تصمیمات و مصوبات'!$Z$8:$Z$1007,MATCH(K134,'07-تصمیمات و مصوبات'!$A$8:$A$1007,0)),"")="معتبر",COUNTIFS('15-روابط'!$B$8:$B$1007,K134,'15-روابط'!$C$8:$C$1007,"الزام",'15-روابط'!$D$8:$D$1007,F134,'15-روابط'!$E$8:$E$1007,"رابطه معتبر")&gt;0),IF(J134="نتیجه",AND(COUNTIFS('06-نتایج بازنگری'!$A$8:$A$1007,K134)=1,IFERROR(INDEX('06-نتایج بازنگری'!$D$8:$D$1007,MATCH(K134,'06-نتایج بازنگری'!$A$8:$A$1007,0)),"")=B134,IFERROR(INDEX('06-نتایج بازنگری'!$P$8:$P$1007,MATCH(K134,'06-نتایج بازنگری'!$A$8:$A$1007,0)),"")="معتبر",IFERROR(INDEX('06-نتایج بازنگری'!$F$8:$F$1007,MATCH(K134,'06-نتایج بازنگری'!$A$8:$A$1007,0)),"")=G134),IF(J134="ابلاغ",AND(COUNTIFS('20-ابلاغ نتایج'!$A$8:$A$1007,K134)=1,IFERROR(INDEX('20-ابلاغ نتایج'!$E$8:$E$1007,MATCH(K134,'20-ابلاغ نتایج'!$A$8:$A$1007,0)),"")=B134,IFERROR(INDEX('20-ابلاغ نتایج'!$L$8:$L$1007,MATCH(K134,'20-ابلاغ نتایج'!$A$8:$A$1007,0)),"")="معتبر"),FALSE))))),"سابقه یا شواهد ناقص",IF(IFERROR(INDEX('18-دامنه استانداردها'!$J$8:$J$1007,MATCH(C134&amp;"|"&amp;G134,'18-دامنه استانداردها'!$A$8:$A$1007,0)),"")="تأیید شده","شواهد مرتبط ثبت شد؛ تأیید ممیز لازم",IF(IFERROR(INDEX('18-دامنه استانداردها'!$J$8:$J$1007,MATCH(C134&amp;"|"&amp;G134,'18-دامنه استانداردها'!$A$8:$A$1007,0)),"")="فرضی","پوشش فرضی؛ آموزشی","شواهد حاضر؛ تطبیق نسخه باز"))))))))</f>
        <v>سابقه یا شواهد ناقص</v>
      </c>
      <c r="O134" s="1" t="s">
        <v>1215</v>
      </c>
    </row>
    <row r="135" spans="1:15" ht="36" customHeight="1">
      <c r="A135" s="1" t="s">
        <v>1343</v>
      </c>
      <c r="B135" s="1" t="s">
        <v>530</v>
      </c>
      <c r="C135" s="1" t="s">
        <v>99</v>
      </c>
      <c r="D135" s="1" t="s">
        <v>529</v>
      </c>
      <c r="E135" s="1" t="s">
        <v>531</v>
      </c>
      <c r="F135" s="1" t="s">
        <v>342</v>
      </c>
      <c r="G135" s="3" t="str">
        <f>IF(A135="","",IFERROR(INDEX('02-ماتریس الزامات'!$B$8:$B$1007,MATCH(F135,'02-ماتریس الزامات'!$A$8:$A$1007,0)),""))</f>
        <v>OHS</v>
      </c>
      <c r="H135" s="3" t="str">
        <f>IF(A135="","",IFERROR(INDEX('02-ماتریس الزامات'!$D$8:$D$1007,MATCH(F135,'02-ماتریس الزامات'!$A$8:$A$1007,0)),""))</f>
        <v>9.3؛ شماره جزء تابع ویرایش</v>
      </c>
      <c r="I135" s="3" t="str">
        <f>IF(A135="","",IFERROR(INDEX('02-ماتریس الزامات'!$F$8:$F$1007,MATCH(F135,'02-ماتریس الزامات'!$A$8:$A$1007,0)),""))</f>
        <v>حوادث و خطرات</v>
      </c>
      <c r="J135" s="1" t="s">
        <v>174</v>
      </c>
      <c r="K135" s="1"/>
      <c r="L135" s="1"/>
      <c r="M135" s="1"/>
      <c r="N135" s="3" t="str">
        <f>IF(A135="","",IF(NOT(AND(COUNTIFS('13-کنترل انطباق'!$A$8:$A$1007,A135)=1,AND(COUNTIFS('17-جلسات و دوره‌ها'!$A$8:$A$1007,B135)=1,IFERROR(INDEX('17-جلسات و دوره‌ها'!$B$8:$B$1007,MATCH(B135,'17-جلسات و دوره‌ها'!$A$8:$A$1007,0)),"")=C135,IFERROR(INDEX('17-جلسات و دوره‌ها'!$C$8:$C$1007,MATCH(B135,'17-جلسات و دوره‌ها'!$A$8:$A$1007,0)),"")=D135),COUNTIFS('02-ماتریس الزامات'!$A$8:$A$1007,F135)=1,COUNTIFS('18-دامنه استانداردها'!$A$8:$A$1007,C135&amp;"|"&amp;G135)=1)),"شناسه یا دامنه نامعتبر",IF(IFERROR(INDEX('18-دامنه استانداردها'!$D$8:$D$1007,MATCH(C135&amp;"|"&amp;G135,'18-دامنه استانداردها'!$A$8:$A$1007,0)),"")="خیر",IF(AND(L135&lt;&gt;"",M135&lt;&gt;"",IFERROR(INDEX('18-دامنه استانداردها'!$H$8:$H$1007,MATCH(C135&amp;"|"&amp;G135,'18-دامنه استانداردها'!$A$8:$A$1007,0)),"")&lt;&gt;"",IFERROR(INDEX('18-دامنه استانداردها'!$I$8:$I$1007,MATCH(C135&amp;"|"&amp;G135,'18-دامنه استانداردها'!$A$8:$A$1007,0)),"")&lt;&gt;""),"عدم کاربرد مستند","عدم کاربرد بدون توجیه"),IF(IFERROR(INDEX('18-دامنه استانداردها'!$D$8:$D$1007,MATCH(C135&amp;"|"&amp;G135,'18-دامنه استانداردها'!$A$8:$A$1007,0)),"")&lt;&gt;"بله","دامنه نامشخص",IF(K135="","بررسی نشده؛ سابقه لازم",IF(NOT(IF(J135="ورودی",AND(COUNTIFS('03-ورودی‌های بازنگری'!$A$8:$A$1007,K135)=1,IFERROR(INDEX('03-ورودی‌های بازنگری'!$D$8:$D$1007,MATCH(K135,'03-ورودی‌های بازنگری'!$A$8:$A$1007,0)),"")=B135,IFERROR(INDEX('03-ورودی‌های بازنگری'!$R$8:$R$1007,MATCH(K135,'03-ورودی‌های بازنگری'!$A$8:$A$1007,0)),"")="معتبر"),IF(J135="تصمیم",AND(COUNTIFS('07-تصمیمات و مصوبات'!$A$8:$A$1007,K135)=1,IFERROR(INDEX('07-تصمیمات و مصوبات'!$B$8:$B$1007,MATCH(K135,'07-تصمیمات و مصوبات'!$A$8:$A$1007,0)),"")=B135,IFERROR(INDEX('07-تصمیمات و مصوبات'!$Z$8:$Z$1007,MATCH(K135,'07-تصمیمات و مصوبات'!$A$8:$A$1007,0)),"")="معتبر",COUNTIFS('15-روابط'!$B$8:$B$1007,K135,'15-روابط'!$C$8:$C$1007,"الزام",'15-روابط'!$D$8:$D$1007,F135,'15-روابط'!$E$8:$E$1007,"رابطه معتبر")&gt;0),IF(J135="نتیجه",AND(COUNTIFS('06-نتایج بازنگری'!$A$8:$A$1007,K135)=1,IFERROR(INDEX('06-نتایج بازنگری'!$D$8:$D$1007,MATCH(K135,'06-نتایج بازنگری'!$A$8:$A$1007,0)),"")=B135,IFERROR(INDEX('06-نتایج بازنگری'!$P$8:$P$1007,MATCH(K135,'06-نتایج بازنگری'!$A$8:$A$1007,0)),"")="معتبر",IFERROR(INDEX('06-نتایج بازنگری'!$F$8:$F$1007,MATCH(K135,'06-نتایج بازنگری'!$A$8:$A$1007,0)),"")=G135),IF(J135="ابلاغ",AND(COUNTIFS('20-ابلاغ نتایج'!$A$8:$A$1007,K135)=1,IFERROR(INDEX('20-ابلاغ نتایج'!$E$8:$E$1007,MATCH(K135,'20-ابلاغ نتایج'!$A$8:$A$1007,0)),"")=B135,IFERROR(INDEX('20-ابلاغ نتایج'!$L$8:$L$1007,MATCH(K135,'20-ابلاغ نتایج'!$A$8:$A$1007,0)),"")="معتبر"),FALSE))))),"سابقه یا شواهد ناقص",IF(IFERROR(INDEX('18-دامنه استانداردها'!$J$8:$J$1007,MATCH(C135&amp;"|"&amp;G135,'18-دامنه استانداردها'!$A$8:$A$1007,0)),"")="تأیید شده","شواهد مرتبط ثبت شد؛ تأیید ممیز لازم",IF(IFERROR(INDEX('18-دامنه استانداردها'!$J$8:$J$1007,MATCH(C135&amp;"|"&amp;G135,'18-دامنه استانداردها'!$A$8:$A$1007,0)),"")="فرضی","پوشش فرضی؛ آموزشی","شواهد حاضر؛ تطبیق نسخه باز"))))))))</f>
        <v>بررسی نشده؛ سابقه لازم</v>
      </c>
      <c r="O135" s="1" t="s">
        <v>1215</v>
      </c>
    </row>
    <row r="136" spans="1:15" ht="36" customHeight="1">
      <c r="A136" s="1" t="s">
        <v>1344</v>
      </c>
      <c r="B136" s="1" t="s">
        <v>83</v>
      </c>
      <c r="C136" s="1" t="s">
        <v>77</v>
      </c>
      <c r="D136" s="1" t="s">
        <v>80</v>
      </c>
      <c r="E136" s="1" t="s">
        <v>379</v>
      </c>
      <c r="F136" s="1" t="s">
        <v>345</v>
      </c>
      <c r="G136" s="3" t="str">
        <f>IF(A136="","",IFERROR(INDEX('02-ماتریس الزامات'!$B$8:$B$1007,MATCH(F136,'02-ماتریس الزامات'!$A$8:$A$1007,0)),""))</f>
        <v>OHS</v>
      </c>
      <c r="H136" s="3" t="str">
        <f>IF(A136="","",IFERROR(INDEX('02-ماتریس الزامات'!$D$8:$D$1007,MATCH(F136,'02-ماتریس الزامات'!$A$8:$A$1007,0)),""))</f>
        <v>9.3؛ شماره جزء تابع ویرایش</v>
      </c>
      <c r="I136" s="3" t="str">
        <f>IF(A136="","",IFERROR(INDEX('02-ماتریس الزامات'!$F$8:$F$1007,MATCH(F136,'02-ماتریس الزامات'!$A$8:$A$1007,0)),""))</f>
        <v>مشورت و مشارکت کارکنان</v>
      </c>
      <c r="J136" s="1" t="s">
        <v>174</v>
      </c>
      <c r="K136" s="1" t="s">
        <v>518</v>
      </c>
      <c r="L136" s="1"/>
      <c r="M136" s="1"/>
      <c r="N136" s="3" t="str">
        <f>IF(A136="","",IF(NOT(AND(COUNTIFS('13-کنترل انطباق'!$A$8:$A$1007,A136)=1,AND(COUNTIFS('17-جلسات و دوره‌ها'!$A$8:$A$1007,B136)=1,IFERROR(INDEX('17-جلسات و دوره‌ها'!$B$8:$B$1007,MATCH(B136,'17-جلسات و دوره‌ها'!$A$8:$A$1007,0)),"")=C136,IFERROR(INDEX('17-جلسات و دوره‌ها'!$C$8:$C$1007,MATCH(B136,'17-جلسات و دوره‌ها'!$A$8:$A$1007,0)),"")=D136),COUNTIFS('02-ماتریس الزامات'!$A$8:$A$1007,F136)=1,COUNTIFS('18-دامنه استانداردها'!$A$8:$A$1007,C136&amp;"|"&amp;G136)=1)),"شناسه یا دامنه نامعتبر",IF(IFERROR(INDEX('18-دامنه استانداردها'!$D$8:$D$1007,MATCH(C136&amp;"|"&amp;G136,'18-دامنه استانداردها'!$A$8:$A$1007,0)),"")="خیر",IF(AND(L136&lt;&gt;"",M136&lt;&gt;"",IFERROR(INDEX('18-دامنه استانداردها'!$H$8:$H$1007,MATCH(C136&amp;"|"&amp;G136,'18-دامنه استانداردها'!$A$8:$A$1007,0)),"")&lt;&gt;"",IFERROR(INDEX('18-دامنه استانداردها'!$I$8:$I$1007,MATCH(C136&amp;"|"&amp;G136,'18-دامنه استانداردها'!$A$8:$A$1007,0)),"")&lt;&gt;""),"عدم کاربرد مستند","عدم کاربرد بدون توجیه"),IF(IFERROR(INDEX('18-دامنه استانداردها'!$D$8:$D$1007,MATCH(C136&amp;"|"&amp;G136,'18-دامنه استانداردها'!$A$8:$A$1007,0)),"")&lt;&gt;"بله","دامنه نامشخص",IF(K136="","بررسی نشده؛ سابقه لازم",IF(NOT(IF(J136="ورودی",AND(COUNTIFS('03-ورودی‌های بازنگری'!$A$8:$A$1007,K136)=1,IFERROR(INDEX('03-ورودی‌های بازنگری'!$D$8:$D$1007,MATCH(K136,'03-ورودی‌های بازنگری'!$A$8:$A$1007,0)),"")=B136,IFERROR(INDEX('03-ورودی‌های بازنگری'!$R$8:$R$1007,MATCH(K136,'03-ورودی‌های بازنگری'!$A$8:$A$1007,0)),"")="معتبر"),IF(J136="تصمیم",AND(COUNTIFS('07-تصمیمات و مصوبات'!$A$8:$A$1007,K136)=1,IFERROR(INDEX('07-تصمیمات و مصوبات'!$B$8:$B$1007,MATCH(K136,'07-تصمیمات و مصوبات'!$A$8:$A$1007,0)),"")=B136,IFERROR(INDEX('07-تصمیمات و مصوبات'!$Z$8:$Z$1007,MATCH(K136,'07-تصمیمات و مصوبات'!$A$8:$A$1007,0)),"")="معتبر",COUNTIFS('15-روابط'!$B$8:$B$1007,K136,'15-روابط'!$C$8:$C$1007,"الزام",'15-روابط'!$D$8:$D$1007,F136,'15-روابط'!$E$8:$E$1007,"رابطه معتبر")&gt;0),IF(J136="نتیجه",AND(COUNTIFS('06-نتایج بازنگری'!$A$8:$A$1007,K136)=1,IFERROR(INDEX('06-نتایج بازنگری'!$D$8:$D$1007,MATCH(K136,'06-نتایج بازنگری'!$A$8:$A$1007,0)),"")=B136,IFERROR(INDEX('06-نتایج بازنگری'!$P$8:$P$1007,MATCH(K136,'06-نتایج بازنگری'!$A$8:$A$1007,0)),"")="معتبر",IFERROR(INDEX('06-نتایج بازنگری'!$F$8:$F$1007,MATCH(K136,'06-نتایج بازنگری'!$A$8:$A$1007,0)),"")=G136),IF(J136="ابلاغ",AND(COUNTIFS('20-ابلاغ نتایج'!$A$8:$A$1007,K136)=1,IFERROR(INDEX('20-ابلاغ نتایج'!$E$8:$E$1007,MATCH(K136,'20-ابلاغ نتایج'!$A$8:$A$1007,0)),"")=B136,IFERROR(INDEX('20-ابلاغ نتایج'!$L$8:$L$1007,MATCH(K136,'20-ابلاغ نتایج'!$A$8:$A$1007,0)),"")="معتبر"),FALSE))))),"سابقه یا شواهد ناقص",IF(IFERROR(INDEX('18-دامنه استانداردها'!$J$8:$J$1007,MATCH(C136&amp;"|"&amp;G136,'18-دامنه استانداردها'!$A$8:$A$1007,0)),"")="تأیید شده","شواهد مرتبط ثبت شد؛ تأیید ممیز لازم",IF(IFERROR(INDEX('18-دامنه استانداردها'!$J$8:$J$1007,MATCH(C136&amp;"|"&amp;G136,'18-دامنه استانداردها'!$A$8:$A$1007,0)),"")="فرضی","پوشش فرضی؛ آموزشی","شواهد حاضر؛ تطبیق نسخه باز"))))))))</f>
        <v>سابقه یا شواهد ناقص</v>
      </c>
      <c r="O136" s="1" t="s">
        <v>1215</v>
      </c>
    </row>
    <row r="137" spans="1:15" ht="36" customHeight="1">
      <c r="A137" s="1" t="s">
        <v>1345</v>
      </c>
      <c r="B137" s="1" t="s">
        <v>530</v>
      </c>
      <c r="C137" s="1" t="s">
        <v>99</v>
      </c>
      <c r="D137" s="1" t="s">
        <v>529</v>
      </c>
      <c r="E137" s="1" t="s">
        <v>531</v>
      </c>
      <c r="F137" s="1" t="s">
        <v>345</v>
      </c>
      <c r="G137" s="3" t="str">
        <f>IF(A137="","",IFERROR(INDEX('02-ماتریس الزامات'!$B$8:$B$1007,MATCH(F137,'02-ماتریس الزامات'!$A$8:$A$1007,0)),""))</f>
        <v>OHS</v>
      </c>
      <c r="H137" s="3" t="str">
        <f>IF(A137="","",IFERROR(INDEX('02-ماتریس الزامات'!$D$8:$D$1007,MATCH(F137,'02-ماتریس الزامات'!$A$8:$A$1007,0)),""))</f>
        <v>9.3؛ شماره جزء تابع ویرایش</v>
      </c>
      <c r="I137" s="3" t="str">
        <f>IF(A137="","",IFERROR(INDEX('02-ماتریس الزامات'!$F$8:$F$1007,MATCH(F137,'02-ماتریس الزامات'!$A$8:$A$1007,0)),""))</f>
        <v>مشورت و مشارکت کارکنان</v>
      </c>
      <c r="J137" s="1" t="s">
        <v>174</v>
      </c>
      <c r="K137" s="1"/>
      <c r="L137" s="1"/>
      <c r="M137" s="1"/>
      <c r="N137" s="3" t="str">
        <f>IF(A137="","",IF(NOT(AND(COUNTIFS('13-کنترل انطباق'!$A$8:$A$1007,A137)=1,AND(COUNTIFS('17-جلسات و دوره‌ها'!$A$8:$A$1007,B137)=1,IFERROR(INDEX('17-جلسات و دوره‌ها'!$B$8:$B$1007,MATCH(B137,'17-جلسات و دوره‌ها'!$A$8:$A$1007,0)),"")=C137,IFERROR(INDEX('17-جلسات و دوره‌ها'!$C$8:$C$1007,MATCH(B137,'17-جلسات و دوره‌ها'!$A$8:$A$1007,0)),"")=D137),COUNTIFS('02-ماتریس الزامات'!$A$8:$A$1007,F137)=1,COUNTIFS('18-دامنه استانداردها'!$A$8:$A$1007,C137&amp;"|"&amp;G137)=1)),"شناسه یا دامنه نامعتبر",IF(IFERROR(INDEX('18-دامنه استانداردها'!$D$8:$D$1007,MATCH(C137&amp;"|"&amp;G137,'18-دامنه استانداردها'!$A$8:$A$1007,0)),"")="خیر",IF(AND(L137&lt;&gt;"",M137&lt;&gt;"",IFERROR(INDEX('18-دامنه استانداردها'!$H$8:$H$1007,MATCH(C137&amp;"|"&amp;G137,'18-دامنه استانداردها'!$A$8:$A$1007,0)),"")&lt;&gt;"",IFERROR(INDEX('18-دامنه استانداردها'!$I$8:$I$1007,MATCH(C137&amp;"|"&amp;G137,'18-دامنه استانداردها'!$A$8:$A$1007,0)),"")&lt;&gt;""),"عدم کاربرد مستند","عدم کاربرد بدون توجیه"),IF(IFERROR(INDEX('18-دامنه استانداردها'!$D$8:$D$1007,MATCH(C137&amp;"|"&amp;G137,'18-دامنه استانداردها'!$A$8:$A$1007,0)),"")&lt;&gt;"بله","دامنه نامشخص",IF(K137="","بررسی نشده؛ سابقه لازم",IF(NOT(IF(J137="ورودی",AND(COUNTIFS('03-ورودی‌های بازنگری'!$A$8:$A$1007,K137)=1,IFERROR(INDEX('03-ورودی‌های بازنگری'!$D$8:$D$1007,MATCH(K137,'03-ورودی‌های بازنگری'!$A$8:$A$1007,0)),"")=B137,IFERROR(INDEX('03-ورودی‌های بازنگری'!$R$8:$R$1007,MATCH(K137,'03-ورودی‌های بازنگری'!$A$8:$A$1007,0)),"")="معتبر"),IF(J137="تصمیم",AND(COUNTIFS('07-تصمیمات و مصوبات'!$A$8:$A$1007,K137)=1,IFERROR(INDEX('07-تصمیمات و مصوبات'!$B$8:$B$1007,MATCH(K137,'07-تصمیمات و مصوبات'!$A$8:$A$1007,0)),"")=B137,IFERROR(INDEX('07-تصمیمات و مصوبات'!$Z$8:$Z$1007,MATCH(K137,'07-تصمیمات و مصوبات'!$A$8:$A$1007,0)),"")="معتبر",COUNTIFS('15-روابط'!$B$8:$B$1007,K137,'15-روابط'!$C$8:$C$1007,"الزام",'15-روابط'!$D$8:$D$1007,F137,'15-روابط'!$E$8:$E$1007,"رابطه معتبر")&gt;0),IF(J137="نتیجه",AND(COUNTIFS('06-نتایج بازنگری'!$A$8:$A$1007,K137)=1,IFERROR(INDEX('06-نتایج بازنگری'!$D$8:$D$1007,MATCH(K137,'06-نتایج بازنگری'!$A$8:$A$1007,0)),"")=B137,IFERROR(INDEX('06-نتایج بازنگری'!$P$8:$P$1007,MATCH(K137,'06-نتایج بازنگری'!$A$8:$A$1007,0)),"")="معتبر",IFERROR(INDEX('06-نتایج بازنگری'!$F$8:$F$1007,MATCH(K137,'06-نتایج بازنگری'!$A$8:$A$1007,0)),"")=G137),IF(J137="ابلاغ",AND(COUNTIFS('20-ابلاغ نتایج'!$A$8:$A$1007,K137)=1,IFERROR(INDEX('20-ابلاغ نتایج'!$E$8:$E$1007,MATCH(K137,'20-ابلاغ نتایج'!$A$8:$A$1007,0)),"")=B137,IFERROR(INDEX('20-ابلاغ نتایج'!$L$8:$L$1007,MATCH(K137,'20-ابلاغ نتایج'!$A$8:$A$1007,0)),"")="معتبر"),FALSE))))),"سابقه یا شواهد ناقص",IF(IFERROR(INDEX('18-دامنه استانداردها'!$J$8:$J$1007,MATCH(C137&amp;"|"&amp;G137,'18-دامنه استانداردها'!$A$8:$A$1007,0)),"")="تأیید شده","شواهد مرتبط ثبت شد؛ تأیید ممیز لازم",IF(IFERROR(INDEX('18-دامنه استانداردها'!$J$8:$J$1007,MATCH(C137&amp;"|"&amp;G137,'18-دامنه استانداردها'!$A$8:$A$1007,0)),"")="فرضی","پوشش فرضی؛ آموزشی","شواهد حاضر؛ تطبیق نسخه باز"))))))))</f>
        <v>بررسی نشده؛ سابقه لازم</v>
      </c>
      <c r="O137" s="1" t="s">
        <v>1215</v>
      </c>
    </row>
    <row r="138" spans="1:15" ht="36" customHeight="1">
      <c r="A138" s="1" t="s">
        <v>1346</v>
      </c>
      <c r="B138" s="1" t="s">
        <v>83</v>
      </c>
      <c r="C138" s="1" t="s">
        <v>77</v>
      </c>
      <c r="D138" s="1" t="s">
        <v>80</v>
      </c>
      <c r="E138" s="1" t="s">
        <v>379</v>
      </c>
      <c r="F138" s="1" t="s">
        <v>348</v>
      </c>
      <c r="G138" s="3" t="str">
        <f>IF(A138="","",IFERROR(INDEX('02-ماتریس الزامات'!$B$8:$B$1007,MATCH(F138,'02-ماتریس الزامات'!$A$8:$A$1007,0)),""))</f>
        <v>OHS</v>
      </c>
      <c r="H138" s="3" t="str">
        <f>IF(A138="","",IFERROR(INDEX('02-ماتریس الزامات'!$D$8:$D$1007,MATCH(F138,'02-ماتریس الزامات'!$A$8:$A$1007,0)),""))</f>
        <v>9.3</v>
      </c>
      <c r="I138" s="3" t="str">
        <f>IF(A138="","",IFERROR(INDEX('02-ماتریس الزامات'!$F$8:$F$1007,MATCH(F138,'02-ماتریس الزامات'!$A$8:$A$1007,0)),""))</f>
        <v>تناسب، کفایت و اثربخشی</v>
      </c>
      <c r="J138" s="1" t="s">
        <v>1116</v>
      </c>
      <c r="K138" s="1"/>
      <c r="L138" s="1"/>
      <c r="M138" s="1"/>
      <c r="N138" s="3" t="str">
        <f>IF(A138="","",IF(NOT(AND(COUNTIFS('13-کنترل انطباق'!$A$8:$A$1007,A138)=1,AND(COUNTIFS('17-جلسات و دوره‌ها'!$A$8:$A$1007,B138)=1,IFERROR(INDEX('17-جلسات و دوره‌ها'!$B$8:$B$1007,MATCH(B138,'17-جلسات و دوره‌ها'!$A$8:$A$1007,0)),"")=C138,IFERROR(INDEX('17-جلسات و دوره‌ها'!$C$8:$C$1007,MATCH(B138,'17-جلسات و دوره‌ها'!$A$8:$A$1007,0)),"")=D138),COUNTIFS('02-ماتریس الزامات'!$A$8:$A$1007,F138)=1,COUNTIFS('18-دامنه استانداردها'!$A$8:$A$1007,C138&amp;"|"&amp;G138)=1)),"شناسه یا دامنه نامعتبر",IF(IFERROR(INDEX('18-دامنه استانداردها'!$D$8:$D$1007,MATCH(C138&amp;"|"&amp;G138,'18-دامنه استانداردها'!$A$8:$A$1007,0)),"")="خیر",IF(AND(L138&lt;&gt;"",M138&lt;&gt;"",IFERROR(INDEX('18-دامنه استانداردها'!$H$8:$H$1007,MATCH(C138&amp;"|"&amp;G138,'18-دامنه استانداردها'!$A$8:$A$1007,0)),"")&lt;&gt;"",IFERROR(INDEX('18-دامنه استانداردها'!$I$8:$I$1007,MATCH(C138&amp;"|"&amp;G138,'18-دامنه استانداردها'!$A$8:$A$1007,0)),"")&lt;&gt;""),"عدم کاربرد مستند","عدم کاربرد بدون توجیه"),IF(IFERROR(INDEX('18-دامنه استانداردها'!$D$8:$D$1007,MATCH(C138&amp;"|"&amp;G138,'18-دامنه استانداردها'!$A$8:$A$1007,0)),"")&lt;&gt;"بله","دامنه نامشخص",IF(K138="","بررسی نشده؛ سابقه لازم",IF(NOT(IF(J138="ورودی",AND(COUNTIFS('03-ورودی‌های بازنگری'!$A$8:$A$1007,K138)=1,IFERROR(INDEX('03-ورودی‌های بازنگری'!$D$8:$D$1007,MATCH(K138,'03-ورودی‌های بازنگری'!$A$8:$A$1007,0)),"")=B138,IFERROR(INDEX('03-ورودی‌های بازنگری'!$R$8:$R$1007,MATCH(K138,'03-ورودی‌های بازنگری'!$A$8:$A$1007,0)),"")="معتبر"),IF(J138="تصمیم",AND(COUNTIFS('07-تصمیمات و مصوبات'!$A$8:$A$1007,K138)=1,IFERROR(INDEX('07-تصمیمات و مصوبات'!$B$8:$B$1007,MATCH(K138,'07-تصمیمات و مصوبات'!$A$8:$A$1007,0)),"")=B138,IFERROR(INDEX('07-تصمیمات و مصوبات'!$Z$8:$Z$1007,MATCH(K138,'07-تصمیمات و مصوبات'!$A$8:$A$1007,0)),"")="معتبر",COUNTIFS('15-روابط'!$B$8:$B$1007,K138,'15-روابط'!$C$8:$C$1007,"الزام",'15-روابط'!$D$8:$D$1007,F138,'15-روابط'!$E$8:$E$1007,"رابطه معتبر")&gt;0),IF(J138="نتیجه",AND(COUNTIFS('06-نتایج بازنگری'!$A$8:$A$1007,K138)=1,IFERROR(INDEX('06-نتایج بازنگری'!$D$8:$D$1007,MATCH(K138,'06-نتایج بازنگری'!$A$8:$A$1007,0)),"")=B138,IFERROR(INDEX('06-نتایج بازنگری'!$P$8:$P$1007,MATCH(K138,'06-نتایج بازنگری'!$A$8:$A$1007,0)),"")="معتبر",IFERROR(INDEX('06-نتایج بازنگری'!$F$8:$F$1007,MATCH(K138,'06-نتایج بازنگری'!$A$8:$A$1007,0)),"")=G138),IF(J138="ابلاغ",AND(COUNTIFS('20-ابلاغ نتایج'!$A$8:$A$1007,K138)=1,IFERROR(INDEX('20-ابلاغ نتایج'!$E$8:$E$1007,MATCH(K138,'20-ابلاغ نتایج'!$A$8:$A$1007,0)),"")=B138,IFERROR(INDEX('20-ابلاغ نتایج'!$L$8:$L$1007,MATCH(K138,'20-ابلاغ نتایج'!$A$8:$A$1007,0)),"")="معتبر"),FALSE))))),"سابقه یا شواهد ناقص",IF(IFERROR(INDEX('18-دامنه استانداردها'!$J$8:$J$1007,MATCH(C138&amp;"|"&amp;G138,'18-دامنه استانداردها'!$A$8:$A$1007,0)),"")="تأیید شده","شواهد مرتبط ثبت شد؛ تأیید ممیز لازم",IF(IFERROR(INDEX('18-دامنه استانداردها'!$J$8:$J$1007,MATCH(C138&amp;"|"&amp;G138,'18-دامنه استانداردها'!$A$8:$A$1007,0)),"")="فرضی","پوشش فرضی؛ آموزشی","شواهد حاضر؛ تطبیق نسخه باز"))))))))</f>
        <v>بررسی نشده؛ سابقه لازم</v>
      </c>
      <c r="O138" s="1" t="s">
        <v>1215</v>
      </c>
    </row>
    <row r="139" spans="1:15" ht="36" customHeight="1">
      <c r="A139" s="1" t="s">
        <v>1347</v>
      </c>
      <c r="B139" s="1" t="s">
        <v>530</v>
      </c>
      <c r="C139" s="1" t="s">
        <v>99</v>
      </c>
      <c r="D139" s="1" t="s">
        <v>529</v>
      </c>
      <c r="E139" s="1" t="s">
        <v>531</v>
      </c>
      <c r="F139" s="1" t="s">
        <v>348</v>
      </c>
      <c r="G139" s="3" t="str">
        <f>IF(A139="","",IFERROR(INDEX('02-ماتریس الزامات'!$B$8:$B$1007,MATCH(F139,'02-ماتریس الزامات'!$A$8:$A$1007,0)),""))</f>
        <v>OHS</v>
      </c>
      <c r="H139" s="3" t="str">
        <f>IF(A139="","",IFERROR(INDEX('02-ماتریس الزامات'!$D$8:$D$1007,MATCH(F139,'02-ماتریس الزامات'!$A$8:$A$1007,0)),""))</f>
        <v>9.3</v>
      </c>
      <c r="I139" s="3" t="str">
        <f>IF(A139="","",IFERROR(INDEX('02-ماتریس الزامات'!$F$8:$F$1007,MATCH(F139,'02-ماتریس الزامات'!$A$8:$A$1007,0)),""))</f>
        <v>تناسب، کفایت و اثربخشی</v>
      </c>
      <c r="J139" s="1" t="s">
        <v>1116</v>
      </c>
      <c r="K139" s="1"/>
      <c r="L139" s="1"/>
      <c r="M139" s="1"/>
      <c r="N139" s="3" t="str">
        <f>IF(A139="","",IF(NOT(AND(COUNTIFS('13-کنترل انطباق'!$A$8:$A$1007,A139)=1,AND(COUNTIFS('17-جلسات و دوره‌ها'!$A$8:$A$1007,B139)=1,IFERROR(INDEX('17-جلسات و دوره‌ها'!$B$8:$B$1007,MATCH(B139,'17-جلسات و دوره‌ها'!$A$8:$A$1007,0)),"")=C139,IFERROR(INDEX('17-جلسات و دوره‌ها'!$C$8:$C$1007,MATCH(B139,'17-جلسات و دوره‌ها'!$A$8:$A$1007,0)),"")=D139),COUNTIFS('02-ماتریس الزامات'!$A$8:$A$1007,F139)=1,COUNTIFS('18-دامنه استانداردها'!$A$8:$A$1007,C139&amp;"|"&amp;G139)=1)),"شناسه یا دامنه نامعتبر",IF(IFERROR(INDEX('18-دامنه استانداردها'!$D$8:$D$1007,MATCH(C139&amp;"|"&amp;G139,'18-دامنه استانداردها'!$A$8:$A$1007,0)),"")="خیر",IF(AND(L139&lt;&gt;"",M139&lt;&gt;"",IFERROR(INDEX('18-دامنه استانداردها'!$H$8:$H$1007,MATCH(C139&amp;"|"&amp;G139,'18-دامنه استانداردها'!$A$8:$A$1007,0)),"")&lt;&gt;"",IFERROR(INDEX('18-دامنه استانداردها'!$I$8:$I$1007,MATCH(C139&amp;"|"&amp;G139,'18-دامنه استانداردها'!$A$8:$A$1007,0)),"")&lt;&gt;""),"عدم کاربرد مستند","عدم کاربرد بدون توجیه"),IF(IFERROR(INDEX('18-دامنه استانداردها'!$D$8:$D$1007,MATCH(C139&amp;"|"&amp;G139,'18-دامنه استانداردها'!$A$8:$A$1007,0)),"")&lt;&gt;"بله","دامنه نامشخص",IF(K139="","بررسی نشده؛ سابقه لازم",IF(NOT(IF(J139="ورودی",AND(COUNTIFS('03-ورودی‌های بازنگری'!$A$8:$A$1007,K139)=1,IFERROR(INDEX('03-ورودی‌های بازنگری'!$D$8:$D$1007,MATCH(K139,'03-ورودی‌های بازنگری'!$A$8:$A$1007,0)),"")=B139,IFERROR(INDEX('03-ورودی‌های بازنگری'!$R$8:$R$1007,MATCH(K139,'03-ورودی‌های بازنگری'!$A$8:$A$1007,0)),"")="معتبر"),IF(J139="تصمیم",AND(COUNTIFS('07-تصمیمات و مصوبات'!$A$8:$A$1007,K139)=1,IFERROR(INDEX('07-تصمیمات و مصوبات'!$B$8:$B$1007,MATCH(K139,'07-تصمیمات و مصوبات'!$A$8:$A$1007,0)),"")=B139,IFERROR(INDEX('07-تصمیمات و مصوبات'!$Z$8:$Z$1007,MATCH(K139,'07-تصمیمات و مصوبات'!$A$8:$A$1007,0)),"")="معتبر",COUNTIFS('15-روابط'!$B$8:$B$1007,K139,'15-روابط'!$C$8:$C$1007,"الزام",'15-روابط'!$D$8:$D$1007,F139,'15-روابط'!$E$8:$E$1007,"رابطه معتبر")&gt;0),IF(J139="نتیجه",AND(COUNTIFS('06-نتایج بازنگری'!$A$8:$A$1007,K139)=1,IFERROR(INDEX('06-نتایج بازنگری'!$D$8:$D$1007,MATCH(K139,'06-نتایج بازنگری'!$A$8:$A$1007,0)),"")=B139,IFERROR(INDEX('06-نتایج بازنگری'!$P$8:$P$1007,MATCH(K139,'06-نتایج بازنگری'!$A$8:$A$1007,0)),"")="معتبر",IFERROR(INDEX('06-نتایج بازنگری'!$F$8:$F$1007,MATCH(K139,'06-نتایج بازنگری'!$A$8:$A$1007,0)),"")=G139),IF(J139="ابلاغ",AND(COUNTIFS('20-ابلاغ نتایج'!$A$8:$A$1007,K139)=1,IFERROR(INDEX('20-ابلاغ نتایج'!$E$8:$E$1007,MATCH(K139,'20-ابلاغ نتایج'!$A$8:$A$1007,0)),"")=B139,IFERROR(INDEX('20-ابلاغ نتایج'!$L$8:$L$1007,MATCH(K139,'20-ابلاغ نتایج'!$A$8:$A$1007,0)),"")="معتبر"),FALSE))))),"سابقه یا شواهد ناقص",IF(IFERROR(INDEX('18-دامنه استانداردها'!$J$8:$J$1007,MATCH(C139&amp;"|"&amp;G139,'18-دامنه استانداردها'!$A$8:$A$1007,0)),"")="تأیید شده","شواهد مرتبط ثبت شد؛ تأیید ممیز لازم",IF(IFERROR(INDEX('18-دامنه استانداردها'!$J$8:$J$1007,MATCH(C139&amp;"|"&amp;G139,'18-دامنه استانداردها'!$A$8:$A$1007,0)),"")="فرضی","پوشش فرضی؛ آموزشی","شواهد حاضر؛ تطبیق نسخه باز"))))))))</f>
        <v>بررسی نشده؛ سابقه لازم</v>
      </c>
      <c r="O139" s="1" t="s">
        <v>1215</v>
      </c>
    </row>
    <row r="140" spans="1:15" ht="36" customHeight="1">
      <c r="A140" s="1" t="s">
        <v>1348</v>
      </c>
      <c r="B140" s="1" t="s">
        <v>83</v>
      </c>
      <c r="C140" s="1" t="s">
        <v>77</v>
      </c>
      <c r="D140" s="1" t="s">
        <v>80</v>
      </c>
      <c r="E140" s="1" t="s">
        <v>379</v>
      </c>
      <c r="F140" s="1" t="s">
        <v>350</v>
      </c>
      <c r="G140" s="3" t="str">
        <f>IF(A140="","",IFERROR(INDEX('02-ماتریس الزامات'!$B$8:$B$1007,MATCH(F140,'02-ماتریس الزامات'!$A$8:$A$1007,0)),""))</f>
        <v>OHS</v>
      </c>
      <c r="H140" s="3" t="str">
        <f>IF(A140="","",IFERROR(INDEX('02-ماتریس الزامات'!$D$8:$D$1007,MATCH(F140,'02-ماتریس الزامات'!$A$8:$A$1007,0)),""))</f>
        <v>9.3</v>
      </c>
      <c r="I140" s="3" t="str">
        <f>IF(A140="","",IFERROR(INDEX('02-ماتریس الزامات'!$F$8:$F$1007,MATCH(F140,'02-ماتریس الزامات'!$A$8:$A$1007,0)),""))</f>
        <v>بهبود مستمر</v>
      </c>
      <c r="J140" s="1" t="s">
        <v>1116</v>
      </c>
      <c r="K140" s="1"/>
      <c r="L140" s="1"/>
      <c r="M140" s="1"/>
      <c r="N140" s="3" t="str">
        <f>IF(A140="","",IF(NOT(AND(COUNTIFS('13-کنترل انطباق'!$A$8:$A$1007,A140)=1,AND(COUNTIFS('17-جلسات و دوره‌ها'!$A$8:$A$1007,B140)=1,IFERROR(INDEX('17-جلسات و دوره‌ها'!$B$8:$B$1007,MATCH(B140,'17-جلسات و دوره‌ها'!$A$8:$A$1007,0)),"")=C140,IFERROR(INDEX('17-جلسات و دوره‌ها'!$C$8:$C$1007,MATCH(B140,'17-جلسات و دوره‌ها'!$A$8:$A$1007,0)),"")=D140),COUNTIFS('02-ماتریس الزامات'!$A$8:$A$1007,F140)=1,COUNTIFS('18-دامنه استانداردها'!$A$8:$A$1007,C140&amp;"|"&amp;G140)=1)),"شناسه یا دامنه نامعتبر",IF(IFERROR(INDEX('18-دامنه استانداردها'!$D$8:$D$1007,MATCH(C140&amp;"|"&amp;G140,'18-دامنه استانداردها'!$A$8:$A$1007,0)),"")="خیر",IF(AND(L140&lt;&gt;"",M140&lt;&gt;"",IFERROR(INDEX('18-دامنه استانداردها'!$H$8:$H$1007,MATCH(C140&amp;"|"&amp;G140,'18-دامنه استانداردها'!$A$8:$A$1007,0)),"")&lt;&gt;"",IFERROR(INDEX('18-دامنه استانداردها'!$I$8:$I$1007,MATCH(C140&amp;"|"&amp;G140,'18-دامنه استانداردها'!$A$8:$A$1007,0)),"")&lt;&gt;""),"عدم کاربرد مستند","عدم کاربرد بدون توجیه"),IF(IFERROR(INDEX('18-دامنه استانداردها'!$D$8:$D$1007,MATCH(C140&amp;"|"&amp;G140,'18-دامنه استانداردها'!$A$8:$A$1007,0)),"")&lt;&gt;"بله","دامنه نامشخص",IF(K140="","بررسی نشده؛ سابقه لازم",IF(NOT(IF(J140="ورودی",AND(COUNTIFS('03-ورودی‌های بازنگری'!$A$8:$A$1007,K140)=1,IFERROR(INDEX('03-ورودی‌های بازنگری'!$D$8:$D$1007,MATCH(K140,'03-ورودی‌های بازنگری'!$A$8:$A$1007,0)),"")=B140,IFERROR(INDEX('03-ورودی‌های بازنگری'!$R$8:$R$1007,MATCH(K140,'03-ورودی‌های بازنگری'!$A$8:$A$1007,0)),"")="معتبر"),IF(J140="تصمیم",AND(COUNTIFS('07-تصمیمات و مصوبات'!$A$8:$A$1007,K140)=1,IFERROR(INDEX('07-تصمیمات و مصوبات'!$B$8:$B$1007,MATCH(K140,'07-تصمیمات و مصوبات'!$A$8:$A$1007,0)),"")=B140,IFERROR(INDEX('07-تصمیمات و مصوبات'!$Z$8:$Z$1007,MATCH(K140,'07-تصمیمات و مصوبات'!$A$8:$A$1007,0)),"")="معتبر",COUNTIFS('15-روابط'!$B$8:$B$1007,K140,'15-روابط'!$C$8:$C$1007,"الزام",'15-روابط'!$D$8:$D$1007,F140,'15-روابط'!$E$8:$E$1007,"رابطه معتبر")&gt;0),IF(J140="نتیجه",AND(COUNTIFS('06-نتایج بازنگری'!$A$8:$A$1007,K140)=1,IFERROR(INDEX('06-نتایج بازنگری'!$D$8:$D$1007,MATCH(K140,'06-نتایج بازنگری'!$A$8:$A$1007,0)),"")=B140,IFERROR(INDEX('06-نتایج بازنگری'!$P$8:$P$1007,MATCH(K140,'06-نتایج بازنگری'!$A$8:$A$1007,0)),"")="معتبر",IFERROR(INDEX('06-نتایج بازنگری'!$F$8:$F$1007,MATCH(K140,'06-نتایج بازنگری'!$A$8:$A$1007,0)),"")=G140),IF(J140="ابلاغ",AND(COUNTIFS('20-ابلاغ نتایج'!$A$8:$A$1007,K140)=1,IFERROR(INDEX('20-ابلاغ نتایج'!$E$8:$E$1007,MATCH(K140,'20-ابلاغ نتایج'!$A$8:$A$1007,0)),"")=B140,IFERROR(INDEX('20-ابلاغ نتایج'!$L$8:$L$1007,MATCH(K140,'20-ابلاغ نتایج'!$A$8:$A$1007,0)),"")="معتبر"),FALSE))))),"سابقه یا شواهد ناقص",IF(IFERROR(INDEX('18-دامنه استانداردها'!$J$8:$J$1007,MATCH(C140&amp;"|"&amp;G140,'18-دامنه استانداردها'!$A$8:$A$1007,0)),"")="تأیید شده","شواهد مرتبط ثبت شد؛ تأیید ممیز لازم",IF(IFERROR(INDEX('18-دامنه استانداردها'!$J$8:$J$1007,MATCH(C140&amp;"|"&amp;G140,'18-دامنه استانداردها'!$A$8:$A$1007,0)),"")="فرضی","پوشش فرضی؛ آموزشی","شواهد حاضر؛ تطبیق نسخه باز"))))))))</f>
        <v>بررسی نشده؛ سابقه لازم</v>
      </c>
      <c r="O140" s="1" t="s">
        <v>1215</v>
      </c>
    </row>
    <row r="141" spans="1:15" ht="36" customHeight="1">
      <c r="A141" s="1" t="s">
        <v>1349</v>
      </c>
      <c r="B141" s="1" t="s">
        <v>530</v>
      </c>
      <c r="C141" s="1" t="s">
        <v>99</v>
      </c>
      <c r="D141" s="1" t="s">
        <v>529</v>
      </c>
      <c r="E141" s="1" t="s">
        <v>531</v>
      </c>
      <c r="F141" s="1" t="s">
        <v>350</v>
      </c>
      <c r="G141" s="3" t="str">
        <f>IF(A141="","",IFERROR(INDEX('02-ماتریس الزامات'!$B$8:$B$1007,MATCH(F141,'02-ماتریس الزامات'!$A$8:$A$1007,0)),""))</f>
        <v>OHS</v>
      </c>
      <c r="H141" s="3" t="str">
        <f>IF(A141="","",IFERROR(INDEX('02-ماتریس الزامات'!$D$8:$D$1007,MATCH(F141,'02-ماتریس الزامات'!$A$8:$A$1007,0)),""))</f>
        <v>9.3</v>
      </c>
      <c r="I141" s="3" t="str">
        <f>IF(A141="","",IFERROR(INDEX('02-ماتریس الزامات'!$F$8:$F$1007,MATCH(F141,'02-ماتریس الزامات'!$A$8:$A$1007,0)),""))</f>
        <v>بهبود مستمر</v>
      </c>
      <c r="J141" s="1" t="s">
        <v>1116</v>
      </c>
      <c r="K141" s="1"/>
      <c r="L141" s="1"/>
      <c r="M141" s="1"/>
      <c r="N141" s="3" t="str">
        <f>IF(A141="","",IF(NOT(AND(COUNTIFS('13-کنترل انطباق'!$A$8:$A$1007,A141)=1,AND(COUNTIFS('17-جلسات و دوره‌ها'!$A$8:$A$1007,B141)=1,IFERROR(INDEX('17-جلسات و دوره‌ها'!$B$8:$B$1007,MATCH(B141,'17-جلسات و دوره‌ها'!$A$8:$A$1007,0)),"")=C141,IFERROR(INDEX('17-جلسات و دوره‌ها'!$C$8:$C$1007,MATCH(B141,'17-جلسات و دوره‌ها'!$A$8:$A$1007,0)),"")=D141),COUNTIFS('02-ماتریس الزامات'!$A$8:$A$1007,F141)=1,COUNTIFS('18-دامنه استانداردها'!$A$8:$A$1007,C141&amp;"|"&amp;G141)=1)),"شناسه یا دامنه نامعتبر",IF(IFERROR(INDEX('18-دامنه استانداردها'!$D$8:$D$1007,MATCH(C141&amp;"|"&amp;G141,'18-دامنه استانداردها'!$A$8:$A$1007,0)),"")="خیر",IF(AND(L141&lt;&gt;"",M141&lt;&gt;"",IFERROR(INDEX('18-دامنه استانداردها'!$H$8:$H$1007,MATCH(C141&amp;"|"&amp;G141,'18-دامنه استانداردها'!$A$8:$A$1007,0)),"")&lt;&gt;"",IFERROR(INDEX('18-دامنه استانداردها'!$I$8:$I$1007,MATCH(C141&amp;"|"&amp;G141,'18-دامنه استانداردها'!$A$8:$A$1007,0)),"")&lt;&gt;""),"عدم کاربرد مستند","عدم کاربرد بدون توجیه"),IF(IFERROR(INDEX('18-دامنه استانداردها'!$D$8:$D$1007,MATCH(C141&amp;"|"&amp;G141,'18-دامنه استانداردها'!$A$8:$A$1007,0)),"")&lt;&gt;"بله","دامنه نامشخص",IF(K141="","بررسی نشده؛ سابقه لازم",IF(NOT(IF(J141="ورودی",AND(COUNTIFS('03-ورودی‌های بازنگری'!$A$8:$A$1007,K141)=1,IFERROR(INDEX('03-ورودی‌های بازنگری'!$D$8:$D$1007,MATCH(K141,'03-ورودی‌های بازنگری'!$A$8:$A$1007,0)),"")=B141,IFERROR(INDEX('03-ورودی‌های بازنگری'!$R$8:$R$1007,MATCH(K141,'03-ورودی‌های بازنگری'!$A$8:$A$1007,0)),"")="معتبر"),IF(J141="تصمیم",AND(COUNTIFS('07-تصمیمات و مصوبات'!$A$8:$A$1007,K141)=1,IFERROR(INDEX('07-تصمیمات و مصوبات'!$B$8:$B$1007,MATCH(K141,'07-تصمیمات و مصوبات'!$A$8:$A$1007,0)),"")=B141,IFERROR(INDEX('07-تصمیمات و مصوبات'!$Z$8:$Z$1007,MATCH(K141,'07-تصمیمات و مصوبات'!$A$8:$A$1007,0)),"")="معتبر",COUNTIFS('15-روابط'!$B$8:$B$1007,K141,'15-روابط'!$C$8:$C$1007,"الزام",'15-روابط'!$D$8:$D$1007,F141,'15-روابط'!$E$8:$E$1007,"رابطه معتبر")&gt;0),IF(J141="نتیجه",AND(COUNTIFS('06-نتایج بازنگری'!$A$8:$A$1007,K141)=1,IFERROR(INDEX('06-نتایج بازنگری'!$D$8:$D$1007,MATCH(K141,'06-نتایج بازنگری'!$A$8:$A$1007,0)),"")=B141,IFERROR(INDEX('06-نتایج بازنگری'!$P$8:$P$1007,MATCH(K141,'06-نتایج بازنگری'!$A$8:$A$1007,0)),"")="معتبر",IFERROR(INDEX('06-نتایج بازنگری'!$F$8:$F$1007,MATCH(K141,'06-نتایج بازنگری'!$A$8:$A$1007,0)),"")=G141),IF(J141="ابلاغ",AND(COUNTIFS('20-ابلاغ نتایج'!$A$8:$A$1007,K141)=1,IFERROR(INDEX('20-ابلاغ نتایج'!$E$8:$E$1007,MATCH(K141,'20-ابلاغ نتایج'!$A$8:$A$1007,0)),"")=B141,IFERROR(INDEX('20-ابلاغ نتایج'!$L$8:$L$1007,MATCH(K141,'20-ابلاغ نتایج'!$A$8:$A$1007,0)),"")="معتبر"),FALSE))))),"سابقه یا شواهد ناقص",IF(IFERROR(INDEX('18-دامنه استانداردها'!$J$8:$J$1007,MATCH(C141&amp;"|"&amp;G141,'18-دامنه استانداردها'!$A$8:$A$1007,0)),"")="تأیید شده","شواهد مرتبط ثبت شد؛ تأیید ممیز لازم",IF(IFERROR(INDEX('18-دامنه استانداردها'!$J$8:$J$1007,MATCH(C141&amp;"|"&amp;G141,'18-دامنه استانداردها'!$A$8:$A$1007,0)),"")="فرضی","پوشش فرضی؛ آموزشی","شواهد حاضر؛ تطبیق نسخه باز"))))))))</f>
        <v>بررسی نشده؛ سابقه لازم</v>
      </c>
      <c r="O141" s="1" t="s">
        <v>1215</v>
      </c>
    </row>
    <row r="142" spans="1:15" ht="36" customHeight="1">
      <c r="A142" s="1" t="s">
        <v>1350</v>
      </c>
      <c r="B142" s="1" t="s">
        <v>83</v>
      </c>
      <c r="C142" s="1" t="s">
        <v>77</v>
      </c>
      <c r="D142" s="1" t="s">
        <v>80</v>
      </c>
      <c r="E142" s="1" t="s">
        <v>379</v>
      </c>
      <c r="F142" s="1" t="s">
        <v>351</v>
      </c>
      <c r="G142" s="3" t="str">
        <f>IF(A142="","",IFERROR(INDEX('02-ماتریس الزامات'!$B$8:$B$1007,MATCH(F142,'02-ماتریس الزامات'!$A$8:$A$1007,0)),""))</f>
        <v>OHS</v>
      </c>
      <c r="H142" s="3" t="str">
        <f>IF(A142="","",IFERROR(INDEX('02-ماتریس الزامات'!$D$8:$D$1007,MATCH(F142,'02-ماتریس الزامات'!$A$8:$A$1007,0)),""))</f>
        <v>9.3</v>
      </c>
      <c r="I142" s="3" t="str">
        <f>IF(A142="","",IFERROR(INDEX('02-ماتریس الزامات'!$F$8:$F$1007,MATCH(F142,'02-ماتریس الزامات'!$A$8:$A$1007,0)),""))</f>
        <v>تغییر سیستم</v>
      </c>
      <c r="J142" s="1" t="s">
        <v>1116</v>
      </c>
      <c r="K142" s="1"/>
      <c r="L142" s="1"/>
      <c r="M142" s="1"/>
      <c r="N142" s="3" t="str">
        <f>IF(A142="","",IF(NOT(AND(COUNTIFS('13-کنترل انطباق'!$A$8:$A$1007,A142)=1,AND(COUNTIFS('17-جلسات و دوره‌ها'!$A$8:$A$1007,B142)=1,IFERROR(INDEX('17-جلسات و دوره‌ها'!$B$8:$B$1007,MATCH(B142,'17-جلسات و دوره‌ها'!$A$8:$A$1007,0)),"")=C142,IFERROR(INDEX('17-جلسات و دوره‌ها'!$C$8:$C$1007,MATCH(B142,'17-جلسات و دوره‌ها'!$A$8:$A$1007,0)),"")=D142),COUNTIFS('02-ماتریس الزامات'!$A$8:$A$1007,F142)=1,COUNTIFS('18-دامنه استانداردها'!$A$8:$A$1007,C142&amp;"|"&amp;G142)=1)),"شناسه یا دامنه نامعتبر",IF(IFERROR(INDEX('18-دامنه استانداردها'!$D$8:$D$1007,MATCH(C142&amp;"|"&amp;G142,'18-دامنه استانداردها'!$A$8:$A$1007,0)),"")="خیر",IF(AND(L142&lt;&gt;"",M142&lt;&gt;"",IFERROR(INDEX('18-دامنه استانداردها'!$H$8:$H$1007,MATCH(C142&amp;"|"&amp;G142,'18-دامنه استانداردها'!$A$8:$A$1007,0)),"")&lt;&gt;"",IFERROR(INDEX('18-دامنه استانداردها'!$I$8:$I$1007,MATCH(C142&amp;"|"&amp;G142,'18-دامنه استانداردها'!$A$8:$A$1007,0)),"")&lt;&gt;""),"عدم کاربرد مستند","عدم کاربرد بدون توجیه"),IF(IFERROR(INDEX('18-دامنه استانداردها'!$D$8:$D$1007,MATCH(C142&amp;"|"&amp;G142,'18-دامنه استانداردها'!$A$8:$A$1007,0)),"")&lt;&gt;"بله","دامنه نامشخص",IF(K142="","بررسی نشده؛ سابقه لازم",IF(NOT(IF(J142="ورودی",AND(COUNTIFS('03-ورودی‌های بازنگری'!$A$8:$A$1007,K142)=1,IFERROR(INDEX('03-ورودی‌های بازنگری'!$D$8:$D$1007,MATCH(K142,'03-ورودی‌های بازنگری'!$A$8:$A$1007,0)),"")=B142,IFERROR(INDEX('03-ورودی‌های بازنگری'!$R$8:$R$1007,MATCH(K142,'03-ورودی‌های بازنگری'!$A$8:$A$1007,0)),"")="معتبر"),IF(J142="تصمیم",AND(COUNTIFS('07-تصمیمات و مصوبات'!$A$8:$A$1007,K142)=1,IFERROR(INDEX('07-تصمیمات و مصوبات'!$B$8:$B$1007,MATCH(K142,'07-تصمیمات و مصوبات'!$A$8:$A$1007,0)),"")=B142,IFERROR(INDEX('07-تصمیمات و مصوبات'!$Z$8:$Z$1007,MATCH(K142,'07-تصمیمات و مصوبات'!$A$8:$A$1007,0)),"")="معتبر",COUNTIFS('15-روابط'!$B$8:$B$1007,K142,'15-روابط'!$C$8:$C$1007,"الزام",'15-روابط'!$D$8:$D$1007,F142,'15-روابط'!$E$8:$E$1007,"رابطه معتبر")&gt;0),IF(J142="نتیجه",AND(COUNTIFS('06-نتایج بازنگری'!$A$8:$A$1007,K142)=1,IFERROR(INDEX('06-نتایج بازنگری'!$D$8:$D$1007,MATCH(K142,'06-نتایج بازنگری'!$A$8:$A$1007,0)),"")=B142,IFERROR(INDEX('06-نتایج بازنگری'!$P$8:$P$1007,MATCH(K142,'06-نتایج بازنگری'!$A$8:$A$1007,0)),"")="معتبر",IFERROR(INDEX('06-نتایج بازنگری'!$F$8:$F$1007,MATCH(K142,'06-نتایج بازنگری'!$A$8:$A$1007,0)),"")=G142),IF(J142="ابلاغ",AND(COUNTIFS('20-ابلاغ نتایج'!$A$8:$A$1007,K142)=1,IFERROR(INDEX('20-ابلاغ نتایج'!$E$8:$E$1007,MATCH(K142,'20-ابلاغ نتایج'!$A$8:$A$1007,0)),"")=B142,IFERROR(INDEX('20-ابلاغ نتایج'!$L$8:$L$1007,MATCH(K142,'20-ابلاغ نتایج'!$A$8:$A$1007,0)),"")="معتبر"),FALSE))))),"سابقه یا شواهد ناقص",IF(IFERROR(INDEX('18-دامنه استانداردها'!$J$8:$J$1007,MATCH(C142&amp;"|"&amp;G142,'18-دامنه استانداردها'!$A$8:$A$1007,0)),"")="تأیید شده","شواهد مرتبط ثبت شد؛ تأیید ممیز لازم",IF(IFERROR(INDEX('18-دامنه استانداردها'!$J$8:$J$1007,MATCH(C142&amp;"|"&amp;G142,'18-دامنه استانداردها'!$A$8:$A$1007,0)),"")="فرضی","پوشش فرضی؛ آموزشی","شواهد حاضر؛ تطبیق نسخه باز"))))))))</f>
        <v>بررسی نشده؛ سابقه لازم</v>
      </c>
      <c r="O142" s="1" t="s">
        <v>1215</v>
      </c>
    </row>
    <row r="143" spans="1:15" ht="36" customHeight="1">
      <c r="A143" s="1" t="s">
        <v>1351</v>
      </c>
      <c r="B143" s="1" t="s">
        <v>530</v>
      </c>
      <c r="C143" s="1" t="s">
        <v>99</v>
      </c>
      <c r="D143" s="1" t="s">
        <v>529</v>
      </c>
      <c r="E143" s="1" t="s">
        <v>531</v>
      </c>
      <c r="F143" s="1" t="s">
        <v>351</v>
      </c>
      <c r="G143" s="3" t="str">
        <f>IF(A143="","",IFERROR(INDEX('02-ماتریس الزامات'!$B$8:$B$1007,MATCH(F143,'02-ماتریس الزامات'!$A$8:$A$1007,0)),""))</f>
        <v>OHS</v>
      </c>
      <c r="H143" s="3" t="str">
        <f>IF(A143="","",IFERROR(INDEX('02-ماتریس الزامات'!$D$8:$D$1007,MATCH(F143,'02-ماتریس الزامات'!$A$8:$A$1007,0)),""))</f>
        <v>9.3</v>
      </c>
      <c r="I143" s="3" t="str">
        <f>IF(A143="","",IFERROR(INDEX('02-ماتریس الزامات'!$F$8:$F$1007,MATCH(F143,'02-ماتریس الزامات'!$A$8:$A$1007,0)),""))</f>
        <v>تغییر سیستم</v>
      </c>
      <c r="J143" s="1" t="s">
        <v>1116</v>
      </c>
      <c r="K143" s="1"/>
      <c r="L143" s="1"/>
      <c r="M143" s="1"/>
      <c r="N143" s="3" t="str">
        <f>IF(A143="","",IF(NOT(AND(COUNTIFS('13-کنترل انطباق'!$A$8:$A$1007,A143)=1,AND(COUNTIFS('17-جلسات و دوره‌ها'!$A$8:$A$1007,B143)=1,IFERROR(INDEX('17-جلسات و دوره‌ها'!$B$8:$B$1007,MATCH(B143,'17-جلسات و دوره‌ها'!$A$8:$A$1007,0)),"")=C143,IFERROR(INDEX('17-جلسات و دوره‌ها'!$C$8:$C$1007,MATCH(B143,'17-جلسات و دوره‌ها'!$A$8:$A$1007,0)),"")=D143),COUNTIFS('02-ماتریس الزامات'!$A$8:$A$1007,F143)=1,COUNTIFS('18-دامنه استانداردها'!$A$8:$A$1007,C143&amp;"|"&amp;G143)=1)),"شناسه یا دامنه نامعتبر",IF(IFERROR(INDEX('18-دامنه استانداردها'!$D$8:$D$1007,MATCH(C143&amp;"|"&amp;G143,'18-دامنه استانداردها'!$A$8:$A$1007,0)),"")="خیر",IF(AND(L143&lt;&gt;"",M143&lt;&gt;"",IFERROR(INDEX('18-دامنه استانداردها'!$H$8:$H$1007,MATCH(C143&amp;"|"&amp;G143,'18-دامنه استانداردها'!$A$8:$A$1007,0)),"")&lt;&gt;"",IFERROR(INDEX('18-دامنه استانداردها'!$I$8:$I$1007,MATCH(C143&amp;"|"&amp;G143,'18-دامنه استانداردها'!$A$8:$A$1007,0)),"")&lt;&gt;""),"عدم کاربرد مستند","عدم کاربرد بدون توجیه"),IF(IFERROR(INDEX('18-دامنه استانداردها'!$D$8:$D$1007,MATCH(C143&amp;"|"&amp;G143,'18-دامنه استانداردها'!$A$8:$A$1007,0)),"")&lt;&gt;"بله","دامنه نامشخص",IF(K143="","بررسی نشده؛ سابقه لازم",IF(NOT(IF(J143="ورودی",AND(COUNTIFS('03-ورودی‌های بازنگری'!$A$8:$A$1007,K143)=1,IFERROR(INDEX('03-ورودی‌های بازنگری'!$D$8:$D$1007,MATCH(K143,'03-ورودی‌های بازنگری'!$A$8:$A$1007,0)),"")=B143,IFERROR(INDEX('03-ورودی‌های بازنگری'!$R$8:$R$1007,MATCH(K143,'03-ورودی‌های بازنگری'!$A$8:$A$1007,0)),"")="معتبر"),IF(J143="تصمیم",AND(COUNTIFS('07-تصمیمات و مصوبات'!$A$8:$A$1007,K143)=1,IFERROR(INDEX('07-تصمیمات و مصوبات'!$B$8:$B$1007,MATCH(K143,'07-تصمیمات و مصوبات'!$A$8:$A$1007,0)),"")=B143,IFERROR(INDEX('07-تصمیمات و مصوبات'!$Z$8:$Z$1007,MATCH(K143,'07-تصمیمات و مصوبات'!$A$8:$A$1007,0)),"")="معتبر",COUNTIFS('15-روابط'!$B$8:$B$1007,K143,'15-روابط'!$C$8:$C$1007,"الزام",'15-روابط'!$D$8:$D$1007,F143,'15-روابط'!$E$8:$E$1007,"رابطه معتبر")&gt;0),IF(J143="نتیجه",AND(COUNTIFS('06-نتایج بازنگری'!$A$8:$A$1007,K143)=1,IFERROR(INDEX('06-نتایج بازنگری'!$D$8:$D$1007,MATCH(K143,'06-نتایج بازنگری'!$A$8:$A$1007,0)),"")=B143,IFERROR(INDEX('06-نتایج بازنگری'!$P$8:$P$1007,MATCH(K143,'06-نتایج بازنگری'!$A$8:$A$1007,0)),"")="معتبر",IFERROR(INDEX('06-نتایج بازنگری'!$F$8:$F$1007,MATCH(K143,'06-نتایج بازنگری'!$A$8:$A$1007,0)),"")=G143),IF(J143="ابلاغ",AND(COUNTIFS('20-ابلاغ نتایج'!$A$8:$A$1007,K143)=1,IFERROR(INDEX('20-ابلاغ نتایج'!$E$8:$E$1007,MATCH(K143,'20-ابلاغ نتایج'!$A$8:$A$1007,0)),"")=B143,IFERROR(INDEX('20-ابلاغ نتایج'!$L$8:$L$1007,MATCH(K143,'20-ابلاغ نتایج'!$A$8:$A$1007,0)),"")="معتبر"),FALSE))))),"سابقه یا شواهد ناقص",IF(IFERROR(INDEX('18-دامنه استانداردها'!$J$8:$J$1007,MATCH(C143&amp;"|"&amp;G143,'18-دامنه استانداردها'!$A$8:$A$1007,0)),"")="تأیید شده","شواهد مرتبط ثبت شد؛ تأیید ممیز لازم",IF(IFERROR(INDEX('18-دامنه استانداردها'!$J$8:$J$1007,MATCH(C143&amp;"|"&amp;G143,'18-دامنه استانداردها'!$A$8:$A$1007,0)),"")="فرضی","پوشش فرضی؛ آموزشی","شواهد حاضر؛ تطبیق نسخه باز"))))))))</f>
        <v>بررسی نشده؛ سابقه لازم</v>
      </c>
      <c r="O143" s="1" t="s">
        <v>1215</v>
      </c>
    </row>
    <row r="144" spans="1:15" ht="36" customHeight="1">
      <c r="A144" s="1" t="s">
        <v>1352</v>
      </c>
      <c r="B144" s="1" t="s">
        <v>83</v>
      </c>
      <c r="C144" s="1" t="s">
        <v>77</v>
      </c>
      <c r="D144" s="1" t="s">
        <v>80</v>
      </c>
      <c r="E144" s="1" t="s">
        <v>379</v>
      </c>
      <c r="F144" s="1" t="s">
        <v>352</v>
      </c>
      <c r="G144" s="3" t="str">
        <f>IF(A144="","",IFERROR(INDEX('02-ماتریس الزامات'!$B$8:$B$1007,MATCH(F144,'02-ماتریس الزامات'!$A$8:$A$1007,0)),""))</f>
        <v>OHS</v>
      </c>
      <c r="H144" s="3" t="str">
        <f>IF(A144="","",IFERROR(INDEX('02-ماتریس الزامات'!$D$8:$D$1007,MATCH(F144,'02-ماتریس الزامات'!$A$8:$A$1007,0)),""))</f>
        <v>9.3</v>
      </c>
      <c r="I144" s="3" t="str">
        <f>IF(A144="","",IFERROR(INDEX('02-ماتریس الزامات'!$F$8:$F$1007,MATCH(F144,'02-ماتریس الزامات'!$A$8:$A$1007,0)),""))</f>
        <v>نیاز منابع</v>
      </c>
      <c r="J144" s="1" t="s">
        <v>1116</v>
      </c>
      <c r="K144" s="1"/>
      <c r="L144" s="1"/>
      <c r="M144" s="1"/>
      <c r="N144" s="3" t="str">
        <f>IF(A144="","",IF(NOT(AND(COUNTIFS('13-کنترل انطباق'!$A$8:$A$1007,A144)=1,AND(COUNTIFS('17-جلسات و دوره‌ها'!$A$8:$A$1007,B144)=1,IFERROR(INDEX('17-جلسات و دوره‌ها'!$B$8:$B$1007,MATCH(B144,'17-جلسات و دوره‌ها'!$A$8:$A$1007,0)),"")=C144,IFERROR(INDEX('17-جلسات و دوره‌ها'!$C$8:$C$1007,MATCH(B144,'17-جلسات و دوره‌ها'!$A$8:$A$1007,0)),"")=D144),COUNTIFS('02-ماتریس الزامات'!$A$8:$A$1007,F144)=1,COUNTIFS('18-دامنه استانداردها'!$A$8:$A$1007,C144&amp;"|"&amp;G144)=1)),"شناسه یا دامنه نامعتبر",IF(IFERROR(INDEX('18-دامنه استانداردها'!$D$8:$D$1007,MATCH(C144&amp;"|"&amp;G144,'18-دامنه استانداردها'!$A$8:$A$1007,0)),"")="خیر",IF(AND(L144&lt;&gt;"",M144&lt;&gt;"",IFERROR(INDEX('18-دامنه استانداردها'!$H$8:$H$1007,MATCH(C144&amp;"|"&amp;G144,'18-دامنه استانداردها'!$A$8:$A$1007,0)),"")&lt;&gt;"",IFERROR(INDEX('18-دامنه استانداردها'!$I$8:$I$1007,MATCH(C144&amp;"|"&amp;G144,'18-دامنه استانداردها'!$A$8:$A$1007,0)),"")&lt;&gt;""),"عدم کاربرد مستند","عدم کاربرد بدون توجیه"),IF(IFERROR(INDEX('18-دامنه استانداردها'!$D$8:$D$1007,MATCH(C144&amp;"|"&amp;G144,'18-دامنه استانداردها'!$A$8:$A$1007,0)),"")&lt;&gt;"بله","دامنه نامشخص",IF(K144="","بررسی نشده؛ سابقه لازم",IF(NOT(IF(J144="ورودی",AND(COUNTIFS('03-ورودی‌های بازنگری'!$A$8:$A$1007,K144)=1,IFERROR(INDEX('03-ورودی‌های بازنگری'!$D$8:$D$1007,MATCH(K144,'03-ورودی‌های بازنگری'!$A$8:$A$1007,0)),"")=B144,IFERROR(INDEX('03-ورودی‌های بازنگری'!$R$8:$R$1007,MATCH(K144,'03-ورودی‌های بازنگری'!$A$8:$A$1007,0)),"")="معتبر"),IF(J144="تصمیم",AND(COUNTIFS('07-تصمیمات و مصوبات'!$A$8:$A$1007,K144)=1,IFERROR(INDEX('07-تصمیمات و مصوبات'!$B$8:$B$1007,MATCH(K144,'07-تصمیمات و مصوبات'!$A$8:$A$1007,0)),"")=B144,IFERROR(INDEX('07-تصمیمات و مصوبات'!$Z$8:$Z$1007,MATCH(K144,'07-تصمیمات و مصوبات'!$A$8:$A$1007,0)),"")="معتبر",COUNTIFS('15-روابط'!$B$8:$B$1007,K144,'15-روابط'!$C$8:$C$1007,"الزام",'15-روابط'!$D$8:$D$1007,F144,'15-روابط'!$E$8:$E$1007,"رابطه معتبر")&gt;0),IF(J144="نتیجه",AND(COUNTIFS('06-نتایج بازنگری'!$A$8:$A$1007,K144)=1,IFERROR(INDEX('06-نتایج بازنگری'!$D$8:$D$1007,MATCH(K144,'06-نتایج بازنگری'!$A$8:$A$1007,0)),"")=B144,IFERROR(INDEX('06-نتایج بازنگری'!$P$8:$P$1007,MATCH(K144,'06-نتایج بازنگری'!$A$8:$A$1007,0)),"")="معتبر",IFERROR(INDEX('06-نتایج بازنگری'!$F$8:$F$1007,MATCH(K144,'06-نتایج بازنگری'!$A$8:$A$1007,0)),"")=G144),IF(J144="ابلاغ",AND(COUNTIFS('20-ابلاغ نتایج'!$A$8:$A$1007,K144)=1,IFERROR(INDEX('20-ابلاغ نتایج'!$E$8:$E$1007,MATCH(K144,'20-ابلاغ نتایج'!$A$8:$A$1007,0)),"")=B144,IFERROR(INDEX('20-ابلاغ نتایج'!$L$8:$L$1007,MATCH(K144,'20-ابلاغ نتایج'!$A$8:$A$1007,0)),"")="معتبر"),FALSE))))),"سابقه یا شواهد ناقص",IF(IFERROR(INDEX('18-دامنه استانداردها'!$J$8:$J$1007,MATCH(C144&amp;"|"&amp;G144,'18-دامنه استانداردها'!$A$8:$A$1007,0)),"")="تأیید شده","شواهد مرتبط ثبت شد؛ تأیید ممیز لازم",IF(IFERROR(INDEX('18-دامنه استانداردها'!$J$8:$J$1007,MATCH(C144&amp;"|"&amp;G144,'18-دامنه استانداردها'!$A$8:$A$1007,0)),"")="فرضی","پوشش فرضی؛ آموزشی","شواهد حاضر؛ تطبیق نسخه باز"))))))))</f>
        <v>بررسی نشده؛ سابقه لازم</v>
      </c>
      <c r="O144" s="1" t="s">
        <v>1215</v>
      </c>
    </row>
    <row r="145" spans="1:15" ht="36" customHeight="1">
      <c r="A145" s="1" t="s">
        <v>1353</v>
      </c>
      <c r="B145" s="1" t="s">
        <v>530</v>
      </c>
      <c r="C145" s="1" t="s">
        <v>99</v>
      </c>
      <c r="D145" s="1" t="s">
        <v>529</v>
      </c>
      <c r="E145" s="1" t="s">
        <v>531</v>
      </c>
      <c r="F145" s="1" t="s">
        <v>352</v>
      </c>
      <c r="G145" s="3" t="str">
        <f>IF(A145="","",IFERROR(INDEX('02-ماتریس الزامات'!$B$8:$B$1007,MATCH(F145,'02-ماتریس الزامات'!$A$8:$A$1007,0)),""))</f>
        <v>OHS</v>
      </c>
      <c r="H145" s="3" t="str">
        <f>IF(A145="","",IFERROR(INDEX('02-ماتریس الزامات'!$D$8:$D$1007,MATCH(F145,'02-ماتریس الزامات'!$A$8:$A$1007,0)),""))</f>
        <v>9.3</v>
      </c>
      <c r="I145" s="3" t="str">
        <f>IF(A145="","",IFERROR(INDEX('02-ماتریس الزامات'!$F$8:$F$1007,MATCH(F145,'02-ماتریس الزامات'!$A$8:$A$1007,0)),""))</f>
        <v>نیاز منابع</v>
      </c>
      <c r="J145" s="1" t="s">
        <v>1116</v>
      </c>
      <c r="K145" s="1"/>
      <c r="L145" s="1"/>
      <c r="M145" s="1"/>
      <c r="N145" s="3" t="str">
        <f>IF(A145="","",IF(NOT(AND(COUNTIFS('13-کنترل انطباق'!$A$8:$A$1007,A145)=1,AND(COUNTIFS('17-جلسات و دوره‌ها'!$A$8:$A$1007,B145)=1,IFERROR(INDEX('17-جلسات و دوره‌ها'!$B$8:$B$1007,MATCH(B145,'17-جلسات و دوره‌ها'!$A$8:$A$1007,0)),"")=C145,IFERROR(INDEX('17-جلسات و دوره‌ها'!$C$8:$C$1007,MATCH(B145,'17-جلسات و دوره‌ها'!$A$8:$A$1007,0)),"")=D145),COUNTIFS('02-ماتریس الزامات'!$A$8:$A$1007,F145)=1,COUNTIFS('18-دامنه استانداردها'!$A$8:$A$1007,C145&amp;"|"&amp;G145)=1)),"شناسه یا دامنه نامعتبر",IF(IFERROR(INDEX('18-دامنه استانداردها'!$D$8:$D$1007,MATCH(C145&amp;"|"&amp;G145,'18-دامنه استانداردها'!$A$8:$A$1007,0)),"")="خیر",IF(AND(L145&lt;&gt;"",M145&lt;&gt;"",IFERROR(INDEX('18-دامنه استانداردها'!$H$8:$H$1007,MATCH(C145&amp;"|"&amp;G145,'18-دامنه استانداردها'!$A$8:$A$1007,0)),"")&lt;&gt;"",IFERROR(INDEX('18-دامنه استانداردها'!$I$8:$I$1007,MATCH(C145&amp;"|"&amp;G145,'18-دامنه استانداردها'!$A$8:$A$1007,0)),"")&lt;&gt;""),"عدم کاربرد مستند","عدم کاربرد بدون توجیه"),IF(IFERROR(INDEX('18-دامنه استانداردها'!$D$8:$D$1007,MATCH(C145&amp;"|"&amp;G145,'18-دامنه استانداردها'!$A$8:$A$1007,0)),"")&lt;&gt;"بله","دامنه نامشخص",IF(K145="","بررسی نشده؛ سابقه لازم",IF(NOT(IF(J145="ورودی",AND(COUNTIFS('03-ورودی‌های بازنگری'!$A$8:$A$1007,K145)=1,IFERROR(INDEX('03-ورودی‌های بازنگری'!$D$8:$D$1007,MATCH(K145,'03-ورودی‌های بازنگری'!$A$8:$A$1007,0)),"")=B145,IFERROR(INDEX('03-ورودی‌های بازنگری'!$R$8:$R$1007,MATCH(K145,'03-ورودی‌های بازنگری'!$A$8:$A$1007,0)),"")="معتبر"),IF(J145="تصمیم",AND(COUNTIFS('07-تصمیمات و مصوبات'!$A$8:$A$1007,K145)=1,IFERROR(INDEX('07-تصمیمات و مصوبات'!$B$8:$B$1007,MATCH(K145,'07-تصمیمات و مصوبات'!$A$8:$A$1007,0)),"")=B145,IFERROR(INDEX('07-تصمیمات و مصوبات'!$Z$8:$Z$1007,MATCH(K145,'07-تصمیمات و مصوبات'!$A$8:$A$1007,0)),"")="معتبر",COUNTIFS('15-روابط'!$B$8:$B$1007,K145,'15-روابط'!$C$8:$C$1007,"الزام",'15-روابط'!$D$8:$D$1007,F145,'15-روابط'!$E$8:$E$1007,"رابطه معتبر")&gt;0),IF(J145="نتیجه",AND(COUNTIFS('06-نتایج بازنگری'!$A$8:$A$1007,K145)=1,IFERROR(INDEX('06-نتایج بازنگری'!$D$8:$D$1007,MATCH(K145,'06-نتایج بازنگری'!$A$8:$A$1007,0)),"")=B145,IFERROR(INDEX('06-نتایج بازنگری'!$P$8:$P$1007,MATCH(K145,'06-نتایج بازنگری'!$A$8:$A$1007,0)),"")="معتبر",IFERROR(INDEX('06-نتایج بازنگری'!$F$8:$F$1007,MATCH(K145,'06-نتایج بازنگری'!$A$8:$A$1007,0)),"")=G145),IF(J145="ابلاغ",AND(COUNTIFS('20-ابلاغ نتایج'!$A$8:$A$1007,K145)=1,IFERROR(INDEX('20-ابلاغ نتایج'!$E$8:$E$1007,MATCH(K145,'20-ابلاغ نتایج'!$A$8:$A$1007,0)),"")=B145,IFERROR(INDEX('20-ابلاغ نتایج'!$L$8:$L$1007,MATCH(K145,'20-ابلاغ نتایج'!$A$8:$A$1007,0)),"")="معتبر"),FALSE))))),"سابقه یا شواهد ناقص",IF(IFERROR(INDEX('18-دامنه استانداردها'!$J$8:$J$1007,MATCH(C145&amp;"|"&amp;G145,'18-دامنه استانداردها'!$A$8:$A$1007,0)),"")="تأیید شده","شواهد مرتبط ثبت شد؛ تأیید ممیز لازم",IF(IFERROR(INDEX('18-دامنه استانداردها'!$J$8:$J$1007,MATCH(C145&amp;"|"&amp;G145,'18-دامنه استانداردها'!$A$8:$A$1007,0)),"")="فرضی","پوشش فرضی؛ آموزشی","شواهد حاضر؛ تطبیق نسخه باز"))))))))</f>
        <v>بررسی نشده؛ سابقه لازم</v>
      </c>
      <c r="O145" s="1" t="s">
        <v>1215</v>
      </c>
    </row>
    <row r="146" spans="1:15" ht="36" customHeight="1">
      <c r="A146" s="1" t="s">
        <v>1354</v>
      </c>
      <c r="B146" s="1" t="s">
        <v>83</v>
      </c>
      <c r="C146" s="1" t="s">
        <v>77</v>
      </c>
      <c r="D146" s="1" t="s">
        <v>80</v>
      </c>
      <c r="E146" s="1" t="s">
        <v>379</v>
      </c>
      <c r="F146" s="1" t="s">
        <v>353</v>
      </c>
      <c r="G146" s="3" t="str">
        <f>IF(A146="","",IFERROR(INDEX('02-ماتریس الزامات'!$B$8:$B$1007,MATCH(F146,'02-ماتریس الزامات'!$A$8:$A$1007,0)),""))</f>
        <v>OHS</v>
      </c>
      <c r="H146" s="3" t="str">
        <f>IF(A146="","",IFERROR(INDEX('02-ماتریس الزامات'!$D$8:$D$1007,MATCH(F146,'02-ماتریس الزامات'!$A$8:$A$1007,0)),""))</f>
        <v>9.3</v>
      </c>
      <c r="I146" s="3" t="str">
        <f>IF(A146="","",IFERROR(INDEX('02-ماتریس الزامات'!$F$8:$F$1007,MATCH(F146,'02-ماتریس الزامات'!$A$8:$A$1007,0)),""))</f>
        <v>یکپارچگی با فرآیندهای کسب‌وکار</v>
      </c>
      <c r="J146" s="1" t="s">
        <v>1116</v>
      </c>
      <c r="K146" s="1"/>
      <c r="L146" s="1"/>
      <c r="M146" s="1"/>
      <c r="N146" s="3" t="str">
        <f>IF(A146="","",IF(NOT(AND(COUNTIFS('13-کنترل انطباق'!$A$8:$A$1007,A146)=1,AND(COUNTIFS('17-جلسات و دوره‌ها'!$A$8:$A$1007,B146)=1,IFERROR(INDEX('17-جلسات و دوره‌ها'!$B$8:$B$1007,MATCH(B146,'17-جلسات و دوره‌ها'!$A$8:$A$1007,0)),"")=C146,IFERROR(INDEX('17-جلسات و دوره‌ها'!$C$8:$C$1007,MATCH(B146,'17-جلسات و دوره‌ها'!$A$8:$A$1007,0)),"")=D146),COUNTIFS('02-ماتریس الزامات'!$A$8:$A$1007,F146)=1,COUNTIFS('18-دامنه استانداردها'!$A$8:$A$1007,C146&amp;"|"&amp;G146)=1)),"شناسه یا دامنه نامعتبر",IF(IFERROR(INDEX('18-دامنه استانداردها'!$D$8:$D$1007,MATCH(C146&amp;"|"&amp;G146,'18-دامنه استانداردها'!$A$8:$A$1007,0)),"")="خیر",IF(AND(L146&lt;&gt;"",M146&lt;&gt;"",IFERROR(INDEX('18-دامنه استانداردها'!$H$8:$H$1007,MATCH(C146&amp;"|"&amp;G146,'18-دامنه استانداردها'!$A$8:$A$1007,0)),"")&lt;&gt;"",IFERROR(INDEX('18-دامنه استانداردها'!$I$8:$I$1007,MATCH(C146&amp;"|"&amp;G146,'18-دامنه استانداردها'!$A$8:$A$1007,0)),"")&lt;&gt;""),"عدم کاربرد مستند","عدم کاربرد بدون توجیه"),IF(IFERROR(INDEX('18-دامنه استانداردها'!$D$8:$D$1007,MATCH(C146&amp;"|"&amp;G146,'18-دامنه استانداردها'!$A$8:$A$1007,0)),"")&lt;&gt;"بله","دامنه نامشخص",IF(K146="","بررسی نشده؛ سابقه لازم",IF(NOT(IF(J146="ورودی",AND(COUNTIFS('03-ورودی‌های بازنگری'!$A$8:$A$1007,K146)=1,IFERROR(INDEX('03-ورودی‌های بازنگری'!$D$8:$D$1007,MATCH(K146,'03-ورودی‌های بازنگری'!$A$8:$A$1007,0)),"")=B146,IFERROR(INDEX('03-ورودی‌های بازنگری'!$R$8:$R$1007,MATCH(K146,'03-ورودی‌های بازنگری'!$A$8:$A$1007,0)),"")="معتبر"),IF(J146="تصمیم",AND(COUNTIFS('07-تصمیمات و مصوبات'!$A$8:$A$1007,K146)=1,IFERROR(INDEX('07-تصمیمات و مصوبات'!$B$8:$B$1007,MATCH(K146,'07-تصمیمات و مصوبات'!$A$8:$A$1007,0)),"")=B146,IFERROR(INDEX('07-تصمیمات و مصوبات'!$Z$8:$Z$1007,MATCH(K146,'07-تصمیمات و مصوبات'!$A$8:$A$1007,0)),"")="معتبر",COUNTIFS('15-روابط'!$B$8:$B$1007,K146,'15-روابط'!$C$8:$C$1007,"الزام",'15-روابط'!$D$8:$D$1007,F146,'15-روابط'!$E$8:$E$1007,"رابطه معتبر")&gt;0),IF(J146="نتیجه",AND(COUNTIFS('06-نتایج بازنگری'!$A$8:$A$1007,K146)=1,IFERROR(INDEX('06-نتایج بازنگری'!$D$8:$D$1007,MATCH(K146,'06-نتایج بازنگری'!$A$8:$A$1007,0)),"")=B146,IFERROR(INDEX('06-نتایج بازنگری'!$P$8:$P$1007,MATCH(K146,'06-نتایج بازنگری'!$A$8:$A$1007,0)),"")="معتبر",IFERROR(INDEX('06-نتایج بازنگری'!$F$8:$F$1007,MATCH(K146,'06-نتایج بازنگری'!$A$8:$A$1007,0)),"")=G146),IF(J146="ابلاغ",AND(COUNTIFS('20-ابلاغ نتایج'!$A$8:$A$1007,K146)=1,IFERROR(INDEX('20-ابلاغ نتایج'!$E$8:$E$1007,MATCH(K146,'20-ابلاغ نتایج'!$A$8:$A$1007,0)),"")=B146,IFERROR(INDEX('20-ابلاغ نتایج'!$L$8:$L$1007,MATCH(K146,'20-ابلاغ نتایج'!$A$8:$A$1007,0)),"")="معتبر"),FALSE))))),"سابقه یا شواهد ناقص",IF(IFERROR(INDEX('18-دامنه استانداردها'!$J$8:$J$1007,MATCH(C146&amp;"|"&amp;G146,'18-دامنه استانداردها'!$A$8:$A$1007,0)),"")="تأیید شده","شواهد مرتبط ثبت شد؛ تأیید ممیز لازم",IF(IFERROR(INDEX('18-دامنه استانداردها'!$J$8:$J$1007,MATCH(C146&amp;"|"&amp;G146,'18-دامنه استانداردها'!$A$8:$A$1007,0)),"")="فرضی","پوشش فرضی؛ آموزشی","شواهد حاضر؛ تطبیق نسخه باز"))))))))</f>
        <v>بررسی نشده؛ سابقه لازم</v>
      </c>
      <c r="O146" s="1" t="s">
        <v>1215</v>
      </c>
    </row>
    <row r="147" spans="1:15" ht="36" customHeight="1">
      <c r="A147" s="1" t="s">
        <v>1355</v>
      </c>
      <c r="B147" s="1" t="s">
        <v>530</v>
      </c>
      <c r="C147" s="1" t="s">
        <v>99</v>
      </c>
      <c r="D147" s="1" t="s">
        <v>529</v>
      </c>
      <c r="E147" s="1" t="s">
        <v>531</v>
      </c>
      <c r="F147" s="1" t="s">
        <v>353</v>
      </c>
      <c r="G147" s="3" t="str">
        <f>IF(A147="","",IFERROR(INDEX('02-ماتریس الزامات'!$B$8:$B$1007,MATCH(F147,'02-ماتریس الزامات'!$A$8:$A$1007,0)),""))</f>
        <v>OHS</v>
      </c>
      <c r="H147" s="3" t="str">
        <f>IF(A147="","",IFERROR(INDEX('02-ماتریس الزامات'!$D$8:$D$1007,MATCH(F147,'02-ماتریس الزامات'!$A$8:$A$1007,0)),""))</f>
        <v>9.3</v>
      </c>
      <c r="I147" s="3" t="str">
        <f>IF(A147="","",IFERROR(INDEX('02-ماتریس الزامات'!$F$8:$F$1007,MATCH(F147,'02-ماتریس الزامات'!$A$8:$A$1007,0)),""))</f>
        <v>یکپارچگی با فرآیندهای کسب‌وکار</v>
      </c>
      <c r="J147" s="1" t="s">
        <v>1116</v>
      </c>
      <c r="K147" s="1"/>
      <c r="L147" s="1"/>
      <c r="M147" s="1"/>
      <c r="N147" s="3" t="str">
        <f>IF(A147="","",IF(NOT(AND(COUNTIFS('13-کنترل انطباق'!$A$8:$A$1007,A147)=1,AND(COUNTIFS('17-جلسات و دوره‌ها'!$A$8:$A$1007,B147)=1,IFERROR(INDEX('17-جلسات و دوره‌ها'!$B$8:$B$1007,MATCH(B147,'17-جلسات و دوره‌ها'!$A$8:$A$1007,0)),"")=C147,IFERROR(INDEX('17-جلسات و دوره‌ها'!$C$8:$C$1007,MATCH(B147,'17-جلسات و دوره‌ها'!$A$8:$A$1007,0)),"")=D147),COUNTIFS('02-ماتریس الزامات'!$A$8:$A$1007,F147)=1,COUNTIFS('18-دامنه استانداردها'!$A$8:$A$1007,C147&amp;"|"&amp;G147)=1)),"شناسه یا دامنه نامعتبر",IF(IFERROR(INDEX('18-دامنه استانداردها'!$D$8:$D$1007,MATCH(C147&amp;"|"&amp;G147,'18-دامنه استانداردها'!$A$8:$A$1007,0)),"")="خیر",IF(AND(L147&lt;&gt;"",M147&lt;&gt;"",IFERROR(INDEX('18-دامنه استانداردها'!$H$8:$H$1007,MATCH(C147&amp;"|"&amp;G147,'18-دامنه استانداردها'!$A$8:$A$1007,0)),"")&lt;&gt;"",IFERROR(INDEX('18-دامنه استانداردها'!$I$8:$I$1007,MATCH(C147&amp;"|"&amp;G147,'18-دامنه استانداردها'!$A$8:$A$1007,0)),"")&lt;&gt;""),"عدم کاربرد مستند","عدم کاربرد بدون توجیه"),IF(IFERROR(INDEX('18-دامنه استانداردها'!$D$8:$D$1007,MATCH(C147&amp;"|"&amp;G147,'18-دامنه استانداردها'!$A$8:$A$1007,0)),"")&lt;&gt;"بله","دامنه نامشخص",IF(K147="","بررسی نشده؛ سابقه لازم",IF(NOT(IF(J147="ورودی",AND(COUNTIFS('03-ورودی‌های بازنگری'!$A$8:$A$1007,K147)=1,IFERROR(INDEX('03-ورودی‌های بازنگری'!$D$8:$D$1007,MATCH(K147,'03-ورودی‌های بازنگری'!$A$8:$A$1007,0)),"")=B147,IFERROR(INDEX('03-ورودی‌های بازنگری'!$R$8:$R$1007,MATCH(K147,'03-ورودی‌های بازنگری'!$A$8:$A$1007,0)),"")="معتبر"),IF(J147="تصمیم",AND(COUNTIFS('07-تصمیمات و مصوبات'!$A$8:$A$1007,K147)=1,IFERROR(INDEX('07-تصمیمات و مصوبات'!$B$8:$B$1007,MATCH(K147,'07-تصمیمات و مصوبات'!$A$8:$A$1007,0)),"")=B147,IFERROR(INDEX('07-تصمیمات و مصوبات'!$Z$8:$Z$1007,MATCH(K147,'07-تصمیمات و مصوبات'!$A$8:$A$1007,0)),"")="معتبر",COUNTIFS('15-روابط'!$B$8:$B$1007,K147,'15-روابط'!$C$8:$C$1007,"الزام",'15-روابط'!$D$8:$D$1007,F147,'15-روابط'!$E$8:$E$1007,"رابطه معتبر")&gt;0),IF(J147="نتیجه",AND(COUNTIFS('06-نتایج بازنگری'!$A$8:$A$1007,K147)=1,IFERROR(INDEX('06-نتایج بازنگری'!$D$8:$D$1007,MATCH(K147,'06-نتایج بازنگری'!$A$8:$A$1007,0)),"")=B147,IFERROR(INDEX('06-نتایج بازنگری'!$P$8:$P$1007,MATCH(K147,'06-نتایج بازنگری'!$A$8:$A$1007,0)),"")="معتبر",IFERROR(INDEX('06-نتایج بازنگری'!$F$8:$F$1007,MATCH(K147,'06-نتایج بازنگری'!$A$8:$A$1007,0)),"")=G147),IF(J147="ابلاغ",AND(COUNTIFS('20-ابلاغ نتایج'!$A$8:$A$1007,K147)=1,IFERROR(INDEX('20-ابلاغ نتایج'!$E$8:$E$1007,MATCH(K147,'20-ابلاغ نتایج'!$A$8:$A$1007,0)),"")=B147,IFERROR(INDEX('20-ابلاغ نتایج'!$L$8:$L$1007,MATCH(K147,'20-ابلاغ نتایج'!$A$8:$A$1007,0)),"")="معتبر"),FALSE))))),"سابقه یا شواهد ناقص",IF(IFERROR(INDEX('18-دامنه استانداردها'!$J$8:$J$1007,MATCH(C147&amp;"|"&amp;G147,'18-دامنه استانداردها'!$A$8:$A$1007,0)),"")="تأیید شده","شواهد مرتبط ثبت شد؛ تأیید ممیز لازم",IF(IFERROR(INDEX('18-دامنه استانداردها'!$J$8:$J$1007,MATCH(C147&amp;"|"&amp;G147,'18-دامنه استانداردها'!$A$8:$A$1007,0)),"")="فرضی","پوشش فرضی؛ آموزشی","شواهد حاضر؛ تطبیق نسخه باز"))))))))</f>
        <v>بررسی نشده؛ سابقه لازم</v>
      </c>
      <c r="O147" s="1" t="s">
        <v>1215</v>
      </c>
    </row>
    <row r="148" spans="1:15" ht="36" customHeight="1">
      <c r="A148" s="1" t="s">
        <v>1356</v>
      </c>
      <c r="B148" s="1" t="s">
        <v>83</v>
      </c>
      <c r="C148" s="1" t="s">
        <v>77</v>
      </c>
      <c r="D148" s="1" t="s">
        <v>80</v>
      </c>
      <c r="E148" s="1" t="s">
        <v>379</v>
      </c>
      <c r="F148" s="1" t="s">
        <v>354</v>
      </c>
      <c r="G148" s="3" t="str">
        <f>IF(A148="","",IFERROR(INDEX('02-ماتریس الزامات'!$B$8:$B$1007,MATCH(F148,'02-ماتریس الزامات'!$A$8:$A$1007,0)),""))</f>
        <v>OHS</v>
      </c>
      <c r="H148" s="3" t="str">
        <f>IF(A148="","",IFERROR(INDEX('02-ماتریس الزامات'!$D$8:$D$1007,MATCH(F148,'02-ماتریس الزامات'!$A$8:$A$1007,0)),""))</f>
        <v>9.3</v>
      </c>
      <c r="I148" s="3" t="str">
        <f>IF(A148="","",IFERROR(INDEX('02-ماتریس الزامات'!$F$8:$F$1007,MATCH(F148,'02-ماتریس الزامات'!$A$8:$A$1007,0)),""))</f>
        <v>پیامدهای راهبردی</v>
      </c>
      <c r="J148" s="1" t="s">
        <v>1116</v>
      </c>
      <c r="K148" s="1"/>
      <c r="L148" s="1"/>
      <c r="M148" s="1"/>
      <c r="N148" s="3" t="str">
        <f>IF(A148="","",IF(NOT(AND(COUNTIFS('13-کنترل انطباق'!$A$8:$A$1007,A148)=1,AND(COUNTIFS('17-جلسات و دوره‌ها'!$A$8:$A$1007,B148)=1,IFERROR(INDEX('17-جلسات و دوره‌ها'!$B$8:$B$1007,MATCH(B148,'17-جلسات و دوره‌ها'!$A$8:$A$1007,0)),"")=C148,IFERROR(INDEX('17-جلسات و دوره‌ها'!$C$8:$C$1007,MATCH(B148,'17-جلسات و دوره‌ها'!$A$8:$A$1007,0)),"")=D148),COUNTIFS('02-ماتریس الزامات'!$A$8:$A$1007,F148)=1,COUNTIFS('18-دامنه استانداردها'!$A$8:$A$1007,C148&amp;"|"&amp;G148)=1)),"شناسه یا دامنه نامعتبر",IF(IFERROR(INDEX('18-دامنه استانداردها'!$D$8:$D$1007,MATCH(C148&amp;"|"&amp;G148,'18-دامنه استانداردها'!$A$8:$A$1007,0)),"")="خیر",IF(AND(L148&lt;&gt;"",M148&lt;&gt;"",IFERROR(INDEX('18-دامنه استانداردها'!$H$8:$H$1007,MATCH(C148&amp;"|"&amp;G148,'18-دامنه استانداردها'!$A$8:$A$1007,0)),"")&lt;&gt;"",IFERROR(INDEX('18-دامنه استانداردها'!$I$8:$I$1007,MATCH(C148&amp;"|"&amp;G148,'18-دامنه استانداردها'!$A$8:$A$1007,0)),"")&lt;&gt;""),"عدم کاربرد مستند","عدم کاربرد بدون توجیه"),IF(IFERROR(INDEX('18-دامنه استانداردها'!$D$8:$D$1007,MATCH(C148&amp;"|"&amp;G148,'18-دامنه استانداردها'!$A$8:$A$1007,0)),"")&lt;&gt;"بله","دامنه نامشخص",IF(K148="","بررسی نشده؛ سابقه لازم",IF(NOT(IF(J148="ورودی",AND(COUNTIFS('03-ورودی‌های بازنگری'!$A$8:$A$1007,K148)=1,IFERROR(INDEX('03-ورودی‌های بازنگری'!$D$8:$D$1007,MATCH(K148,'03-ورودی‌های بازنگری'!$A$8:$A$1007,0)),"")=B148,IFERROR(INDEX('03-ورودی‌های بازنگری'!$R$8:$R$1007,MATCH(K148,'03-ورودی‌های بازنگری'!$A$8:$A$1007,0)),"")="معتبر"),IF(J148="تصمیم",AND(COUNTIFS('07-تصمیمات و مصوبات'!$A$8:$A$1007,K148)=1,IFERROR(INDEX('07-تصمیمات و مصوبات'!$B$8:$B$1007,MATCH(K148,'07-تصمیمات و مصوبات'!$A$8:$A$1007,0)),"")=B148,IFERROR(INDEX('07-تصمیمات و مصوبات'!$Z$8:$Z$1007,MATCH(K148,'07-تصمیمات و مصوبات'!$A$8:$A$1007,0)),"")="معتبر",COUNTIFS('15-روابط'!$B$8:$B$1007,K148,'15-روابط'!$C$8:$C$1007,"الزام",'15-روابط'!$D$8:$D$1007,F148,'15-روابط'!$E$8:$E$1007,"رابطه معتبر")&gt;0),IF(J148="نتیجه",AND(COUNTIFS('06-نتایج بازنگری'!$A$8:$A$1007,K148)=1,IFERROR(INDEX('06-نتایج بازنگری'!$D$8:$D$1007,MATCH(K148,'06-نتایج بازنگری'!$A$8:$A$1007,0)),"")=B148,IFERROR(INDEX('06-نتایج بازنگری'!$P$8:$P$1007,MATCH(K148,'06-نتایج بازنگری'!$A$8:$A$1007,0)),"")="معتبر",IFERROR(INDEX('06-نتایج بازنگری'!$F$8:$F$1007,MATCH(K148,'06-نتایج بازنگری'!$A$8:$A$1007,0)),"")=G148),IF(J148="ابلاغ",AND(COUNTIFS('20-ابلاغ نتایج'!$A$8:$A$1007,K148)=1,IFERROR(INDEX('20-ابلاغ نتایج'!$E$8:$E$1007,MATCH(K148,'20-ابلاغ نتایج'!$A$8:$A$1007,0)),"")=B148,IFERROR(INDEX('20-ابلاغ نتایج'!$L$8:$L$1007,MATCH(K148,'20-ابلاغ نتایج'!$A$8:$A$1007,0)),"")="معتبر"),FALSE))))),"سابقه یا شواهد ناقص",IF(IFERROR(INDEX('18-دامنه استانداردها'!$J$8:$J$1007,MATCH(C148&amp;"|"&amp;G148,'18-دامنه استانداردها'!$A$8:$A$1007,0)),"")="تأیید شده","شواهد مرتبط ثبت شد؛ تأیید ممیز لازم",IF(IFERROR(INDEX('18-دامنه استانداردها'!$J$8:$J$1007,MATCH(C148&amp;"|"&amp;G148,'18-دامنه استانداردها'!$A$8:$A$1007,0)),"")="فرضی","پوشش فرضی؛ آموزشی","شواهد حاضر؛ تطبیق نسخه باز"))))))))</f>
        <v>بررسی نشده؛ سابقه لازم</v>
      </c>
      <c r="O148" s="1" t="s">
        <v>1215</v>
      </c>
    </row>
    <row r="149" spans="1:15" ht="36" customHeight="1">
      <c r="A149" s="1" t="s">
        <v>1357</v>
      </c>
      <c r="B149" s="1" t="s">
        <v>530</v>
      </c>
      <c r="C149" s="1" t="s">
        <v>99</v>
      </c>
      <c r="D149" s="1" t="s">
        <v>529</v>
      </c>
      <c r="E149" s="1" t="s">
        <v>531</v>
      </c>
      <c r="F149" s="1" t="s">
        <v>354</v>
      </c>
      <c r="G149" s="3" t="str">
        <f>IF(A149="","",IFERROR(INDEX('02-ماتریس الزامات'!$B$8:$B$1007,MATCH(F149,'02-ماتریس الزامات'!$A$8:$A$1007,0)),""))</f>
        <v>OHS</v>
      </c>
      <c r="H149" s="3" t="str">
        <f>IF(A149="","",IFERROR(INDEX('02-ماتریس الزامات'!$D$8:$D$1007,MATCH(F149,'02-ماتریس الزامات'!$A$8:$A$1007,0)),""))</f>
        <v>9.3</v>
      </c>
      <c r="I149" s="3" t="str">
        <f>IF(A149="","",IFERROR(INDEX('02-ماتریس الزامات'!$F$8:$F$1007,MATCH(F149,'02-ماتریس الزامات'!$A$8:$A$1007,0)),""))</f>
        <v>پیامدهای راهبردی</v>
      </c>
      <c r="J149" s="1" t="s">
        <v>1116</v>
      </c>
      <c r="K149" s="1"/>
      <c r="L149" s="1"/>
      <c r="M149" s="1"/>
      <c r="N149" s="3" t="str">
        <f>IF(A149="","",IF(NOT(AND(COUNTIFS('13-کنترل انطباق'!$A$8:$A$1007,A149)=1,AND(COUNTIFS('17-جلسات و دوره‌ها'!$A$8:$A$1007,B149)=1,IFERROR(INDEX('17-جلسات و دوره‌ها'!$B$8:$B$1007,MATCH(B149,'17-جلسات و دوره‌ها'!$A$8:$A$1007,0)),"")=C149,IFERROR(INDEX('17-جلسات و دوره‌ها'!$C$8:$C$1007,MATCH(B149,'17-جلسات و دوره‌ها'!$A$8:$A$1007,0)),"")=D149),COUNTIFS('02-ماتریس الزامات'!$A$8:$A$1007,F149)=1,COUNTIFS('18-دامنه استانداردها'!$A$8:$A$1007,C149&amp;"|"&amp;G149)=1)),"شناسه یا دامنه نامعتبر",IF(IFERROR(INDEX('18-دامنه استانداردها'!$D$8:$D$1007,MATCH(C149&amp;"|"&amp;G149,'18-دامنه استانداردها'!$A$8:$A$1007,0)),"")="خیر",IF(AND(L149&lt;&gt;"",M149&lt;&gt;"",IFERROR(INDEX('18-دامنه استانداردها'!$H$8:$H$1007,MATCH(C149&amp;"|"&amp;G149,'18-دامنه استانداردها'!$A$8:$A$1007,0)),"")&lt;&gt;"",IFERROR(INDEX('18-دامنه استانداردها'!$I$8:$I$1007,MATCH(C149&amp;"|"&amp;G149,'18-دامنه استانداردها'!$A$8:$A$1007,0)),"")&lt;&gt;""),"عدم کاربرد مستند","عدم کاربرد بدون توجیه"),IF(IFERROR(INDEX('18-دامنه استانداردها'!$D$8:$D$1007,MATCH(C149&amp;"|"&amp;G149,'18-دامنه استانداردها'!$A$8:$A$1007,0)),"")&lt;&gt;"بله","دامنه نامشخص",IF(K149="","بررسی نشده؛ سابقه لازم",IF(NOT(IF(J149="ورودی",AND(COUNTIFS('03-ورودی‌های بازنگری'!$A$8:$A$1007,K149)=1,IFERROR(INDEX('03-ورودی‌های بازنگری'!$D$8:$D$1007,MATCH(K149,'03-ورودی‌های بازنگری'!$A$8:$A$1007,0)),"")=B149,IFERROR(INDEX('03-ورودی‌های بازنگری'!$R$8:$R$1007,MATCH(K149,'03-ورودی‌های بازنگری'!$A$8:$A$1007,0)),"")="معتبر"),IF(J149="تصمیم",AND(COUNTIFS('07-تصمیمات و مصوبات'!$A$8:$A$1007,K149)=1,IFERROR(INDEX('07-تصمیمات و مصوبات'!$B$8:$B$1007,MATCH(K149,'07-تصمیمات و مصوبات'!$A$8:$A$1007,0)),"")=B149,IFERROR(INDEX('07-تصمیمات و مصوبات'!$Z$8:$Z$1007,MATCH(K149,'07-تصمیمات و مصوبات'!$A$8:$A$1007,0)),"")="معتبر",COUNTIFS('15-روابط'!$B$8:$B$1007,K149,'15-روابط'!$C$8:$C$1007,"الزام",'15-روابط'!$D$8:$D$1007,F149,'15-روابط'!$E$8:$E$1007,"رابطه معتبر")&gt;0),IF(J149="نتیجه",AND(COUNTIFS('06-نتایج بازنگری'!$A$8:$A$1007,K149)=1,IFERROR(INDEX('06-نتایج بازنگری'!$D$8:$D$1007,MATCH(K149,'06-نتایج بازنگری'!$A$8:$A$1007,0)),"")=B149,IFERROR(INDEX('06-نتایج بازنگری'!$P$8:$P$1007,MATCH(K149,'06-نتایج بازنگری'!$A$8:$A$1007,0)),"")="معتبر",IFERROR(INDEX('06-نتایج بازنگری'!$F$8:$F$1007,MATCH(K149,'06-نتایج بازنگری'!$A$8:$A$1007,0)),"")=G149),IF(J149="ابلاغ",AND(COUNTIFS('20-ابلاغ نتایج'!$A$8:$A$1007,K149)=1,IFERROR(INDEX('20-ابلاغ نتایج'!$E$8:$E$1007,MATCH(K149,'20-ابلاغ نتایج'!$A$8:$A$1007,0)),"")=B149,IFERROR(INDEX('20-ابلاغ نتایج'!$L$8:$L$1007,MATCH(K149,'20-ابلاغ نتایج'!$A$8:$A$1007,0)),"")="معتبر"),FALSE))))),"سابقه یا شواهد ناقص",IF(IFERROR(INDEX('18-دامنه استانداردها'!$J$8:$J$1007,MATCH(C149&amp;"|"&amp;G149,'18-دامنه استانداردها'!$A$8:$A$1007,0)),"")="تأیید شده","شواهد مرتبط ثبت شد؛ تأیید ممیز لازم",IF(IFERROR(INDEX('18-دامنه استانداردها'!$J$8:$J$1007,MATCH(C149&amp;"|"&amp;G149,'18-دامنه استانداردها'!$A$8:$A$1007,0)),"")="فرضی","پوشش فرضی؛ آموزشی","شواهد حاضر؛ تطبیق نسخه باز"))))))))</f>
        <v>بررسی نشده؛ سابقه لازم</v>
      </c>
      <c r="O149" s="1" t="s">
        <v>1215</v>
      </c>
    </row>
    <row r="150" spans="1:15" ht="36" customHeight="1">
      <c r="A150" s="1" t="s">
        <v>1358</v>
      </c>
      <c r="B150" s="1" t="s">
        <v>83</v>
      </c>
      <c r="C150" s="1" t="s">
        <v>77</v>
      </c>
      <c r="D150" s="1" t="s">
        <v>80</v>
      </c>
      <c r="E150" s="1" t="s">
        <v>379</v>
      </c>
      <c r="F150" s="1" t="s">
        <v>355</v>
      </c>
      <c r="G150" s="3" t="str">
        <f>IF(A150="","",IFERROR(INDEX('02-ماتریس الزامات'!$B$8:$B$1007,MATCH(F150,'02-ماتریس الزامات'!$A$8:$A$1007,0)),""))</f>
        <v>OHS</v>
      </c>
      <c r="H150" s="3" t="str">
        <f>IF(A150="","",IFERROR(INDEX('02-ماتریس الزامات'!$D$8:$D$1007,MATCH(F150,'02-ماتریس الزامات'!$A$8:$A$1007,0)),""))</f>
        <v>9.3</v>
      </c>
      <c r="I150" s="3" t="str">
        <f>IF(A150="","",IFERROR(INDEX('02-ماتریس الزامات'!$F$8:$F$1007,MATCH(F150,'02-ماتریس الزامات'!$A$8:$A$1007,0)),""))</f>
        <v>اقدامات لازم</v>
      </c>
      <c r="J150" s="1" t="s">
        <v>1116</v>
      </c>
      <c r="K150" s="1"/>
      <c r="L150" s="1"/>
      <c r="M150" s="1"/>
      <c r="N150" s="3" t="str">
        <f>IF(A150="","",IF(NOT(AND(COUNTIFS('13-کنترل انطباق'!$A$8:$A$1007,A150)=1,AND(COUNTIFS('17-جلسات و دوره‌ها'!$A$8:$A$1007,B150)=1,IFERROR(INDEX('17-جلسات و دوره‌ها'!$B$8:$B$1007,MATCH(B150,'17-جلسات و دوره‌ها'!$A$8:$A$1007,0)),"")=C150,IFERROR(INDEX('17-جلسات و دوره‌ها'!$C$8:$C$1007,MATCH(B150,'17-جلسات و دوره‌ها'!$A$8:$A$1007,0)),"")=D150),COUNTIFS('02-ماتریس الزامات'!$A$8:$A$1007,F150)=1,COUNTIFS('18-دامنه استانداردها'!$A$8:$A$1007,C150&amp;"|"&amp;G150)=1)),"شناسه یا دامنه نامعتبر",IF(IFERROR(INDEX('18-دامنه استانداردها'!$D$8:$D$1007,MATCH(C150&amp;"|"&amp;G150,'18-دامنه استانداردها'!$A$8:$A$1007,0)),"")="خیر",IF(AND(L150&lt;&gt;"",M150&lt;&gt;"",IFERROR(INDEX('18-دامنه استانداردها'!$H$8:$H$1007,MATCH(C150&amp;"|"&amp;G150,'18-دامنه استانداردها'!$A$8:$A$1007,0)),"")&lt;&gt;"",IFERROR(INDEX('18-دامنه استانداردها'!$I$8:$I$1007,MATCH(C150&amp;"|"&amp;G150,'18-دامنه استانداردها'!$A$8:$A$1007,0)),"")&lt;&gt;""),"عدم کاربرد مستند","عدم کاربرد بدون توجیه"),IF(IFERROR(INDEX('18-دامنه استانداردها'!$D$8:$D$1007,MATCH(C150&amp;"|"&amp;G150,'18-دامنه استانداردها'!$A$8:$A$1007,0)),"")&lt;&gt;"بله","دامنه نامشخص",IF(K150="","بررسی نشده؛ سابقه لازم",IF(NOT(IF(J150="ورودی",AND(COUNTIFS('03-ورودی‌های بازنگری'!$A$8:$A$1007,K150)=1,IFERROR(INDEX('03-ورودی‌های بازنگری'!$D$8:$D$1007,MATCH(K150,'03-ورودی‌های بازنگری'!$A$8:$A$1007,0)),"")=B150,IFERROR(INDEX('03-ورودی‌های بازنگری'!$R$8:$R$1007,MATCH(K150,'03-ورودی‌های بازنگری'!$A$8:$A$1007,0)),"")="معتبر"),IF(J150="تصمیم",AND(COUNTIFS('07-تصمیمات و مصوبات'!$A$8:$A$1007,K150)=1,IFERROR(INDEX('07-تصمیمات و مصوبات'!$B$8:$B$1007,MATCH(K150,'07-تصمیمات و مصوبات'!$A$8:$A$1007,0)),"")=B150,IFERROR(INDEX('07-تصمیمات و مصوبات'!$Z$8:$Z$1007,MATCH(K150,'07-تصمیمات و مصوبات'!$A$8:$A$1007,0)),"")="معتبر",COUNTIFS('15-روابط'!$B$8:$B$1007,K150,'15-روابط'!$C$8:$C$1007,"الزام",'15-روابط'!$D$8:$D$1007,F150,'15-روابط'!$E$8:$E$1007,"رابطه معتبر")&gt;0),IF(J150="نتیجه",AND(COUNTIFS('06-نتایج بازنگری'!$A$8:$A$1007,K150)=1,IFERROR(INDEX('06-نتایج بازنگری'!$D$8:$D$1007,MATCH(K150,'06-نتایج بازنگری'!$A$8:$A$1007,0)),"")=B150,IFERROR(INDEX('06-نتایج بازنگری'!$P$8:$P$1007,MATCH(K150,'06-نتایج بازنگری'!$A$8:$A$1007,0)),"")="معتبر",IFERROR(INDEX('06-نتایج بازنگری'!$F$8:$F$1007,MATCH(K150,'06-نتایج بازنگری'!$A$8:$A$1007,0)),"")=G150),IF(J150="ابلاغ",AND(COUNTIFS('20-ابلاغ نتایج'!$A$8:$A$1007,K150)=1,IFERROR(INDEX('20-ابلاغ نتایج'!$E$8:$E$1007,MATCH(K150,'20-ابلاغ نتایج'!$A$8:$A$1007,0)),"")=B150,IFERROR(INDEX('20-ابلاغ نتایج'!$L$8:$L$1007,MATCH(K150,'20-ابلاغ نتایج'!$A$8:$A$1007,0)),"")="معتبر"),FALSE))))),"سابقه یا شواهد ناقص",IF(IFERROR(INDEX('18-دامنه استانداردها'!$J$8:$J$1007,MATCH(C150&amp;"|"&amp;G150,'18-دامنه استانداردها'!$A$8:$A$1007,0)),"")="تأیید شده","شواهد مرتبط ثبت شد؛ تأیید ممیز لازم",IF(IFERROR(INDEX('18-دامنه استانداردها'!$J$8:$J$1007,MATCH(C150&amp;"|"&amp;G150,'18-دامنه استانداردها'!$A$8:$A$1007,0)),"")="فرضی","پوشش فرضی؛ آموزشی","شواهد حاضر؛ تطبیق نسخه باز"))))))))</f>
        <v>بررسی نشده؛ سابقه لازم</v>
      </c>
      <c r="O150" s="1" t="s">
        <v>1215</v>
      </c>
    </row>
    <row r="151" spans="1:15" ht="36" customHeight="1">
      <c r="A151" s="1" t="s">
        <v>1359</v>
      </c>
      <c r="B151" s="1" t="s">
        <v>530</v>
      </c>
      <c r="C151" s="1" t="s">
        <v>99</v>
      </c>
      <c r="D151" s="1" t="s">
        <v>529</v>
      </c>
      <c r="E151" s="1" t="s">
        <v>531</v>
      </c>
      <c r="F151" s="1" t="s">
        <v>355</v>
      </c>
      <c r="G151" s="3" t="str">
        <f>IF(A151="","",IFERROR(INDEX('02-ماتریس الزامات'!$B$8:$B$1007,MATCH(F151,'02-ماتریس الزامات'!$A$8:$A$1007,0)),""))</f>
        <v>OHS</v>
      </c>
      <c r="H151" s="3" t="str">
        <f>IF(A151="","",IFERROR(INDEX('02-ماتریس الزامات'!$D$8:$D$1007,MATCH(F151,'02-ماتریس الزامات'!$A$8:$A$1007,0)),""))</f>
        <v>9.3</v>
      </c>
      <c r="I151" s="3" t="str">
        <f>IF(A151="","",IFERROR(INDEX('02-ماتریس الزامات'!$F$8:$F$1007,MATCH(F151,'02-ماتریس الزامات'!$A$8:$A$1007,0)),""))</f>
        <v>اقدامات لازم</v>
      </c>
      <c r="J151" s="1" t="s">
        <v>1116</v>
      </c>
      <c r="K151" s="1"/>
      <c r="L151" s="1"/>
      <c r="M151" s="1"/>
      <c r="N151" s="3" t="str">
        <f>IF(A151="","",IF(NOT(AND(COUNTIFS('13-کنترل انطباق'!$A$8:$A$1007,A151)=1,AND(COUNTIFS('17-جلسات و دوره‌ها'!$A$8:$A$1007,B151)=1,IFERROR(INDEX('17-جلسات و دوره‌ها'!$B$8:$B$1007,MATCH(B151,'17-جلسات و دوره‌ها'!$A$8:$A$1007,0)),"")=C151,IFERROR(INDEX('17-جلسات و دوره‌ها'!$C$8:$C$1007,MATCH(B151,'17-جلسات و دوره‌ها'!$A$8:$A$1007,0)),"")=D151),COUNTIFS('02-ماتریس الزامات'!$A$8:$A$1007,F151)=1,COUNTIFS('18-دامنه استانداردها'!$A$8:$A$1007,C151&amp;"|"&amp;G151)=1)),"شناسه یا دامنه نامعتبر",IF(IFERROR(INDEX('18-دامنه استانداردها'!$D$8:$D$1007,MATCH(C151&amp;"|"&amp;G151,'18-دامنه استانداردها'!$A$8:$A$1007,0)),"")="خیر",IF(AND(L151&lt;&gt;"",M151&lt;&gt;"",IFERROR(INDEX('18-دامنه استانداردها'!$H$8:$H$1007,MATCH(C151&amp;"|"&amp;G151,'18-دامنه استانداردها'!$A$8:$A$1007,0)),"")&lt;&gt;"",IFERROR(INDEX('18-دامنه استانداردها'!$I$8:$I$1007,MATCH(C151&amp;"|"&amp;G151,'18-دامنه استانداردها'!$A$8:$A$1007,0)),"")&lt;&gt;""),"عدم کاربرد مستند","عدم کاربرد بدون توجیه"),IF(IFERROR(INDEX('18-دامنه استانداردها'!$D$8:$D$1007,MATCH(C151&amp;"|"&amp;G151,'18-دامنه استانداردها'!$A$8:$A$1007,0)),"")&lt;&gt;"بله","دامنه نامشخص",IF(K151="","بررسی نشده؛ سابقه لازم",IF(NOT(IF(J151="ورودی",AND(COUNTIFS('03-ورودی‌های بازنگری'!$A$8:$A$1007,K151)=1,IFERROR(INDEX('03-ورودی‌های بازنگری'!$D$8:$D$1007,MATCH(K151,'03-ورودی‌های بازنگری'!$A$8:$A$1007,0)),"")=B151,IFERROR(INDEX('03-ورودی‌های بازنگری'!$R$8:$R$1007,MATCH(K151,'03-ورودی‌های بازنگری'!$A$8:$A$1007,0)),"")="معتبر"),IF(J151="تصمیم",AND(COUNTIFS('07-تصمیمات و مصوبات'!$A$8:$A$1007,K151)=1,IFERROR(INDEX('07-تصمیمات و مصوبات'!$B$8:$B$1007,MATCH(K151,'07-تصمیمات و مصوبات'!$A$8:$A$1007,0)),"")=B151,IFERROR(INDEX('07-تصمیمات و مصوبات'!$Z$8:$Z$1007,MATCH(K151,'07-تصمیمات و مصوبات'!$A$8:$A$1007,0)),"")="معتبر",COUNTIFS('15-روابط'!$B$8:$B$1007,K151,'15-روابط'!$C$8:$C$1007,"الزام",'15-روابط'!$D$8:$D$1007,F151,'15-روابط'!$E$8:$E$1007,"رابطه معتبر")&gt;0),IF(J151="نتیجه",AND(COUNTIFS('06-نتایج بازنگری'!$A$8:$A$1007,K151)=1,IFERROR(INDEX('06-نتایج بازنگری'!$D$8:$D$1007,MATCH(K151,'06-نتایج بازنگری'!$A$8:$A$1007,0)),"")=B151,IFERROR(INDEX('06-نتایج بازنگری'!$P$8:$P$1007,MATCH(K151,'06-نتایج بازنگری'!$A$8:$A$1007,0)),"")="معتبر",IFERROR(INDEX('06-نتایج بازنگری'!$F$8:$F$1007,MATCH(K151,'06-نتایج بازنگری'!$A$8:$A$1007,0)),"")=G151),IF(J151="ابلاغ",AND(COUNTIFS('20-ابلاغ نتایج'!$A$8:$A$1007,K151)=1,IFERROR(INDEX('20-ابلاغ نتایج'!$E$8:$E$1007,MATCH(K151,'20-ابلاغ نتایج'!$A$8:$A$1007,0)),"")=B151,IFERROR(INDEX('20-ابلاغ نتایج'!$L$8:$L$1007,MATCH(K151,'20-ابلاغ نتایج'!$A$8:$A$1007,0)),"")="معتبر"),FALSE))))),"سابقه یا شواهد ناقص",IF(IFERROR(INDEX('18-دامنه استانداردها'!$J$8:$J$1007,MATCH(C151&amp;"|"&amp;G151,'18-دامنه استانداردها'!$A$8:$A$1007,0)),"")="تأیید شده","شواهد مرتبط ثبت شد؛ تأیید ممیز لازم",IF(IFERROR(INDEX('18-دامنه استانداردها'!$J$8:$J$1007,MATCH(C151&amp;"|"&amp;G151,'18-دامنه استانداردها'!$A$8:$A$1007,0)),"")="فرضی","پوشش فرضی؛ آموزشی","شواهد حاضر؛ تطبیق نسخه باز"))))))))</f>
        <v>بررسی نشده؛ سابقه لازم</v>
      </c>
      <c r="O151" s="1" t="s">
        <v>1215</v>
      </c>
    </row>
    <row r="152" spans="1:15" ht="36" customHeight="1">
      <c r="A152" s="1" t="s">
        <v>1360</v>
      </c>
      <c r="B152" s="1" t="s">
        <v>83</v>
      </c>
      <c r="C152" s="1" t="s">
        <v>77</v>
      </c>
      <c r="D152" s="1" t="s">
        <v>80</v>
      </c>
      <c r="E152" s="1" t="s">
        <v>379</v>
      </c>
      <c r="F152" s="1" t="s">
        <v>357</v>
      </c>
      <c r="G152" s="3" t="str">
        <f>IF(A152="","",IFERROR(INDEX('02-ماتریس الزامات'!$B$8:$B$1007,MATCH(F152,'02-ماتریس الزامات'!$A$8:$A$1007,0)),""))</f>
        <v>OHS</v>
      </c>
      <c r="H152" s="3" t="str">
        <f>IF(A152="","",IFERROR(INDEX('02-ماتریس الزامات'!$D$8:$D$1007,MATCH(F152,'02-ماتریس الزامات'!$A$8:$A$1007,0)),""))</f>
        <v>9.3</v>
      </c>
      <c r="I152" s="3" t="str">
        <f>IF(A152="","",IFERROR(INDEX('02-ماتریس الزامات'!$F$8:$F$1007,MATCH(F152,'02-ماتریس الزامات'!$A$8:$A$1007,0)),""))</f>
        <v>ابلاغ نتایج مرتبط به کارکنان و نمایندگان</v>
      </c>
      <c r="J152" s="1" t="s">
        <v>1116</v>
      </c>
      <c r="K152" s="1"/>
      <c r="L152" s="1"/>
      <c r="M152" s="1"/>
      <c r="N152" s="3" t="str">
        <f>IF(A152="","",IF(NOT(AND(COUNTIFS('13-کنترل انطباق'!$A$8:$A$1007,A152)=1,AND(COUNTIFS('17-جلسات و دوره‌ها'!$A$8:$A$1007,B152)=1,IFERROR(INDEX('17-جلسات و دوره‌ها'!$B$8:$B$1007,MATCH(B152,'17-جلسات و دوره‌ها'!$A$8:$A$1007,0)),"")=C152,IFERROR(INDEX('17-جلسات و دوره‌ها'!$C$8:$C$1007,MATCH(B152,'17-جلسات و دوره‌ها'!$A$8:$A$1007,0)),"")=D152),COUNTIFS('02-ماتریس الزامات'!$A$8:$A$1007,F152)=1,COUNTIFS('18-دامنه استانداردها'!$A$8:$A$1007,C152&amp;"|"&amp;G152)=1)),"شناسه یا دامنه نامعتبر",IF(IFERROR(INDEX('18-دامنه استانداردها'!$D$8:$D$1007,MATCH(C152&amp;"|"&amp;G152,'18-دامنه استانداردها'!$A$8:$A$1007,0)),"")="خیر",IF(AND(L152&lt;&gt;"",M152&lt;&gt;"",IFERROR(INDEX('18-دامنه استانداردها'!$H$8:$H$1007,MATCH(C152&amp;"|"&amp;G152,'18-دامنه استانداردها'!$A$8:$A$1007,0)),"")&lt;&gt;"",IFERROR(INDEX('18-دامنه استانداردها'!$I$8:$I$1007,MATCH(C152&amp;"|"&amp;G152,'18-دامنه استانداردها'!$A$8:$A$1007,0)),"")&lt;&gt;""),"عدم کاربرد مستند","عدم کاربرد بدون توجیه"),IF(IFERROR(INDEX('18-دامنه استانداردها'!$D$8:$D$1007,MATCH(C152&amp;"|"&amp;G152,'18-دامنه استانداردها'!$A$8:$A$1007,0)),"")&lt;&gt;"بله","دامنه نامشخص",IF(K152="","بررسی نشده؛ سابقه لازم",IF(NOT(IF(J152="ورودی",AND(COUNTIFS('03-ورودی‌های بازنگری'!$A$8:$A$1007,K152)=1,IFERROR(INDEX('03-ورودی‌های بازنگری'!$D$8:$D$1007,MATCH(K152,'03-ورودی‌های بازنگری'!$A$8:$A$1007,0)),"")=B152,IFERROR(INDEX('03-ورودی‌های بازنگری'!$R$8:$R$1007,MATCH(K152,'03-ورودی‌های بازنگری'!$A$8:$A$1007,0)),"")="معتبر"),IF(J152="تصمیم",AND(COUNTIFS('07-تصمیمات و مصوبات'!$A$8:$A$1007,K152)=1,IFERROR(INDEX('07-تصمیمات و مصوبات'!$B$8:$B$1007,MATCH(K152,'07-تصمیمات و مصوبات'!$A$8:$A$1007,0)),"")=B152,IFERROR(INDEX('07-تصمیمات و مصوبات'!$Z$8:$Z$1007,MATCH(K152,'07-تصمیمات و مصوبات'!$A$8:$A$1007,0)),"")="معتبر",COUNTIFS('15-روابط'!$B$8:$B$1007,K152,'15-روابط'!$C$8:$C$1007,"الزام",'15-روابط'!$D$8:$D$1007,F152,'15-روابط'!$E$8:$E$1007,"رابطه معتبر")&gt;0),IF(J152="نتیجه",AND(COUNTIFS('06-نتایج بازنگری'!$A$8:$A$1007,K152)=1,IFERROR(INDEX('06-نتایج بازنگری'!$D$8:$D$1007,MATCH(K152,'06-نتایج بازنگری'!$A$8:$A$1007,0)),"")=B152,IFERROR(INDEX('06-نتایج بازنگری'!$P$8:$P$1007,MATCH(K152,'06-نتایج بازنگری'!$A$8:$A$1007,0)),"")="معتبر",IFERROR(INDEX('06-نتایج بازنگری'!$F$8:$F$1007,MATCH(K152,'06-نتایج بازنگری'!$A$8:$A$1007,0)),"")=G152),IF(J152="ابلاغ",AND(COUNTIFS('20-ابلاغ نتایج'!$A$8:$A$1007,K152)=1,IFERROR(INDEX('20-ابلاغ نتایج'!$E$8:$E$1007,MATCH(K152,'20-ابلاغ نتایج'!$A$8:$A$1007,0)),"")=B152,IFERROR(INDEX('20-ابلاغ نتایج'!$L$8:$L$1007,MATCH(K152,'20-ابلاغ نتایج'!$A$8:$A$1007,0)),"")="معتبر"),FALSE))))),"سابقه یا شواهد ناقص",IF(IFERROR(INDEX('18-دامنه استانداردها'!$J$8:$J$1007,MATCH(C152&amp;"|"&amp;G152,'18-دامنه استانداردها'!$A$8:$A$1007,0)),"")="تأیید شده","شواهد مرتبط ثبت شد؛ تأیید ممیز لازم",IF(IFERROR(INDEX('18-دامنه استانداردها'!$J$8:$J$1007,MATCH(C152&amp;"|"&amp;G152,'18-دامنه استانداردها'!$A$8:$A$1007,0)),"")="فرضی","پوشش فرضی؛ آموزشی","شواهد حاضر؛ تطبیق نسخه باز"))))))))</f>
        <v>بررسی نشده؛ سابقه لازم</v>
      </c>
      <c r="O152" s="1" t="s">
        <v>1215</v>
      </c>
    </row>
    <row r="153" spans="1:15" ht="36" customHeight="1">
      <c r="A153" s="1" t="s">
        <v>1361</v>
      </c>
      <c r="B153" s="1" t="s">
        <v>530</v>
      </c>
      <c r="C153" s="1" t="s">
        <v>99</v>
      </c>
      <c r="D153" s="1" t="s">
        <v>529</v>
      </c>
      <c r="E153" s="1" t="s">
        <v>531</v>
      </c>
      <c r="F153" s="1" t="s">
        <v>357</v>
      </c>
      <c r="G153" s="3" t="str">
        <f>IF(A153="","",IFERROR(INDEX('02-ماتریس الزامات'!$B$8:$B$1007,MATCH(F153,'02-ماتریس الزامات'!$A$8:$A$1007,0)),""))</f>
        <v>OHS</v>
      </c>
      <c r="H153" s="3" t="str">
        <f>IF(A153="","",IFERROR(INDEX('02-ماتریس الزامات'!$D$8:$D$1007,MATCH(F153,'02-ماتریس الزامات'!$A$8:$A$1007,0)),""))</f>
        <v>9.3</v>
      </c>
      <c r="I153" s="3" t="str">
        <f>IF(A153="","",IFERROR(INDEX('02-ماتریس الزامات'!$F$8:$F$1007,MATCH(F153,'02-ماتریس الزامات'!$A$8:$A$1007,0)),""))</f>
        <v>ابلاغ نتایج مرتبط به کارکنان و نمایندگان</v>
      </c>
      <c r="J153" s="1" t="s">
        <v>1116</v>
      </c>
      <c r="K153" s="1"/>
      <c r="L153" s="1"/>
      <c r="M153" s="1"/>
      <c r="N153" s="3" t="str">
        <f>IF(A153="","",IF(NOT(AND(COUNTIFS('13-کنترل انطباق'!$A$8:$A$1007,A153)=1,AND(COUNTIFS('17-جلسات و دوره‌ها'!$A$8:$A$1007,B153)=1,IFERROR(INDEX('17-جلسات و دوره‌ها'!$B$8:$B$1007,MATCH(B153,'17-جلسات و دوره‌ها'!$A$8:$A$1007,0)),"")=C153,IFERROR(INDEX('17-جلسات و دوره‌ها'!$C$8:$C$1007,MATCH(B153,'17-جلسات و دوره‌ها'!$A$8:$A$1007,0)),"")=D153),COUNTIFS('02-ماتریس الزامات'!$A$8:$A$1007,F153)=1,COUNTIFS('18-دامنه استانداردها'!$A$8:$A$1007,C153&amp;"|"&amp;G153)=1)),"شناسه یا دامنه نامعتبر",IF(IFERROR(INDEX('18-دامنه استانداردها'!$D$8:$D$1007,MATCH(C153&amp;"|"&amp;G153,'18-دامنه استانداردها'!$A$8:$A$1007,0)),"")="خیر",IF(AND(L153&lt;&gt;"",M153&lt;&gt;"",IFERROR(INDEX('18-دامنه استانداردها'!$H$8:$H$1007,MATCH(C153&amp;"|"&amp;G153,'18-دامنه استانداردها'!$A$8:$A$1007,0)),"")&lt;&gt;"",IFERROR(INDEX('18-دامنه استانداردها'!$I$8:$I$1007,MATCH(C153&amp;"|"&amp;G153,'18-دامنه استانداردها'!$A$8:$A$1007,0)),"")&lt;&gt;""),"عدم کاربرد مستند","عدم کاربرد بدون توجیه"),IF(IFERROR(INDEX('18-دامنه استانداردها'!$D$8:$D$1007,MATCH(C153&amp;"|"&amp;G153,'18-دامنه استانداردها'!$A$8:$A$1007,0)),"")&lt;&gt;"بله","دامنه نامشخص",IF(K153="","بررسی نشده؛ سابقه لازم",IF(NOT(IF(J153="ورودی",AND(COUNTIFS('03-ورودی‌های بازنگری'!$A$8:$A$1007,K153)=1,IFERROR(INDEX('03-ورودی‌های بازنگری'!$D$8:$D$1007,MATCH(K153,'03-ورودی‌های بازنگری'!$A$8:$A$1007,0)),"")=B153,IFERROR(INDEX('03-ورودی‌های بازنگری'!$R$8:$R$1007,MATCH(K153,'03-ورودی‌های بازنگری'!$A$8:$A$1007,0)),"")="معتبر"),IF(J153="تصمیم",AND(COUNTIFS('07-تصمیمات و مصوبات'!$A$8:$A$1007,K153)=1,IFERROR(INDEX('07-تصمیمات و مصوبات'!$B$8:$B$1007,MATCH(K153,'07-تصمیمات و مصوبات'!$A$8:$A$1007,0)),"")=B153,IFERROR(INDEX('07-تصمیمات و مصوبات'!$Z$8:$Z$1007,MATCH(K153,'07-تصمیمات و مصوبات'!$A$8:$A$1007,0)),"")="معتبر",COUNTIFS('15-روابط'!$B$8:$B$1007,K153,'15-روابط'!$C$8:$C$1007,"الزام",'15-روابط'!$D$8:$D$1007,F153,'15-روابط'!$E$8:$E$1007,"رابطه معتبر")&gt;0),IF(J153="نتیجه",AND(COUNTIFS('06-نتایج بازنگری'!$A$8:$A$1007,K153)=1,IFERROR(INDEX('06-نتایج بازنگری'!$D$8:$D$1007,MATCH(K153,'06-نتایج بازنگری'!$A$8:$A$1007,0)),"")=B153,IFERROR(INDEX('06-نتایج بازنگری'!$P$8:$P$1007,MATCH(K153,'06-نتایج بازنگری'!$A$8:$A$1007,0)),"")="معتبر",IFERROR(INDEX('06-نتایج بازنگری'!$F$8:$F$1007,MATCH(K153,'06-نتایج بازنگری'!$A$8:$A$1007,0)),"")=G153),IF(J153="ابلاغ",AND(COUNTIFS('20-ابلاغ نتایج'!$A$8:$A$1007,K153)=1,IFERROR(INDEX('20-ابلاغ نتایج'!$E$8:$E$1007,MATCH(K153,'20-ابلاغ نتایج'!$A$8:$A$1007,0)),"")=B153,IFERROR(INDEX('20-ابلاغ نتایج'!$L$8:$L$1007,MATCH(K153,'20-ابلاغ نتایج'!$A$8:$A$1007,0)),"")="معتبر"),FALSE))))),"سابقه یا شواهد ناقص",IF(IFERROR(INDEX('18-دامنه استانداردها'!$J$8:$J$1007,MATCH(C153&amp;"|"&amp;G153,'18-دامنه استانداردها'!$A$8:$A$1007,0)),"")="تأیید شده","شواهد مرتبط ثبت شد؛ تأیید ممیز لازم",IF(IFERROR(INDEX('18-دامنه استانداردها'!$J$8:$J$1007,MATCH(C153&amp;"|"&amp;G153,'18-دامنه استانداردها'!$A$8:$A$1007,0)),"")="فرضی","پوشش فرضی؛ آموزشی","شواهد حاضر؛ تطبیق نسخه باز"))))))))</f>
        <v>بررسی نشده؛ سابقه لازم</v>
      </c>
      <c r="O153" s="1" t="s">
        <v>1215</v>
      </c>
    </row>
    <row r="154" spans="1:15" ht="36" customHeight="1">
      <c r="A154" s="1" t="s">
        <v>1362</v>
      </c>
      <c r="B154" s="1" t="s">
        <v>83</v>
      </c>
      <c r="C154" s="1" t="s">
        <v>77</v>
      </c>
      <c r="D154" s="1" t="s">
        <v>80</v>
      </c>
      <c r="E154" s="1" t="s">
        <v>379</v>
      </c>
      <c r="F154" s="1" t="s">
        <v>360</v>
      </c>
      <c r="G154" s="3" t="str">
        <f>IF(A154="","",IFERROR(INDEX('02-ماتریس الزامات'!$B$8:$B$1007,MATCH(F154,'02-ماتریس الزامات'!$A$8:$A$1007,0)),""))</f>
        <v>OHS</v>
      </c>
      <c r="H154" s="3" t="str">
        <f>IF(A154="","",IFERROR(INDEX('02-ماتریس الزامات'!$D$8:$D$1007,MATCH(F154,'02-ماتریس الزامات'!$A$8:$A$1007,0)),""))</f>
        <v>9.3</v>
      </c>
      <c r="I154" s="3" t="str">
        <f>IF(A154="","",IFERROR(INDEX('02-ماتریس الزامات'!$F$8:$F$1007,MATCH(F154,'02-ماتریس الزامات'!$A$8:$A$1007,0)),""))</f>
        <v>نگهداری شواهد نتایج</v>
      </c>
      <c r="J154" s="1" t="s">
        <v>1116</v>
      </c>
      <c r="K154" s="1"/>
      <c r="L154" s="1"/>
      <c r="M154" s="1"/>
      <c r="N154" s="3" t="str">
        <f>IF(A154="","",IF(NOT(AND(COUNTIFS('13-کنترل انطباق'!$A$8:$A$1007,A154)=1,AND(COUNTIFS('17-جلسات و دوره‌ها'!$A$8:$A$1007,B154)=1,IFERROR(INDEX('17-جلسات و دوره‌ها'!$B$8:$B$1007,MATCH(B154,'17-جلسات و دوره‌ها'!$A$8:$A$1007,0)),"")=C154,IFERROR(INDEX('17-جلسات و دوره‌ها'!$C$8:$C$1007,MATCH(B154,'17-جلسات و دوره‌ها'!$A$8:$A$1007,0)),"")=D154),COUNTIFS('02-ماتریس الزامات'!$A$8:$A$1007,F154)=1,COUNTIFS('18-دامنه استانداردها'!$A$8:$A$1007,C154&amp;"|"&amp;G154)=1)),"شناسه یا دامنه نامعتبر",IF(IFERROR(INDEX('18-دامنه استانداردها'!$D$8:$D$1007,MATCH(C154&amp;"|"&amp;G154,'18-دامنه استانداردها'!$A$8:$A$1007,0)),"")="خیر",IF(AND(L154&lt;&gt;"",M154&lt;&gt;"",IFERROR(INDEX('18-دامنه استانداردها'!$H$8:$H$1007,MATCH(C154&amp;"|"&amp;G154,'18-دامنه استانداردها'!$A$8:$A$1007,0)),"")&lt;&gt;"",IFERROR(INDEX('18-دامنه استانداردها'!$I$8:$I$1007,MATCH(C154&amp;"|"&amp;G154,'18-دامنه استانداردها'!$A$8:$A$1007,0)),"")&lt;&gt;""),"عدم کاربرد مستند","عدم کاربرد بدون توجیه"),IF(IFERROR(INDEX('18-دامنه استانداردها'!$D$8:$D$1007,MATCH(C154&amp;"|"&amp;G154,'18-دامنه استانداردها'!$A$8:$A$1007,0)),"")&lt;&gt;"بله","دامنه نامشخص",IF(K154="","بررسی نشده؛ سابقه لازم",IF(NOT(IF(J154="ورودی",AND(COUNTIFS('03-ورودی‌های بازنگری'!$A$8:$A$1007,K154)=1,IFERROR(INDEX('03-ورودی‌های بازنگری'!$D$8:$D$1007,MATCH(K154,'03-ورودی‌های بازنگری'!$A$8:$A$1007,0)),"")=B154,IFERROR(INDEX('03-ورودی‌های بازنگری'!$R$8:$R$1007,MATCH(K154,'03-ورودی‌های بازنگری'!$A$8:$A$1007,0)),"")="معتبر"),IF(J154="تصمیم",AND(COUNTIFS('07-تصمیمات و مصوبات'!$A$8:$A$1007,K154)=1,IFERROR(INDEX('07-تصمیمات و مصوبات'!$B$8:$B$1007,MATCH(K154,'07-تصمیمات و مصوبات'!$A$8:$A$1007,0)),"")=B154,IFERROR(INDEX('07-تصمیمات و مصوبات'!$Z$8:$Z$1007,MATCH(K154,'07-تصمیمات و مصوبات'!$A$8:$A$1007,0)),"")="معتبر",COUNTIFS('15-روابط'!$B$8:$B$1007,K154,'15-روابط'!$C$8:$C$1007,"الزام",'15-روابط'!$D$8:$D$1007,F154,'15-روابط'!$E$8:$E$1007,"رابطه معتبر")&gt;0),IF(J154="نتیجه",AND(COUNTIFS('06-نتایج بازنگری'!$A$8:$A$1007,K154)=1,IFERROR(INDEX('06-نتایج بازنگری'!$D$8:$D$1007,MATCH(K154,'06-نتایج بازنگری'!$A$8:$A$1007,0)),"")=B154,IFERROR(INDEX('06-نتایج بازنگری'!$P$8:$P$1007,MATCH(K154,'06-نتایج بازنگری'!$A$8:$A$1007,0)),"")="معتبر",IFERROR(INDEX('06-نتایج بازنگری'!$F$8:$F$1007,MATCH(K154,'06-نتایج بازنگری'!$A$8:$A$1007,0)),"")=G154),IF(J154="ابلاغ",AND(COUNTIFS('20-ابلاغ نتایج'!$A$8:$A$1007,K154)=1,IFERROR(INDEX('20-ابلاغ نتایج'!$E$8:$E$1007,MATCH(K154,'20-ابلاغ نتایج'!$A$8:$A$1007,0)),"")=B154,IFERROR(INDEX('20-ابلاغ نتایج'!$L$8:$L$1007,MATCH(K154,'20-ابلاغ نتایج'!$A$8:$A$1007,0)),"")="معتبر"),FALSE))))),"سابقه یا شواهد ناقص",IF(IFERROR(INDEX('18-دامنه استانداردها'!$J$8:$J$1007,MATCH(C154&amp;"|"&amp;G154,'18-دامنه استانداردها'!$A$8:$A$1007,0)),"")="تأیید شده","شواهد مرتبط ثبت شد؛ تأیید ممیز لازم",IF(IFERROR(INDEX('18-دامنه استانداردها'!$J$8:$J$1007,MATCH(C154&amp;"|"&amp;G154,'18-دامنه استانداردها'!$A$8:$A$1007,0)),"")="فرضی","پوشش فرضی؛ آموزشی","شواهد حاضر؛ تطبیق نسخه باز"))))))))</f>
        <v>بررسی نشده؛ سابقه لازم</v>
      </c>
      <c r="O154" s="1" t="s">
        <v>1215</v>
      </c>
    </row>
    <row r="155" spans="1:15" ht="36" customHeight="1">
      <c r="A155" s="1" t="s">
        <v>1363</v>
      </c>
      <c r="B155" s="1" t="s">
        <v>530</v>
      </c>
      <c r="C155" s="1" t="s">
        <v>99</v>
      </c>
      <c r="D155" s="1" t="s">
        <v>529</v>
      </c>
      <c r="E155" s="1" t="s">
        <v>531</v>
      </c>
      <c r="F155" s="1" t="s">
        <v>360</v>
      </c>
      <c r="G155" s="3" t="str">
        <f>IF(A155="","",IFERROR(INDEX('02-ماتریس الزامات'!$B$8:$B$1007,MATCH(F155,'02-ماتریس الزامات'!$A$8:$A$1007,0)),""))</f>
        <v>OHS</v>
      </c>
      <c r="H155" s="3" t="str">
        <f>IF(A155="","",IFERROR(INDEX('02-ماتریس الزامات'!$D$8:$D$1007,MATCH(F155,'02-ماتریس الزامات'!$A$8:$A$1007,0)),""))</f>
        <v>9.3</v>
      </c>
      <c r="I155" s="3" t="str">
        <f>IF(A155="","",IFERROR(INDEX('02-ماتریس الزامات'!$F$8:$F$1007,MATCH(F155,'02-ماتریس الزامات'!$A$8:$A$1007,0)),""))</f>
        <v>نگهداری شواهد نتایج</v>
      </c>
      <c r="J155" s="1" t="s">
        <v>1116</v>
      </c>
      <c r="K155" s="1"/>
      <c r="L155" s="1"/>
      <c r="M155" s="1"/>
      <c r="N155" s="3" t="str">
        <f>IF(A155="","",IF(NOT(AND(COUNTIFS('13-کنترل انطباق'!$A$8:$A$1007,A155)=1,AND(COUNTIFS('17-جلسات و دوره‌ها'!$A$8:$A$1007,B155)=1,IFERROR(INDEX('17-جلسات و دوره‌ها'!$B$8:$B$1007,MATCH(B155,'17-جلسات و دوره‌ها'!$A$8:$A$1007,0)),"")=C155,IFERROR(INDEX('17-جلسات و دوره‌ها'!$C$8:$C$1007,MATCH(B155,'17-جلسات و دوره‌ها'!$A$8:$A$1007,0)),"")=D155),COUNTIFS('02-ماتریس الزامات'!$A$8:$A$1007,F155)=1,COUNTIFS('18-دامنه استانداردها'!$A$8:$A$1007,C155&amp;"|"&amp;G155)=1)),"شناسه یا دامنه نامعتبر",IF(IFERROR(INDEX('18-دامنه استانداردها'!$D$8:$D$1007,MATCH(C155&amp;"|"&amp;G155,'18-دامنه استانداردها'!$A$8:$A$1007,0)),"")="خیر",IF(AND(L155&lt;&gt;"",M155&lt;&gt;"",IFERROR(INDEX('18-دامنه استانداردها'!$H$8:$H$1007,MATCH(C155&amp;"|"&amp;G155,'18-دامنه استانداردها'!$A$8:$A$1007,0)),"")&lt;&gt;"",IFERROR(INDEX('18-دامنه استانداردها'!$I$8:$I$1007,MATCH(C155&amp;"|"&amp;G155,'18-دامنه استانداردها'!$A$8:$A$1007,0)),"")&lt;&gt;""),"عدم کاربرد مستند","عدم کاربرد بدون توجیه"),IF(IFERROR(INDEX('18-دامنه استانداردها'!$D$8:$D$1007,MATCH(C155&amp;"|"&amp;G155,'18-دامنه استانداردها'!$A$8:$A$1007,0)),"")&lt;&gt;"بله","دامنه نامشخص",IF(K155="","بررسی نشده؛ سابقه لازم",IF(NOT(IF(J155="ورودی",AND(COUNTIFS('03-ورودی‌های بازنگری'!$A$8:$A$1007,K155)=1,IFERROR(INDEX('03-ورودی‌های بازنگری'!$D$8:$D$1007,MATCH(K155,'03-ورودی‌های بازنگری'!$A$8:$A$1007,0)),"")=B155,IFERROR(INDEX('03-ورودی‌های بازنگری'!$R$8:$R$1007,MATCH(K155,'03-ورودی‌های بازنگری'!$A$8:$A$1007,0)),"")="معتبر"),IF(J155="تصمیم",AND(COUNTIFS('07-تصمیمات و مصوبات'!$A$8:$A$1007,K155)=1,IFERROR(INDEX('07-تصمیمات و مصوبات'!$B$8:$B$1007,MATCH(K155,'07-تصمیمات و مصوبات'!$A$8:$A$1007,0)),"")=B155,IFERROR(INDEX('07-تصمیمات و مصوبات'!$Z$8:$Z$1007,MATCH(K155,'07-تصمیمات و مصوبات'!$A$8:$A$1007,0)),"")="معتبر",COUNTIFS('15-روابط'!$B$8:$B$1007,K155,'15-روابط'!$C$8:$C$1007,"الزام",'15-روابط'!$D$8:$D$1007,F155,'15-روابط'!$E$8:$E$1007,"رابطه معتبر")&gt;0),IF(J155="نتیجه",AND(COUNTIFS('06-نتایج بازنگری'!$A$8:$A$1007,K155)=1,IFERROR(INDEX('06-نتایج بازنگری'!$D$8:$D$1007,MATCH(K155,'06-نتایج بازنگری'!$A$8:$A$1007,0)),"")=B155,IFERROR(INDEX('06-نتایج بازنگری'!$P$8:$P$1007,MATCH(K155,'06-نتایج بازنگری'!$A$8:$A$1007,0)),"")="معتبر",IFERROR(INDEX('06-نتایج بازنگری'!$F$8:$F$1007,MATCH(K155,'06-نتایج بازنگری'!$A$8:$A$1007,0)),"")=G155),IF(J155="ابلاغ",AND(COUNTIFS('20-ابلاغ نتایج'!$A$8:$A$1007,K155)=1,IFERROR(INDEX('20-ابلاغ نتایج'!$E$8:$E$1007,MATCH(K155,'20-ابلاغ نتایج'!$A$8:$A$1007,0)),"")=B155,IFERROR(INDEX('20-ابلاغ نتایج'!$L$8:$L$1007,MATCH(K155,'20-ابلاغ نتایج'!$A$8:$A$1007,0)),"")="معتبر"),FALSE))))),"سابقه یا شواهد ناقص",IF(IFERROR(INDEX('18-دامنه استانداردها'!$J$8:$J$1007,MATCH(C155&amp;"|"&amp;G155,'18-دامنه استانداردها'!$A$8:$A$1007,0)),"")="تأیید شده","شواهد مرتبط ثبت شد؛ تأیید ممیز لازم",IF(IFERROR(INDEX('18-دامنه استانداردها'!$J$8:$J$1007,MATCH(C155&amp;"|"&amp;G155,'18-دامنه استانداردها'!$A$8:$A$1007,0)),"")="فرضی","پوشش فرضی؛ آموزشی","شواهد حاضر؛ تطبیق نسخه باز"))))))))</f>
        <v>بررسی نشده؛ سابقه لازم</v>
      </c>
      <c r="O155" s="1" t="s">
        <v>1215</v>
      </c>
    </row>
  </sheetData>
  <mergeCells count="2">
    <mergeCell ref="A1:O1"/>
    <mergeCell ref="A2:O3"/>
  </mergeCells>
  <conditionalFormatting sqref="A8:A155">
    <cfRule type="duplicateValues" dxfId="45" priority="1"/>
  </conditionalFormatting>
  <conditionalFormatting sqref="N8:N155">
    <cfRule type="containsText" dxfId="44" priority="2" operator="containsText" text="ناقص"/>
  </conditionalFormatting>
  <dataValidations count="1">
    <dataValidation type="list" sqref="J8:J155" xr:uid="{00000000-0002-0000-0D00-000000000000}">
      <formula1>"ورودی,تصمیم,نتیجه,ابلاغ"</formula1>
    </dataValidation>
  </dataValidation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892A5"/>
    <pageSetUpPr fitToPage="1"/>
  </sheetPr>
  <dimension ref="A1:I38"/>
  <sheetViews>
    <sheetView showGridLines="0" rightToLeft="1" zoomScale="85" workbookViewId="0">
      <pane ySplit="7" topLeftCell="A8" activePane="bottomLeft" state="frozen"/>
      <selection pane="bottomLeft" sqref="A1:I1"/>
    </sheetView>
  </sheetViews>
  <sheetFormatPr defaultRowHeight="14.25"/>
  <cols>
    <col min="1" max="1" width="22" customWidth="1"/>
    <col min="2" max="2" width="20" customWidth="1"/>
    <col min="3" max="3" width="30" customWidth="1"/>
    <col min="4" max="4" width="60" customWidth="1"/>
    <col min="5" max="5" width="100" customWidth="1"/>
    <col min="6" max="6" width="45" customWidth="1"/>
    <col min="7" max="7" width="35" customWidth="1"/>
    <col min="8" max="8" width="42" customWidth="1"/>
    <col min="9" max="9" width="85" customWidth="1"/>
  </cols>
  <sheetData>
    <row r="1" spans="1:9" ht="33.950000000000003" customHeight="1">
      <c r="A1" s="7" t="s">
        <v>1364</v>
      </c>
      <c r="B1" s="7"/>
      <c r="C1" s="7"/>
      <c r="D1" s="7"/>
      <c r="E1" s="7"/>
      <c r="F1" s="7"/>
      <c r="G1" s="7"/>
      <c r="H1" s="7"/>
      <c r="I1" s="7"/>
    </row>
    <row r="2" spans="1:9" ht="26.1" customHeight="1">
      <c r="A2" s="8" t="s">
        <v>1365</v>
      </c>
      <c r="B2" s="8"/>
      <c r="C2" s="8"/>
      <c r="D2" s="8"/>
      <c r="E2" s="8"/>
      <c r="F2" s="8"/>
      <c r="G2" s="8"/>
      <c r="H2" s="8"/>
      <c r="I2" s="8"/>
    </row>
    <row r="3" spans="1:9" ht="26.1" customHeight="1">
      <c r="A3" s="8"/>
      <c r="B3" s="8"/>
      <c r="C3" s="8"/>
      <c r="D3" s="8"/>
      <c r="E3" s="8"/>
      <c r="F3" s="8"/>
      <c r="G3" s="8"/>
      <c r="H3" s="8"/>
      <c r="I3" s="8"/>
    </row>
    <row r="4" spans="1:9">
      <c r="A4" s="1"/>
      <c r="B4" s="1"/>
      <c r="C4" s="1"/>
      <c r="D4" s="1"/>
      <c r="E4" s="1"/>
      <c r="F4" s="1"/>
      <c r="G4" s="1"/>
      <c r="H4" s="1"/>
      <c r="I4" s="1"/>
    </row>
    <row r="5" spans="1:9">
      <c r="A5" s="1"/>
      <c r="B5" s="1"/>
      <c r="C5" s="1"/>
      <c r="D5" s="1"/>
      <c r="E5" s="1"/>
      <c r="F5" s="1"/>
      <c r="G5" s="1"/>
      <c r="H5" s="1"/>
      <c r="I5" s="1"/>
    </row>
    <row r="6" spans="1:9">
      <c r="A6" s="1"/>
      <c r="B6" s="1"/>
      <c r="C6" s="1"/>
      <c r="D6" s="1"/>
      <c r="E6" s="1"/>
      <c r="F6" s="1"/>
      <c r="G6" s="1"/>
      <c r="H6" s="1"/>
      <c r="I6" s="1"/>
    </row>
    <row r="7" spans="1:9" ht="48" customHeight="1">
      <c r="A7" s="2" t="s">
        <v>1366</v>
      </c>
      <c r="B7" s="2" t="s">
        <v>364</v>
      </c>
      <c r="C7" s="2" t="s">
        <v>164</v>
      </c>
      <c r="D7" s="2" t="s">
        <v>897</v>
      </c>
      <c r="E7" s="2" t="s">
        <v>1367</v>
      </c>
      <c r="F7" s="2" t="s">
        <v>1368</v>
      </c>
      <c r="G7" s="2" t="s">
        <v>1369</v>
      </c>
      <c r="H7" s="2" t="s">
        <v>1370</v>
      </c>
      <c r="I7" s="2" t="s">
        <v>1371</v>
      </c>
    </row>
    <row r="8" spans="1:9" ht="36" customHeight="1">
      <c r="A8" s="1" t="s">
        <v>384</v>
      </c>
      <c r="B8" s="1" t="s">
        <v>77</v>
      </c>
      <c r="C8" s="1" t="s">
        <v>1372</v>
      </c>
      <c r="D8" s="1" t="s">
        <v>1373</v>
      </c>
      <c r="E8" s="1" t="s">
        <v>1374</v>
      </c>
      <c r="F8" s="1" t="s">
        <v>1375</v>
      </c>
      <c r="G8" s="1" t="s">
        <v>1376</v>
      </c>
      <c r="H8" s="1" t="s">
        <v>1377</v>
      </c>
      <c r="I8" s="1" t="s">
        <v>1378</v>
      </c>
    </row>
    <row r="9" spans="1:9" ht="36" customHeight="1">
      <c r="A9" s="1" t="s">
        <v>1379</v>
      </c>
      <c r="B9" s="1" t="s">
        <v>77</v>
      </c>
      <c r="C9" s="1" t="s">
        <v>1380</v>
      </c>
      <c r="D9" s="1" t="s">
        <v>1381</v>
      </c>
      <c r="E9" s="1"/>
      <c r="F9" s="1"/>
      <c r="G9" s="1" t="s">
        <v>1382</v>
      </c>
      <c r="H9" s="1" t="s">
        <v>1383</v>
      </c>
      <c r="I9" s="1" t="s">
        <v>1384</v>
      </c>
    </row>
    <row r="10" spans="1:9" ht="36" customHeight="1">
      <c r="A10" s="1" t="s">
        <v>1385</v>
      </c>
      <c r="B10" s="1" t="s">
        <v>77</v>
      </c>
      <c r="C10" s="1" t="s">
        <v>1380</v>
      </c>
      <c r="D10" s="1" t="s">
        <v>1386</v>
      </c>
      <c r="E10" s="1"/>
      <c r="F10" s="1"/>
      <c r="G10" s="1" t="s">
        <v>499</v>
      </c>
      <c r="H10" s="1" t="s">
        <v>1383</v>
      </c>
      <c r="I10" s="1" t="s">
        <v>1387</v>
      </c>
    </row>
    <row r="11" spans="1:9" ht="36" customHeight="1">
      <c r="A11" s="1" t="s">
        <v>1388</v>
      </c>
      <c r="B11" s="1" t="s">
        <v>77</v>
      </c>
      <c r="C11" s="1" t="s">
        <v>1380</v>
      </c>
      <c r="D11" s="1" t="s">
        <v>1389</v>
      </c>
      <c r="E11" s="1"/>
      <c r="F11" s="1"/>
      <c r="G11" s="1" t="s">
        <v>1390</v>
      </c>
      <c r="H11" s="1" t="s">
        <v>1383</v>
      </c>
      <c r="I11" s="1" t="s">
        <v>1391</v>
      </c>
    </row>
    <row r="12" spans="1:9" ht="36" customHeight="1">
      <c r="A12" s="1" t="s">
        <v>1392</v>
      </c>
      <c r="B12" s="1" t="s">
        <v>77</v>
      </c>
      <c r="C12" s="1" t="s">
        <v>1380</v>
      </c>
      <c r="D12" s="1" t="s">
        <v>1393</v>
      </c>
      <c r="E12" s="1"/>
      <c r="F12" s="1"/>
      <c r="G12" s="1" t="s">
        <v>1376</v>
      </c>
      <c r="H12" s="1" t="s">
        <v>1383</v>
      </c>
      <c r="I12" s="1" t="s">
        <v>1394</v>
      </c>
    </row>
    <row r="13" spans="1:9" ht="36" customHeight="1">
      <c r="A13" s="1" t="s">
        <v>1395</v>
      </c>
      <c r="B13" s="1" t="s">
        <v>77</v>
      </c>
      <c r="C13" s="1" t="s">
        <v>1380</v>
      </c>
      <c r="D13" s="1" t="s">
        <v>1396</v>
      </c>
      <c r="E13" s="1"/>
      <c r="F13" s="1"/>
      <c r="G13" s="1" t="s">
        <v>1397</v>
      </c>
      <c r="H13" s="1" t="s">
        <v>1383</v>
      </c>
      <c r="I13" s="1" t="s">
        <v>1398</v>
      </c>
    </row>
    <row r="14" spans="1:9" ht="36" customHeight="1">
      <c r="A14" s="1" t="s">
        <v>1399</v>
      </c>
      <c r="B14" s="1" t="s">
        <v>77</v>
      </c>
      <c r="C14" s="1" t="s">
        <v>1380</v>
      </c>
      <c r="D14" s="1" t="s">
        <v>1400</v>
      </c>
      <c r="E14" s="1"/>
      <c r="F14" s="1"/>
      <c r="G14" s="1" t="s">
        <v>1376</v>
      </c>
      <c r="H14" s="1" t="s">
        <v>1383</v>
      </c>
      <c r="I14" s="1" t="s">
        <v>1401</v>
      </c>
    </row>
    <row r="15" spans="1:9" ht="36" customHeight="1">
      <c r="A15" s="1" t="s">
        <v>1402</v>
      </c>
      <c r="B15" s="1" t="s">
        <v>77</v>
      </c>
      <c r="C15" s="1" t="s">
        <v>1380</v>
      </c>
      <c r="D15" s="1" t="s">
        <v>1403</v>
      </c>
      <c r="E15" s="1"/>
      <c r="F15" s="1"/>
      <c r="G15" s="1" t="s">
        <v>1404</v>
      </c>
      <c r="H15" s="1" t="s">
        <v>1383</v>
      </c>
      <c r="I15" s="1" t="s">
        <v>1405</v>
      </c>
    </row>
    <row r="16" spans="1:9" ht="36" customHeight="1">
      <c r="A16" s="1" t="s">
        <v>1406</v>
      </c>
      <c r="B16" s="1" t="s">
        <v>77</v>
      </c>
      <c r="C16" s="1" t="s">
        <v>1380</v>
      </c>
      <c r="D16" s="1" t="s">
        <v>1407</v>
      </c>
      <c r="E16" s="1"/>
      <c r="F16" s="1"/>
      <c r="G16" s="1" t="s">
        <v>1408</v>
      </c>
      <c r="H16" s="1" t="s">
        <v>1383</v>
      </c>
      <c r="I16" s="1" t="s">
        <v>1409</v>
      </c>
    </row>
    <row r="17" spans="1:9" ht="36" customHeight="1">
      <c r="A17" s="1" t="s">
        <v>1410</v>
      </c>
      <c r="B17" s="1" t="s">
        <v>77</v>
      </c>
      <c r="C17" s="1" t="s">
        <v>1380</v>
      </c>
      <c r="D17" s="1" t="s">
        <v>1411</v>
      </c>
      <c r="E17" s="1"/>
      <c r="F17" s="1"/>
      <c r="G17" s="1" t="s">
        <v>1412</v>
      </c>
      <c r="H17" s="1" t="s">
        <v>1383</v>
      </c>
      <c r="I17" s="1" t="s">
        <v>1413</v>
      </c>
    </row>
    <row r="18" spans="1:9" ht="36" customHeight="1">
      <c r="A18" s="1" t="s">
        <v>1414</v>
      </c>
      <c r="B18" s="1" t="s">
        <v>77</v>
      </c>
      <c r="C18" s="1" t="s">
        <v>1380</v>
      </c>
      <c r="D18" s="1" t="s">
        <v>1415</v>
      </c>
      <c r="E18" s="1"/>
      <c r="F18" s="1"/>
      <c r="G18" s="1" t="s">
        <v>499</v>
      </c>
      <c r="H18" s="1" t="s">
        <v>1383</v>
      </c>
      <c r="I18" s="1" t="s">
        <v>1416</v>
      </c>
    </row>
    <row r="19" spans="1:9" ht="36" customHeight="1">
      <c r="A19" s="1" t="s">
        <v>1417</v>
      </c>
      <c r="B19" s="1" t="s">
        <v>77</v>
      </c>
      <c r="C19" s="1" t="s">
        <v>1380</v>
      </c>
      <c r="D19" s="1" t="s">
        <v>1418</v>
      </c>
      <c r="E19" s="1"/>
      <c r="F19" s="1"/>
      <c r="G19" s="1" t="s">
        <v>1419</v>
      </c>
      <c r="H19" s="1" t="s">
        <v>1383</v>
      </c>
      <c r="I19" s="1" t="s">
        <v>1420</v>
      </c>
    </row>
    <row r="20" spans="1:9" ht="36" customHeight="1">
      <c r="A20" s="1" t="s">
        <v>1421</v>
      </c>
      <c r="B20" s="1" t="s">
        <v>77</v>
      </c>
      <c r="C20" s="1" t="s">
        <v>1380</v>
      </c>
      <c r="D20" s="1" t="s">
        <v>1422</v>
      </c>
      <c r="E20" s="1"/>
      <c r="F20" s="1"/>
      <c r="G20" s="1" t="s">
        <v>1423</v>
      </c>
      <c r="H20" s="1" t="s">
        <v>1383</v>
      </c>
      <c r="I20" s="1" t="s">
        <v>1424</v>
      </c>
    </row>
    <row r="21" spans="1:9" ht="36" customHeight="1">
      <c r="A21" s="1" t="s">
        <v>534</v>
      </c>
      <c r="B21" s="1" t="s">
        <v>99</v>
      </c>
      <c r="C21" s="1" t="s">
        <v>101</v>
      </c>
      <c r="D21" s="1" t="s">
        <v>1425</v>
      </c>
      <c r="E21" s="1" t="s">
        <v>1426</v>
      </c>
      <c r="F21" s="1" t="s">
        <v>99</v>
      </c>
      <c r="G21" s="1" t="s">
        <v>101</v>
      </c>
      <c r="H21" s="1" t="s">
        <v>101</v>
      </c>
      <c r="I21" s="1" t="s">
        <v>1427</v>
      </c>
    </row>
    <row r="22" spans="1:9" ht="36" customHeight="1">
      <c r="A22" s="1" t="s">
        <v>139</v>
      </c>
      <c r="B22" s="1" t="s">
        <v>1428</v>
      </c>
      <c r="C22" s="1" t="s">
        <v>1429</v>
      </c>
      <c r="D22" s="1" t="s">
        <v>136</v>
      </c>
      <c r="E22" s="1" t="s">
        <v>1430</v>
      </c>
      <c r="F22" s="1" t="s">
        <v>1431</v>
      </c>
      <c r="G22" s="1" t="s">
        <v>49</v>
      </c>
      <c r="H22" s="1" t="s">
        <v>1432</v>
      </c>
      <c r="I22" s="1" t="s">
        <v>1433</v>
      </c>
    </row>
    <row r="23" spans="1:9" ht="36" customHeight="1">
      <c r="A23" s="1" t="s">
        <v>143</v>
      </c>
      <c r="B23" s="1" t="s">
        <v>1428</v>
      </c>
      <c r="C23" s="1" t="s">
        <v>1429</v>
      </c>
      <c r="D23" s="1" t="s">
        <v>140</v>
      </c>
      <c r="E23" s="1" t="s">
        <v>1434</v>
      </c>
      <c r="F23" s="1" t="s">
        <v>1431</v>
      </c>
      <c r="G23" s="1" t="s">
        <v>49</v>
      </c>
      <c r="H23" s="1" t="s">
        <v>1432</v>
      </c>
      <c r="I23" s="1" t="s">
        <v>1435</v>
      </c>
    </row>
    <row r="24" spans="1:9" ht="36" customHeight="1">
      <c r="A24" s="1" t="s">
        <v>147</v>
      </c>
      <c r="B24" s="1" t="s">
        <v>1428</v>
      </c>
      <c r="C24" s="1" t="s">
        <v>1429</v>
      </c>
      <c r="D24" s="1" t="s">
        <v>144</v>
      </c>
      <c r="E24" s="1" t="s">
        <v>1436</v>
      </c>
      <c r="F24" s="1" t="s">
        <v>1431</v>
      </c>
      <c r="G24" s="1" t="s">
        <v>49</v>
      </c>
      <c r="H24" s="1" t="s">
        <v>1432</v>
      </c>
      <c r="I24" s="1" t="s">
        <v>1437</v>
      </c>
    </row>
    <row r="25" spans="1:9" ht="48" customHeight="1">
      <c r="A25" s="1" t="s">
        <v>155</v>
      </c>
      <c r="B25" s="1" t="s">
        <v>1428</v>
      </c>
      <c r="C25" s="1" t="s">
        <v>1429</v>
      </c>
      <c r="D25" s="1" t="s">
        <v>1438</v>
      </c>
      <c r="E25" s="1" t="s">
        <v>1439</v>
      </c>
      <c r="F25" s="1" t="s">
        <v>1431</v>
      </c>
      <c r="G25" s="1" t="s">
        <v>49</v>
      </c>
      <c r="H25" s="1" t="s">
        <v>1432</v>
      </c>
      <c r="I25" s="1" t="s">
        <v>1440</v>
      </c>
    </row>
    <row r="26" spans="1:9" ht="36" customHeight="1">
      <c r="A26" s="1" t="s">
        <v>151</v>
      </c>
      <c r="B26" s="1" t="s">
        <v>1428</v>
      </c>
      <c r="C26" s="1" t="s">
        <v>1429</v>
      </c>
      <c r="D26" s="1" t="s">
        <v>1441</v>
      </c>
      <c r="E26" s="1" t="s">
        <v>1442</v>
      </c>
      <c r="F26" s="1" t="s">
        <v>1431</v>
      </c>
      <c r="G26" s="1" t="s">
        <v>49</v>
      </c>
      <c r="H26" s="1" t="s">
        <v>1432</v>
      </c>
      <c r="I26" s="1" t="s">
        <v>1443</v>
      </c>
    </row>
    <row r="27" spans="1:9" ht="36" customHeight="1">
      <c r="A27" s="1"/>
      <c r="B27" s="1"/>
      <c r="C27" s="1"/>
      <c r="D27" s="1"/>
      <c r="E27" s="1"/>
      <c r="F27" s="1"/>
      <c r="G27" s="1"/>
      <c r="H27" s="1"/>
      <c r="I27" s="1"/>
    </row>
    <row r="28" spans="1:9" ht="36" customHeight="1">
      <c r="A28" s="1"/>
      <c r="B28" s="1"/>
      <c r="C28" s="1"/>
      <c r="D28" s="1"/>
      <c r="E28" s="1"/>
      <c r="F28" s="1"/>
      <c r="G28" s="1"/>
      <c r="H28" s="1"/>
      <c r="I28" s="1"/>
    </row>
    <row r="29" spans="1:9" ht="36" customHeight="1">
      <c r="A29" s="1"/>
      <c r="B29" s="1"/>
      <c r="C29" s="1"/>
      <c r="D29" s="1"/>
      <c r="E29" s="1"/>
      <c r="F29" s="1"/>
      <c r="G29" s="1"/>
      <c r="H29" s="1"/>
      <c r="I29" s="1"/>
    </row>
    <row r="30" spans="1:9" ht="36" customHeight="1">
      <c r="A30" s="1"/>
      <c r="B30" s="1"/>
      <c r="C30" s="1"/>
      <c r="D30" s="1"/>
      <c r="E30" s="1"/>
      <c r="F30" s="1"/>
      <c r="G30" s="1"/>
      <c r="H30" s="1"/>
      <c r="I30" s="1"/>
    </row>
    <row r="31" spans="1:9" ht="36" customHeight="1">
      <c r="A31" s="1"/>
      <c r="B31" s="1"/>
      <c r="C31" s="1"/>
      <c r="D31" s="1"/>
      <c r="E31" s="1"/>
      <c r="F31" s="1"/>
      <c r="G31" s="1"/>
      <c r="H31" s="1"/>
      <c r="I31" s="1"/>
    </row>
    <row r="32" spans="1:9" ht="36" customHeight="1">
      <c r="A32" s="1"/>
      <c r="B32" s="1"/>
      <c r="C32" s="1"/>
      <c r="D32" s="1"/>
      <c r="E32" s="1"/>
      <c r="F32" s="1"/>
      <c r="G32" s="1"/>
      <c r="H32" s="1"/>
      <c r="I32" s="1"/>
    </row>
    <row r="33" spans="1:9" ht="36" customHeight="1">
      <c r="A33" s="1"/>
      <c r="B33" s="1"/>
      <c r="C33" s="1"/>
      <c r="D33" s="1"/>
      <c r="E33" s="1"/>
      <c r="F33" s="1"/>
      <c r="G33" s="1"/>
      <c r="H33" s="1"/>
      <c r="I33" s="1"/>
    </row>
    <row r="34" spans="1:9" ht="36" customHeight="1">
      <c r="A34" s="1"/>
      <c r="B34" s="1"/>
      <c r="C34" s="1"/>
      <c r="D34" s="1"/>
      <c r="E34" s="1"/>
      <c r="F34" s="1"/>
      <c r="G34" s="1"/>
      <c r="H34" s="1"/>
      <c r="I34" s="1"/>
    </row>
    <row r="35" spans="1:9" ht="36" customHeight="1">
      <c r="A35" s="1"/>
      <c r="B35" s="1"/>
      <c r="C35" s="1"/>
      <c r="D35" s="1"/>
      <c r="E35" s="1"/>
      <c r="F35" s="1"/>
      <c r="G35" s="1"/>
      <c r="H35" s="1"/>
      <c r="I35" s="1"/>
    </row>
    <row r="36" spans="1:9" ht="36" customHeight="1">
      <c r="A36" s="1"/>
      <c r="B36" s="1"/>
      <c r="C36" s="1"/>
      <c r="D36" s="1"/>
      <c r="E36" s="1"/>
      <c r="F36" s="1"/>
      <c r="G36" s="1"/>
      <c r="H36" s="1"/>
      <c r="I36" s="1"/>
    </row>
    <row r="37" spans="1:9" ht="36" customHeight="1">
      <c r="A37" s="1"/>
      <c r="B37" s="1"/>
      <c r="C37" s="1"/>
      <c r="D37" s="1"/>
      <c r="E37" s="1"/>
      <c r="F37" s="1"/>
      <c r="G37" s="1"/>
      <c r="H37" s="1"/>
      <c r="I37" s="1"/>
    </row>
    <row r="38" spans="1:9" ht="36" customHeight="1">
      <c r="A38" s="1"/>
      <c r="B38" s="1"/>
      <c r="C38" s="1"/>
      <c r="D38" s="1"/>
      <c r="E38" s="1"/>
      <c r="F38" s="1"/>
      <c r="G38" s="1"/>
      <c r="H38" s="1"/>
      <c r="I38" s="1"/>
    </row>
  </sheetData>
  <mergeCells count="2">
    <mergeCell ref="A1:I1"/>
    <mergeCell ref="A2:I3"/>
  </mergeCell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892A5"/>
    <pageSetUpPr fitToPage="1"/>
  </sheetPr>
  <dimension ref="A1:E60"/>
  <sheetViews>
    <sheetView showGridLines="0" rightToLeft="1" zoomScale="85" workbookViewId="0">
      <pane ySplit="7" topLeftCell="A8" activePane="bottomLeft" state="frozen"/>
      <selection pane="bottomLeft" sqref="A1:E1"/>
    </sheetView>
  </sheetViews>
  <sheetFormatPr defaultRowHeight="14.25"/>
  <cols>
    <col min="1" max="3" width="22" customWidth="1"/>
    <col min="4" max="4" width="24" customWidth="1"/>
    <col min="5" max="5" width="44" customWidth="1"/>
  </cols>
  <sheetData>
    <row r="1" spans="1:5" ht="33.950000000000003" customHeight="1">
      <c r="A1" s="7" t="s">
        <v>1444</v>
      </c>
      <c r="B1" s="7"/>
      <c r="C1" s="7"/>
      <c r="D1" s="7"/>
      <c r="E1" s="7"/>
    </row>
    <row r="2" spans="1:5" ht="26.1" customHeight="1">
      <c r="A2" s="8" t="s">
        <v>1445</v>
      </c>
      <c r="B2" s="8"/>
      <c r="C2" s="8"/>
      <c r="D2" s="8"/>
      <c r="E2" s="8"/>
    </row>
    <row r="3" spans="1:5" ht="26.1" customHeight="1">
      <c r="A3" s="8"/>
      <c r="B3" s="8"/>
      <c r="C3" s="8"/>
      <c r="D3" s="8"/>
      <c r="E3" s="8"/>
    </row>
    <row r="4" spans="1:5">
      <c r="A4" s="1"/>
      <c r="B4" s="1"/>
      <c r="C4" s="1"/>
      <c r="D4" s="1"/>
      <c r="E4" s="1"/>
    </row>
    <row r="5" spans="1:5">
      <c r="A5" s="1"/>
      <c r="B5" s="1"/>
      <c r="C5" s="1"/>
      <c r="D5" s="1"/>
      <c r="E5" s="1"/>
    </row>
    <row r="6" spans="1:5">
      <c r="A6" s="1"/>
      <c r="B6" s="1"/>
      <c r="C6" s="1"/>
      <c r="D6" s="1"/>
      <c r="E6" s="1"/>
    </row>
    <row r="7" spans="1:5" ht="48" customHeight="1">
      <c r="A7" s="2" t="s">
        <v>1446</v>
      </c>
      <c r="B7" s="2" t="s">
        <v>1116</v>
      </c>
      <c r="C7" s="2" t="s">
        <v>1447</v>
      </c>
      <c r="D7" s="2" t="s">
        <v>1448</v>
      </c>
      <c r="E7" s="2" t="s">
        <v>1449</v>
      </c>
    </row>
    <row r="8" spans="1:5" ht="36" customHeight="1">
      <c r="A8" s="1" t="s">
        <v>1450</v>
      </c>
      <c r="B8" s="1" t="s">
        <v>917</v>
      </c>
      <c r="C8" s="1" t="s">
        <v>174</v>
      </c>
      <c r="D8" s="1" t="s">
        <v>378</v>
      </c>
      <c r="E8" s="3" t="str">
        <f>IF(A8="","",IF(NOT(AND(COUNTIFS('15-روابط'!$A$8:$A$1007,A8)=1,COUNTIFS('07-تصمیمات و مصوبات'!$A$8:$A$1007,B8)=1)),"تصمیم یا شناسه نامعتبر",IF(C8="ورودی",IF(AND(COUNTIFS('03-ورودی‌های بازنگری'!$A$8:$A$1007,D8)=1,IFERROR(INDEX('03-ورودی‌های بازنگری'!$D$8:$D$1007,MATCH(D8,'03-ورودی‌های بازنگری'!$A$8:$A$1007,0)),"")=IFERROR(INDEX('07-تصمیمات و مصوبات'!$B$8:$B$1007,MATCH(B8,'07-تصمیمات و مصوبات'!$A$8:$A$1007,0)),"")),IF(AND(IFERROR(INDEX('07-تصمیمات و مصوبات'!$L$8:$L$1007,MATCH(B8,'07-تصمیمات و مصوبات'!$A$8:$A$1007,0)),"")="تصویب",IFERROR(INDEX('07-تصمیمات و مصوبات'!$Z$8:$Z$1007,MATCH(B8,'07-تصمیمات و مصوبات'!$A$8:$A$1007,0)),"")="معتبر",COUNTIFS('08-برنامه اقدامات'!$B$8:$B$1007,B8,'08-برنامه اقدامات'!$Q$8:$Q$1007,"معتبر")&gt;0),"برنامه مصوب معتبر","رابطه معتبر؛ برنامه مصوب ندارد"),"ورودی یا جلسه نامعتبر"),IF(AND(C8="الزام",COUNTIFS('02-ماتریس الزامات'!$A$8:$A$1007,D8)=1),"رابطه معتبر","الزام نامعتبر"))))</f>
        <v>رابطه معتبر؛ برنامه مصوب ندارد</v>
      </c>
    </row>
    <row r="9" spans="1:5" ht="36" customHeight="1">
      <c r="A9" s="1" t="s">
        <v>1451</v>
      </c>
      <c r="B9" s="1" t="s">
        <v>928</v>
      </c>
      <c r="C9" s="1" t="s">
        <v>174</v>
      </c>
      <c r="D9" s="1" t="s">
        <v>412</v>
      </c>
      <c r="E9" s="3" t="str">
        <f>IF(A9="","",IF(NOT(AND(COUNTIFS('15-روابط'!$A$8:$A$1007,A9)=1,COUNTIFS('07-تصمیمات و مصوبات'!$A$8:$A$1007,B9)=1)),"تصمیم یا شناسه نامعتبر",IF(C9="ورودی",IF(AND(COUNTIFS('03-ورودی‌های بازنگری'!$A$8:$A$1007,D9)=1,IFERROR(INDEX('03-ورودی‌های بازنگری'!$D$8:$D$1007,MATCH(D9,'03-ورودی‌های بازنگری'!$A$8:$A$1007,0)),"")=IFERROR(INDEX('07-تصمیمات و مصوبات'!$B$8:$B$1007,MATCH(B9,'07-تصمیمات و مصوبات'!$A$8:$A$1007,0)),"")),IF(AND(IFERROR(INDEX('07-تصمیمات و مصوبات'!$L$8:$L$1007,MATCH(B9,'07-تصمیمات و مصوبات'!$A$8:$A$1007,0)),"")="تصویب",IFERROR(INDEX('07-تصمیمات و مصوبات'!$Z$8:$Z$1007,MATCH(B9,'07-تصمیمات و مصوبات'!$A$8:$A$1007,0)),"")="معتبر",COUNTIFS('08-برنامه اقدامات'!$B$8:$B$1007,B9,'08-برنامه اقدامات'!$Q$8:$Q$1007,"معتبر")&gt;0),"برنامه مصوب معتبر","رابطه معتبر؛ برنامه مصوب ندارد"),"ورودی یا جلسه نامعتبر"),IF(AND(C9="الزام",COUNTIFS('02-ماتریس الزامات'!$A$8:$A$1007,D9)=1),"رابطه معتبر","الزام نامعتبر"))))</f>
        <v>رابطه معتبر؛ برنامه مصوب ندارد</v>
      </c>
    </row>
    <row r="10" spans="1:5" ht="36" customHeight="1">
      <c r="A10" s="1" t="s">
        <v>1452</v>
      </c>
      <c r="B10" s="1" t="s">
        <v>934</v>
      </c>
      <c r="C10" s="1" t="s">
        <v>174</v>
      </c>
      <c r="D10" s="1" t="s">
        <v>503</v>
      </c>
      <c r="E10" s="3" t="str">
        <f>IF(A10="","",IF(NOT(AND(COUNTIFS('15-روابط'!$A$8:$A$1007,A10)=1,COUNTIFS('07-تصمیمات و مصوبات'!$A$8:$A$1007,B10)=1)),"تصمیم یا شناسه نامعتبر",IF(C10="ورودی",IF(AND(COUNTIFS('03-ورودی‌های بازنگری'!$A$8:$A$1007,D10)=1,IFERROR(INDEX('03-ورودی‌های بازنگری'!$D$8:$D$1007,MATCH(D10,'03-ورودی‌های بازنگری'!$A$8:$A$1007,0)),"")=IFERROR(INDEX('07-تصمیمات و مصوبات'!$B$8:$B$1007,MATCH(B10,'07-تصمیمات و مصوبات'!$A$8:$A$1007,0)),"")),IF(AND(IFERROR(INDEX('07-تصمیمات و مصوبات'!$L$8:$L$1007,MATCH(B10,'07-تصمیمات و مصوبات'!$A$8:$A$1007,0)),"")="تصویب",IFERROR(INDEX('07-تصمیمات و مصوبات'!$Z$8:$Z$1007,MATCH(B10,'07-تصمیمات و مصوبات'!$A$8:$A$1007,0)),"")="معتبر",COUNTIFS('08-برنامه اقدامات'!$B$8:$B$1007,B10,'08-برنامه اقدامات'!$Q$8:$Q$1007,"معتبر")&gt;0),"برنامه مصوب معتبر","رابطه معتبر؛ برنامه مصوب ندارد"),"ورودی یا جلسه نامعتبر"),IF(AND(C10="الزام",COUNTIFS('02-ماتریس الزامات'!$A$8:$A$1007,D10)=1),"رابطه معتبر","الزام نامعتبر"))))</f>
        <v>رابطه معتبر؛ برنامه مصوب ندارد</v>
      </c>
    </row>
    <row r="11" spans="1:5" ht="36" customHeight="1">
      <c r="A11" s="1" t="s">
        <v>1453</v>
      </c>
      <c r="B11" s="1" t="s">
        <v>940</v>
      </c>
      <c r="C11" s="1" t="s">
        <v>174</v>
      </c>
      <c r="D11" s="1" t="s">
        <v>387</v>
      </c>
      <c r="E11" s="3" t="str">
        <f>IF(A11="","",IF(NOT(AND(COUNTIFS('15-روابط'!$A$8:$A$1007,A11)=1,COUNTIFS('07-تصمیمات و مصوبات'!$A$8:$A$1007,B11)=1)),"تصمیم یا شناسه نامعتبر",IF(C11="ورودی",IF(AND(COUNTIFS('03-ورودی‌های بازنگری'!$A$8:$A$1007,D11)=1,IFERROR(INDEX('03-ورودی‌های بازنگری'!$D$8:$D$1007,MATCH(D11,'03-ورودی‌های بازنگری'!$A$8:$A$1007,0)),"")=IFERROR(INDEX('07-تصمیمات و مصوبات'!$B$8:$B$1007,MATCH(B11,'07-تصمیمات و مصوبات'!$A$8:$A$1007,0)),"")),IF(AND(IFERROR(INDEX('07-تصمیمات و مصوبات'!$L$8:$L$1007,MATCH(B11,'07-تصمیمات و مصوبات'!$A$8:$A$1007,0)),"")="تصویب",IFERROR(INDEX('07-تصمیمات و مصوبات'!$Z$8:$Z$1007,MATCH(B11,'07-تصمیمات و مصوبات'!$A$8:$A$1007,0)),"")="معتبر",COUNTIFS('08-برنامه اقدامات'!$B$8:$B$1007,B11,'08-برنامه اقدامات'!$Q$8:$Q$1007,"معتبر")&gt;0),"برنامه مصوب معتبر","رابطه معتبر؛ برنامه مصوب ندارد"),"ورودی یا جلسه نامعتبر"),IF(AND(C11="الزام",COUNTIFS('02-ماتریس الزامات'!$A$8:$A$1007,D11)=1),"رابطه معتبر","الزام نامعتبر"))))</f>
        <v>رابطه معتبر؛ برنامه مصوب ندارد</v>
      </c>
    </row>
    <row r="12" spans="1:5" ht="36" customHeight="1">
      <c r="A12" s="1" t="s">
        <v>1454</v>
      </c>
      <c r="B12" s="1" t="s">
        <v>945</v>
      </c>
      <c r="C12" s="1" t="s">
        <v>174</v>
      </c>
      <c r="D12" s="1" t="s">
        <v>427</v>
      </c>
      <c r="E12" s="3" t="str">
        <f>IF(A12="","",IF(NOT(AND(COUNTIFS('15-روابط'!$A$8:$A$1007,A12)=1,COUNTIFS('07-تصمیمات و مصوبات'!$A$8:$A$1007,B12)=1)),"تصمیم یا شناسه نامعتبر",IF(C12="ورودی",IF(AND(COUNTIFS('03-ورودی‌های بازنگری'!$A$8:$A$1007,D12)=1,IFERROR(INDEX('03-ورودی‌های بازنگری'!$D$8:$D$1007,MATCH(D12,'03-ورودی‌های بازنگری'!$A$8:$A$1007,0)),"")=IFERROR(INDEX('07-تصمیمات و مصوبات'!$B$8:$B$1007,MATCH(B12,'07-تصمیمات و مصوبات'!$A$8:$A$1007,0)),"")),IF(AND(IFERROR(INDEX('07-تصمیمات و مصوبات'!$L$8:$L$1007,MATCH(B12,'07-تصمیمات و مصوبات'!$A$8:$A$1007,0)),"")="تصویب",IFERROR(INDEX('07-تصمیمات و مصوبات'!$Z$8:$Z$1007,MATCH(B12,'07-تصمیمات و مصوبات'!$A$8:$A$1007,0)),"")="معتبر",COUNTIFS('08-برنامه اقدامات'!$B$8:$B$1007,B12,'08-برنامه اقدامات'!$Q$8:$Q$1007,"معتبر")&gt;0),"برنامه مصوب معتبر","رابطه معتبر؛ برنامه مصوب ندارد"),"ورودی یا جلسه نامعتبر"),IF(AND(C12="الزام",COUNTIFS('02-ماتریس الزامات'!$A$8:$A$1007,D12)=1),"رابطه معتبر","الزام نامعتبر"))))</f>
        <v>رابطه معتبر؛ برنامه مصوب ندارد</v>
      </c>
    </row>
    <row r="13" spans="1:5" ht="36" customHeight="1">
      <c r="A13" s="1" t="s">
        <v>1455</v>
      </c>
      <c r="B13" s="1" t="s">
        <v>951</v>
      </c>
      <c r="C13" s="1" t="s">
        <v>174</v>
      </c>
      <c r="D13" s="1" t="s">
        <v>477</v>
      </c>
      <c r="E13" s="3" t="str">
        <f>IF(A13="","",IF(NOT(AND(COUNTIFS('15-روابط'!$A$8:$A$1007,A13)=1,COUNTIFS('07-تصمیمات و مصوبات'!$A$8:$A$1007,B13)=1)),"تصمیم یا شناسه نامعتبر",IF(C13="ورودی",IF(AND(COUNTIFS('03-ورودی‌های بازنگری'!$A$8:$A$1007,D13)=1,IFERROR(INDEX('03-ورودی‌های بازنگری'!$D$8:$D$1007,MATCH(D13,'03-ورودی‌های بازنگری'!$A$8:$A$1007,0)),"")=IFERROR(INDEX('07-تصمیمات و مصوبات'!$B$8:$B$1007,MATCH(B13,'07-تصمیمات و مصوبات'!$A$8:$A$1007,0)),"")),IF(AND(IFERROR(INDEX('07-تصمیمات و مصوبات'!$L$8:$L$1007,MATCH(B13,'07-تصمیمات و مصوبات'!$A$8:$A$1007,0)),"")="تصویب",IFERROR(INDEX('07-تصمیمات و مصوبات'!$Z$8:$Z$1007,MATCH(B13,'07-تصمیمات و مصوبات'!$A$8:$A$1007,0)),"")="معتبر",COUNTIFS('08-برنامه اقدامات'!$B$8:$B$1007,B13,'08-برنامه اقدامات'!$Q$8:$Q$1007,"معتبر")&gt;0),"برنامه مصوب معتبر","رابطه معتبر؛ برنامه مصوب ندارد"),"ورودی یا جلسه نامعتبر"),IF(AND(C13="الزام",COUNTIFS('02-ماتریس الزامات'!$A$8:$A$1007,D13)=1),"رابطه معتبر","الزام نامعتبر"))))</f>
        <v>رابطه معتبر؛ برنامه مصوب ندارد</v>
      </c>
    </row>
    <row r="14" spans="1:5" ht="36" customHeight="1">
      <c r="A14" s="1" t="s">
        <v>1456</v>
      </c>
      <c r="B14" s="1" t="s">
        <v>957</v>
      </c>
      <c r="C14" s="1" t="s">
        <v>174</v>
      </c>
      <c r="D14" s="1" t="s">
        <v>397</v>
      </c>
      <c r="E14" s="3" t="str">
        <f>IF(A14="","",IF(NOT(AND(COUNTIFS('15-روابط'!$A$8:$A$1007,A14)=1,COUNTIFS('07-تصمیمات و مصوبات'!$A$8:$A$1007,B14)=1)),"تصمیم یا شناسه نامعتبر",IF(C14="ورودی",IF(AND(COUNTIFS('03-ورودی‌های بازنگری'!$A$8:$A$1007,D14)=1,IFERROR(INDEX('03-ورودی‌های بازنگری'!$D$8:$D$1007,MATCH(D14,'03-ورودی‌های بازنگری'!$A$8:$A$1007,0)),"")=IFERROR(INDEX('07-تصمیمات و مصوبات'!$B$8:$B$1007,MATCH(B14,'07-تصمیمات و مصوبات'!$A$8:$A$1007,0)),"")),IF(AND(IFERROR(INDEX('07-تصمیمات و مصوبات'!$L$8:$L$1007,MATCH(B14,'07-تصمیمات و مصوبات'!$A$8:$A$1007,0)),"")="تصویب",IFERROR(INDEX('07-تصمیمات و مصوبات'!$Z$8:$Z$1007,MATCH(B14,'07-تصمیمات و مصوبات'!$A$8:$A$1007,0)),"")="معتبر",COUNTIFS('08-برنامه اقدامات'!$B$8:$B$1007,B14,'08-برنامه اقدامات'!$Q$8:$Q$1007,"معتبر")&gt;0),"برنامه مصوب معتبر","رابطه معتبر؛ برنامه مصوب ندارد"),"ورودی یا جلسه نامعتبر"),IF(AND(C14="الزام",COUNTIFS('02-ماتریس الزامات'!$A$8:$A$1007,D14)=1),"رابطه معتبر","الزام نامعتبر"))))</f>
        <v>رابطه معتبر؛ برنامه مصوب ندارد</v>
      </c>
    </row>
    <row r="15" spans="1:5" ht="36" customHeight="1">
      <c r="A15" s="1" t="s">
        <v>1457</v>
      </c>
      <c r="B15" s="1" t="s">
        <v>963</v>
      </c>
      <c r="C15" s="1" t="s">
        <v>174</v>
      </c>
      <c r="D15" s="1" t="s">
        <v>452</v>
      </c>
      <c r="E15" s="3" t="str">
        <f>IF(A15="","",IF(NOT(AND(COUNTIFS('15-روابط'!$A$8:$A$1007,A15)=1,COUNTIFS('07-تصمیمات و مصوبات'!$A$8:$A$1007,B15)=1)),"تصمیم یا شناسه نامعتبر",IF(C15="ورودی",IF(AND(COUNTIFS('03-ورودی‌های بازنگری'!$A$8:$A$1007,D15)=1,IFERROR(INDEX('03-ورودی‌های بازنگری'!$D$8:$D$1007,MATCH(D15,'03-ورودی‌های بازنگری'!$A$8:$A$1007,0)),"")=IFERROR(INDEX('07-تصمیمات و مصوبات'!$B$8:$B$1007,MATCH(B15,'07-تصمیمات و مصوبات'!$A$8:$A$1007,0)),"")),IF(AND(IFERROR(INDEX('07-تصمیمات و مصوبات'!$L$8:$L$1007,MATCH(B15,'07-تصمیمات و مصوبات'!$A$8:$A$1007,0)),"")="تصویب",IFERROR(INDEX('07-تصمیمات و مصوبات'!$Z$8:$Z$1007,MATCH(B15,'07-تصمیمات و مصوبات'!$A$8:$A$1007,0)),"")="معتبر",COUNTIFS('08-برنامه اقدامات'!$B$8:$B$1007,B15,'08-برنامه اقدامات'!$Q$8:$Q$1007,"معتبر")&gt;0),"برنامه مصوب معتبر","رابطه معتبر؛ برنامه مصوب ندارد"),"ورودی یا جلسه نامعتبر"),IF(AND(C15="الزام",COUNTIFS('02-ماتریس الزامات'!$A$8:$A$1007,D15)=1),"رابطه معتبر","الزام نامعتبر"))))</f>
        <v>رابطه معتبر؛ برنامه مصوب ندارد</v>
      </c>
    </row>
    <row r="16" spans="1:5" ht="36" customHeight="1">
      <c r="A16" s="1" t="s">
        <v>1458</v>
      </c>
      <c r="B16" s="1" t="s">
        <v>969</v>
      </c>
      <c r="C16" s="1" t="s">
        <v>174</v>
      </c>
      <c r="D16" s="1" t="s">
        <v>417</v>
      </c>
      <c r="E16" s="3" t="str">
        <f>IF(A16="","",IF(NOT(AND(COUNTIFS('15-روابط'!$A$8:$A$1007,A16)=1,COUNTIFS('07-تصمیمات و مصوبات'!$A$8:$A$1007,B16)=1)),"تصمیم یا شناسه نامعتبر",IF(C16="ورودی",IF(AND(COUNTIFS('03-ورودی‌های بازنگری'!$A$8:$A$1007,D16)=1,IFERROR(INDEX('03-ورودی‌های بازنگری'!$D$8:$D$1007,MATCH(D16,'03-ورودی‌های بازنگری'!$A$8:$A$1007,0)),"")=IFERROR(INDEX('07-تصمیمات و مصوبات'!$B$8:$B$1007,MATCH(B16,'07-تصمیمات و مصوبات'!$A$8:$A$1007,0)),"")),IF(AND(IFERROR(INDEX('07-تصمیمات و مصوبات'!$L$8:$L$1007,MATCH(B16,'07-تصمیمات و مصوبات'!$A$8:$A$1007,0)),"")="تصویب",IFERROR(INDEX('07-تصمیمات و مصوبات'!$Z$8:$Z$1007,MATCH(B16,'07-تصمیمات و مصوبات'!$A$8:$A$1007,0)),"")="معتبر",COUNTIFS('08-برنامه اقدامات'!$B$8:$B$1007,B16,'08-برنامه اقدامات'!$Q$8:$Q$1007,"معتبر")&gt;0),"برنامه مصوب معتبر","رابطه معتبر؛ برنامه مصوب ندارد"),"ورودی یا جلسه نامعتبر"),IF(AND(C16="الزام",COUNTIFS('02-ماتریس الزامات'!$A$8:$A$1007,D16)=1),"رابطه معتبر","الزام نامعتبر"))))</f>
        <v>رابطه معتبر؛ برنامه مصوب ندارد</v>
      </c>
    </row>
    <row r="17" spans="1:5" ht="36" customHeight="1">
      <c r="A17" s="1" t="s">
        <v>1459</v>
      </c>
      <c r="B17" s="1" t="s">
        <v>975</v>
      </c>
      <c r="C17" s="1" t="s">
        <v>174</v>
      </c>
      <c r="D17" s="1" t="s">
        <v>422</v>
      </c>
      <c r="E17" s="3" t="str">
        <f>IF(A17="","",IF(NOT(AND(COUNTIFS('15-روابط'!$A$8:$A$1007,A17)=1,COUNTIFS('07-تصمیمات و مصوبات'!$A$8:$A$1007,B17)=1)),"تصمیم یا شناسه نامعتبر",IF(C17="ورودی",IF(AND(COUNTIFS('03-ورودی‌های بازنگری'!$A$8:$A$1007,D17)=1,IFERROR(INDEX('03-ورودی‌های بازنگری'!$D$8:$D$1007,MATCH(D17,'03-ورودی‌های بازنگری'!$A$8:$A$1007,0)),"")=IFERROR(INDEX('07-تصمیمات و مصوبات'!$B$8:$B$1007,MATCH(B17,'07-تصمیمات و مصوبات'!$A$8:$A$1007,0)),"")),IF(AND(IFERROR(INDEX('07-تصمیمات و مصوبات'!$L$8:$L$1007,MATCH(B17,'07-تصمیمات و مصوبات'!$A$8:$A$1007,0)),"")="تصویب",IFERROR(INDEX('07-تصمیمات و مصوبات'!$Z$8:$Z$1007,MATCH(B17,'07-تصمیمات و مصوبات'!$A$8:$A$1007,0)),"")="معتبر",COUNTIFS('08-برنامه اقدامات'!$B$8:$B$1007,B17,'08-برنامه اقدامات'!$Q$8:$Q$1007,"معتبر")&gt;0),"برنامه مصوب معتبر","رابطه معتبر؛ برنامه مصوب ندارد"),"ورودی یا جلسه نامعتبر"),IF(AND(C17="الزام",COUNTIFS('02-ماتریس الزامات'!$A$8:$A$1007,D17)=1),"رابطه معتبر","الزام نامعتبر"))))</f>
        <v>رابطه معتبر؛ برنامه مصوب ندارد</v>
      </c>
    </row>
    <row r="18" spans="1:5" ht="36" customHeight="1">
      <c r="A18" s="1" t="s">
        <v>1460</v>
      </c>
      <c r="B18" s="1" t="s">
        <v>981</v>
      </c>
      <c r="C18" s="1" t="s">
        <v>174</v>
      </c>
      <c r="D18" s="1" t="s">
        <v>508</v>
      </c>
      <c r="E18" s="3" t="str">
        <f>IF(A18="","",IF(NOT(AND(COUNTIFS('15-روابط'!$A$8:$A$1007,A18)=1,COUNTIFS('07-تصمیمات و مصوبات'!$A$8:$A$1007,B18)=1)),"تصمیم یا شناسه نامعتبر",IF(C18="ورودی",IF(AND(COUNTIFS('03-ورودی‌های بازنگری'!$A$8:$A$1007,D18)=1,IFERROR(INDEX('03-ورودی‌های بازنگری'!$D$8:$D$1007,MATCH(D18,'03-ورودی‌های بازنگری'!$A$8:$A$1007,0)),"")=IFERROR(INDEX('07-تصمیمات و مصوبات'!$B$8:$B$1007,MATCH(B18,'07-تصمیمات و مصوبات'!$A$8:$A$1007,0)),"")),IF(AND(IFERROR(INDEX('07-تصمیمات و مصوبات'!$L$8:$L$1007,MATCH(B18,'07-تصمیمات و مصوبات'!$A$8:$A$1007,0)),"")="تصویب",IFERROR(INDEX('07-تصمیمات و مصوبات'!$Z$8:$Z$1007,MATCH(B18,'07-تصمیمات و مصوبات'!$A$8:$A$1007,0)),"")="معتبر",COUNTIFS('08-برنامه اقدامات'!$B$8:$B$1007,B18,'08-برنامه اقدامات'!$Q$8:$Q$1007,"معتبر")&gt;0),"برنامه مصوب معتبر","رابطه معتبر؛ برنامه مصوب ندارد"),"ورودی یا جلسه نامعتبر"),IF(AND(C18="الزام",COUNTIFS('02-ماتریس الزامات'!$A$8:$A$1007,D18)=1),"رابطه معتبر","الزام نامعتبر"))))</f>
        <v>رابطه معتبر؛ برنامه مصوب ندارد</v>
      </c>
    </row>
    <row r="19" spans="1:5" ht="36" customHeight="1">
      <c r="A19" s="1" t="s">
        <v>1461</v>
      </c>
      <c r="B19" s="1" t="s">
        <v>987</v>
      </c>
      <c r="C19" s="1" t="s">
        <v>174</v>
      </c>
      <c r="D19" s="1" t="s">
        <v>497</v>
      </c>
      <c r="E19" s="3" t="str">
        <f>IF(A19="","",IF(NOT(AND(COUNTIFS('15-روابط'!$A$8:$A$1007,A19)=1,COUNTIFS('07-تصمیمات و مصوبات'!$A$8:$A$1007,B19)=1)),"تصمیم یا شناسه نامعتبر",IF(C19="ورودی",IF(AND(COUNTIFS('03-ورودی‌های بازنگری'!$A$8:$A$1007,D19)=1,IFERROR(INDEX('03-ورودی‌های بازنگری'!$D$8:$D$1007,MATCH(D19,'03-ورودی‌های بازنگری'!$A$8:$A$1007,0)),"")=IFERROR(INDEX('07-تصمیمات و مصوبات'!$B$8:$B$1007,MATCH(B19,'07-تصمیمات و مصوبات'!$A$8:$A$1007,0)),"")),IF(AND(IFERROR(INDEX('07-تصمیمات و مصوبات'!$L$8:$L$1007,MATCH(B19,'07-تصمیمات و مصوبات'!$A$8:$A$1007,0)),"")="تصویب",IFERROR(INDEX('07-تصمیمات و مصوبات'!$Z$8:$Z$1007,MATCH(B19,'07-تصمیمات و مصوبات'!$A$8:$A$1007,0)),"")="معتبر",COUNTIFS('08-برنامه اقدامات'!$B$8:$B$1007,B19,'08-برنامه اقدامات'!$Q$8:$Q$1007,"معتبر")&gt;0),"برنامه مصوب معتبر","رابطه معتبر؛ برنامه مصوب ندارد"),"ورودی یا جلسه نامعتبر"),IF(AND(C19="الزام",COUNTIFS('02-ماتریس الزامات'!$A$8:$A$1007,D19)=1),"رابطه معتبر","الزام نامعتبر"))))</f>
        <v>رابطه معتبر؛ برنامه مصوب ندارد</v>
      </c>
    </row>
    <row r="20" spans="1:5" ht="36" customHeight="1">
      <c r="A20" s="1" t="s">
        <v>1462</v>
      </c>
      <c r="B20" s="1" t="s">
        <v>993</v>
      </c>
      <c r="C20" s="1" t="s">
        <v>174</v>
      </c>
      <c r="D20" s="1" t="s">
        <v>457</v>
      </c>
      <c r="E20" s="3" t="str">
        <f>IF(A20="","",IF(NOT(AND(COUNTIFS('15-روابط'!$A$8:$A$1007,A20)=1,COUNTIFS('07-تصمیمات و مصوبات'!$A$8:$A$1007,B20)=1)),"تصمیم یا شناسه نامعتبر",IF(C20="ورودی",IF(AND(COUNTIFS('03-ورودی‌های بازنگری'!$A$8:$A$1007,D20)=1,IFERROR(INDEX('03-ورودی‌های بازنگری'!$D$8:$D$1007,MATCH(D20,'03-ورودی‌های بازنگری'!$A$8:$A$1007,0)),"")=IFERROR(INDEX('07-تصمیمات و مصوبات'!$B$8:$B$1007,MATCH(B20,'07-تصمیمات و مصوبات'!$A$8:$A$1007,0)),"")),IF(AND(IFERROR(INDEX('07-تصمیمات و مصوبات'!$L$8:$L$1007,MATCH(B20,'07-تصمیمات و مصوبات'!$A$8:$A$1007,0)),"")="تصویب",IFERROR(INDEX('07-تصمیمات و مصوبات'!$Z$8:$Z$1007,MATCH(B20,'07-تصمیمات و مصوبات'!$A$8:$A$1007,0)),"")="معتبر",COUNTIFS('08-برنامه اقدامات'!$B$8:$B$1007,B20,'08-برنامه اقدامات'!$Q$8:$Q$1007,"معتبر")&gt;0),"برنامه مصوب معتبر","رابطه معتبر؛ برنامه مصوب ندارد"),"ورودی یا جلسه نامعتبر"),IF(AND(C20="الزام",COUNTIFS('02-ماتریس الزامات'!$A$8:$A$1007,D20)=1),"رابطه معتبر","الزام نامعتبر"))))</f>
        <v>رابطه معتبر؛ برنامه مصوب ندارد</v>
      </c>
    </row>
    <row r="21" spans="1:5" ht="36" customHeight="1">
      <c r="A21" s="1" t="s">
        <v>1463</v>
      </c>
      <c r="B21" s="1" t="s">
        <v>999</v>
      </c>
      <c r="C21" s="1" t="s">
        <v>174</v>
      </c>
      <c r="D21" s="1" t="s">
        <v>492</v>
      </c>
      <c r="E21" s="3" t="str">
        <f>IF(A21="","",IF(NOT(AND(COUNTIFS('15-روابط'!$A$8:$A$1007,A21)=1,COUNTIFS('07-تصمیمات و مصوبات'!$A$8:$A$1007,B21)=1)),"تصمیم یا شناسه نامعتبر",IF(C21="ورودی",IF(AND(COUNTIFS('03-ورودی‌های بازنگری'!$A$8:$A$1007,D21)=1,IFERROR(INDEX('03-ورودی‌های بازنگری'!$D$8:$D$1007,MATCH(D21,'03-ورودی‌های بازنگری'!$A$8:$A$1007,0)),"")=IFERROR(INDEX('07-تصمیمات و مصوبات'!$B$8:$B$1007,MATCH(B21,'07-تصمیمات و مصوبات'!$A$8:$A$1007,0)),"")),IF(AND(IFERROR(INDEX('07-تصمیمات و مصوبات'!$L$8:$L$1007,MATCH(B21,'07-تصمیمات و مصوبات'!$A$8:$A$1007,0)),"")="تصویب",IFERROR(INDEX('07-تصمیمات و مصوبات'!$Z$8:$Z$1007,MATCH(B21,'07-تصمیمات و مصوبات'!$A$8:$A$1007,0)),"")="معتبر",COUNTIFS('08-برنامه اقدامات'!$B$8:$B$1007,B21,'08-برنامه اقدامات'!$Q$8:$Q$1007,"معتبر")&gt;0),"برنامه مصوب معتبر","رابطه معتبر؛ برنامه مصوب ندارد"),"ورودی یا جلسه نامعتبر"),IF(AND(C21="الزام",COUNTIFS('02-ماتریس الزامات'!$A$8:$A$1007,D21)=1),"رابطه معتبر","الزام نامعتبر"))))</f>
        <v>رابطه معتبر؛ برنامه مصوب ندارد</v>
      </c>
    </row>
    <row r="22" spans="1:5" ht="36" customHeight="1">
      <c r="A22" s="1" t="s">
        <v>1464</v>
      </c>
      <c r="B22" s="1" t="s">
        <v>1005</v>
      </c>
      <c r="C22" s="1" t="s">
        <v>174</v>
      </c>
      <c r="D22" s="1" t="s">
        <v>472</v>
      </c>
      <c r="E22" s="3" t="str">
        <f>IF(A22="","",IF(NOT(AND(COUNTIFS('15-روابط'!$A$8:$A$1007,A22)=1,COUNTIFS('07-تصمیمات و مصوبات'!$A$8:$A$1007,B22)=1)),"تصمیم یا شناسه نامعتبر",IF(C22="ورودی",IF(AND(COUNTIFS('03-ورودی‌های بازنگری'!$A$8:$A$1007,D22)=1,IFERROR(INDEX('03-ورودی‌های بازنگری'!$D$8:$D$1007,MATCH(D22,'03-ورودی‌های بازنگری'!$A$8:$A$1007,0)),"")=IFERROR(INDEX('07-تصمیمات و مصوبات'!$B$8:$B$1007,MATCH(B22,'07-تصمیمات و مصوبات'!$A$8:$A$1007,0)),"")),IF(AND(IFERROR(INDEX('07-تصمیمات و مصوبات'!$L$8:$L$1007,MATCH(B22,'07-تصمیمات و مصوبات'!$A$8:$A$1007,0)),"")="تصویب",IFERROR(INDEX('07-تصمیمات و مصوبات'!$Z$8:$Z$1007,MATCH(B22,'07-تصمیمات و مصوبات'!$A$8:$A$1007,0)),"")="معتبر",COUNTIFS('08-برنامه اقدامات'!$B$8:$B$1007,B22,'08-برنامه اقدامات'!$Q$8:$Q$1007,"معتبر")&gt;0),"برنامه مصوب معتبر","رابطه معتبر؛ برنامه مصوب ندارد"),"ورودی یا جلسه نامعتبر"),IF(AND(C22="الزام",COUNTIFS('02-ماتریس الزامات'!$A$8:$A$1007,D22)=1),"رابطه معتبر","الزام نامعتبر"))))</f>
        <v>رابطه معتبر؛ برنامه مصوب ندارد</v>
      </c>
    </row>
    <row r="23" spans="1:5" ht="36" customHeight="1">
      <c r="A23" s="1" t="s">
        <v>1465</v>
      </c>
      <c r="B23" s="1" t="s">
        <v>1011</v>
      </c>
      <c r="C23" s="1" t="s">
        <v>174</v>
      </c>
      <c r="D23" s="1" t="s">
        <v>482</v>
      </c>
      <c r="E23" s="3" t="str">
        <f>IF(A23="","",IF(NOT(AND(COUNTIFS('15-روابط'!$A$8:$A$1007,A23)=1,COUNTIFS('07-تصمیمات و مصوبات'!$A$8:$A$1007,B23)=1)),"تصمیم یا شناسه نامعتبر",IF(C23="ورودی",IF(AND(COUNTIFS('03-ورودی‌های بازنگری'!$A$8:$A$1007,D23)=1,IFERROR(INDEX('03-ورودی‌های بازنگری'!$D$8:$D$1007,MATCH(D23,'03-ورودی‌های بازنگری'!$A$8:$A$1007,0)),"")=IFERROR(INDEX('07-تصمیمات و مصوبات'!$B$8:$B$1007,MATCH(B23,'07-تصمیمات و مصوبات'!$A$8:$A$1007,0)),"")),IF(AND(IFERROR(INDEX('07-تصمیمات و مصوبات'!$L$8:$L$1007,MATCH(B23,'07-تصمیمات و مصوبات'!$A$8:$A$1007,0)),"")="تصویب",IFERROR(INDEX('07-تصمیمات و مصوبات'!$Z$8:$Z$1007,MATCH(B23,'07-تصمیمات و مصوبات'!$A$8:$A$1007,0)),"")="معتبر",COUNTIFS('08-برنامه اقدامات'!$B$8:$B$1007,B23,'08-برنامه اقدامات'!$Q$8:$Q$1007,"معتبر")&gt;0),"برنامه مصوب معتبر","رابطه معتبر؛ برنامه مصوب ندارد"),"ورودی یا جلسه نامعتبر"),IF(AND(C23="الزام",COUNTIFS('02-ماتریس الزامات'!$A$8:$A$1007,D23)=1),"رابطه معتبر","الزام نامعتبر"))))</f>
        <v>رابطه معتبر؛ برنامه مصوب ندارد</v>
      </c>
    </row>
    <row r="24" spans="1:5" ht="36" customHeight="1">
      <c r="A24" s="1" t="s">
        <v>1466</v>
      </c>
      <c r="B24" s="1" t="s">
        <v>1017</v>
      </c>
      <c r="C24" s="1" t="s">
        <v>174</v>
      </c>
      <c r="D24" s="1" t="s">
        <v>447</v>
      </c>
      <c r="E24" s="3" t="str">
        <f>IF(A24="","",IF(NOT(AND(COUNTIFS('15-روابط'!$A$8:$A$1007,A24)=1,COUNTIFS('07-تصمیمات و مصوبات'!$A$8:$A$1007,B24)=1)),"تصمیم یا شناسه نامعتبر",IF(C24="ورودی",IF(AND(COUNTIFS('03-ورودی‌های بازنگری'!$A$8:$A$1007,D24)=1,IFERROR(INDEX('03-ورودی‌های بازنگری'!$D$8:$D$1007,MATCH(D24,'03-ورودی‌های بازنگری'!$A$8:$A$1007,0)),"")=IFERROR(INDEX('07-تصمیمات و مصوبات'!$B$8:$B$1007,MATCH(B24,'07-تصمیمات و مصوبات'!$A$8:$A$1007,0)),"")),IF(AND(IFERROR(INDEX('07-تصمیمات و مصوبات'!$L$8:$L$1007,MATCH(B24,'07-تصمیمات و مصوبات'!$A$8:$A$1007,0)),"")="تصویب",IFERROR(INDEX('07-تصمیمات و مصوبات'!$Z$8:$Z$1007,MATCH(B24,'07-تصمیمات و مصوبات'!$A$8:$A$1007,0)),"")="معتبر",COUNTIFS('08-برنامه اقدامات'!$B$8:$B$1007,B24,'08-برنامه اقدامات'!$Q$8:$Q$1007,"معتبر")&gt;0),"برنامه مصوب معتبر","رابطه معتبر؛ برنامه مصوب ندارد"),"ورودی یا جلسه نامعتبر"),IF(AND(C24="الزام",COUNTIFS('02-ماتریس الزامات'!$A$8:$A$1007,D24)=1),"رابطه معتبر","الزام نامعتبر"))))</f>
        <v>رابطه معتبر؛ برنامه مصوب ندارد</v>
      </c>
    </row>
    <row r="25" spans="1:5" ht="36" customHeight="1">
      <c r="A25" s="1" t="s">
        <v>1467</v>
      </c>
      <c r="B25" s="1" t="s">
        <v>1023</v>
      </c>
      <c r="C25" s="1" t="s">
        <v>174</v>
      </c>
      <c r="D25" s="1" t="s">
        <v>492</v>
      </c>
      <c r="E25" s="3" t="str">
        <f>IF(A25="","",IF(NOT(AND(COUNTIFS('15-روابط'!$A$8:$A$1007,A25)=1,COUNTIFS('07-تصمیمات و مصوبات'!$A$8:$A$1007,B25)=1)),"تصمیم یا شناسه نامعتبر",IF(C25="ورودی",IF(AND(COUNTIFS('03-ورودی‌های بازنگری'!$A$8:$A$1007,D25)=1,IFERROR(INDEX('03-ورودی‌های بازنگری'!$D$8:$D$1007,MATCH(D25,'03-ورودی‌های بازنگری'!$A$8:$A$1007,0)),"")=IFERROR(INDEX('07-تصمیمات و مصوبات'!$B$8:$B$1007,MATCH(B25,'07-تصمیمات و مصوبات'!$A$8:$A$1007,0)),"")),IF(AND(IFERROR(INDEX('07-تصمیمات و مصوبات'!$L$8:$L$1007,MATCH(B25,'07-تصمیمات و مصوبات'!$A$8:$A$1007,0)),"")="تصویب",IFERROR(INDEX('07-تصمیمات و مصوبات'!$Z$8:$Z$1007,MATCH(B25,'07-تصمیمات و مصوبات'!$A$8:$A$1007,0)),"")="معتبر",COUNTIFS('08-برنامه اقدامات'!$B$8:$B$1007,B25,'08-برنامه اقدامات'!$Q$8:$Q$1007,"معتبر")&gt;0),"برنامه مصوب معتبر","رابطه معتبر؛ برنامه مصوب ندارد"),"ورودی یا جلسه نامعتبر"),IF(AND(C25="الزام",COUNTIFS('02-ماتریس الزامات'!$A$8:$A$1007,D25)=1),"رابطه معتبر","الزام نامعتبر"))))</f>
        <v>رابطه معتبر؛ برنامه مصوب ندارد</v>
      </c>
    </row>
    <row r="26" spans="1:5" ht="36" customHeight="1">
      <c r="A26" s="1" t="s">
        <v>1468</v>
      </c>
      <c r="B26" s="1" t="s">
        <v>1029</v>
      </c>
      <c r="C26" s="1" t="s">
        <v>174</v>
      </c>
      <c r="D26" s="1" t="s">
        <v>412</v>
      </c>
      <c r="E26" s="3" t="str">
        <f>IF(A26="","",IF(NOT(AND(COUNTIFS('15-روابط'!$A$8:$A$1007,A26)=1,COUNTIFS('07-تصمیمات و مصوبات'!$A$8:$A$1007,B26)=1)),"تصمیم یا شناسه نامعتبر",IF(C26="ورودی",IF(AND(COUNTIFS('03-ورودی‌های بازنگری'!$A$8:$A$1007,D26)=1,IFERROR(INDEX('03-ورودی‌های بازنگری'!$D$8:$D$1007,MATCH(D26,'03-ورودی‌های بازنگری'!$A$8:$A$1007,0)),"")=IFERROR(INDEX('07-تصمیمات و مصوبات'!$B$8:$B$1007,MATCH(B26,'07-تصمیمات و مصوبات'!$A$8:$A$1007,0)),"")),IF(AND(IFERROR(INDEX('07-تصمیمات و مصوبات'!$L$8:$L$1007,MATCH(B26,'07-تصمیمات و مصوبات'!$A$8:$A$1007,0)),"")="تصویب",IFERROR(INDEX('07-تصمیمات و مصوبات'!$Z$8:$Z$1007,MATCH(B26,'07-تصمیمات و مصوبات'!$A$8:$A$1007,0)),"")="معتبر",COUNTIFS('08-برنامه اقدامات'!$B$8:$B$1007,B26,'08-برنامه اقدامات'!$Q$8:$Q$1007,"معتبر")&gt;0),"برنامه مصوب معتبر","رابطه معتبر؛ برنامه مصوب ندارد"),"ورودی یا جلسه نامعتبر"),IF(AND(C26="الزام",COUNTIFS('02-ماتریس الزامات'!$A$8:$A$1007,D26)=1),"رابطه معتبر","الزام نامعتبر"))))</f>
        <v>رابطه معتبر؛ برنامه مصوب ندارد</v>
      </c>
    </row>
    <row r="27" spans="1:5" ht="36" customHeight="1">
      <c r="A27" s="1" t="s">
        <v>1469</v>
      </c>
      <c r="B27" s="1" t="s">
        <v>1035</v>
      </c>
      <c r="C27" s="1" t="s">
        <v>174</v>
      </c>
      <c r="D27" s="1" t="s">
        <v>523</v>
      </c>
      <c r="E27" s="3" t="str">
        <f>IF(A27="","",IF(NOT(AND(COUNTIFS('15-روابط'!$A$8:$A$1007,A27)=1,COUNTIFS('07-تصمیمات و مصوبات'!$A$8:$A$1007,B27)=1)),"تصمیم یا شناسه نامعتبر",IF(C27="ورودی",IF(AND(COUNTIFS('03-ورودی‌های بازنگری'!$A$8:$A$1007,D27)=1,IFERROR(INDEX('03-ورودی‌های بازنگری'!$D$8:$D$1007,MATCH(D27,'03-ورودی‌های بازنگری'!$A$8:$A$1007,0)),"")=IFERROR(INDEX('07-تصمیمات و مصوبات'!$B$8:$B$1007,MATCH(B27,'07-تصمیمات و مصوبات'!$A$8:$A$1007,0)),"")),IF(AND(IFERROR(INDEX('07-تصمیمات و مصوبات'!$L$8:$L$1007,MATCH(B27,'07-تصمیمات و مصوبات'!$A$8:$A$1007,0)),"")="تصویب",IFERROR(INDEX('07-تصمیمات و مصوبات'!$Z$8:$Z$1007,MATCH(B27,'07-تصمیمات و مصوبات'!$A$8:$A$1007,0)),"")="معتبر",COUNTIFS('08-برنامه اقدامات'!$B$8:$B$1007,B27,'08-برنامه اقدامات'!$Q$8:$Q$1007,"معتبر")&gt;0),"برنامه مصوب معتبر","رابطه معتبر؛ برنامه مصوب ندارد"),"ورودی یا جلسه نامعتبر"),IF(AND(C27="الزام",COUNTIFS('02-ماتریس الزامات'!$A$8:$A$1007,D27)=1),"رابطه معتبر","الزام نامعتبر"))))</f>
        <v>رابطه معتبر؛ برنامه مصوب ندارد</v>
      </c>
    </row>
    <row r="28" spans="1:5" ht="36" customHeight="1">
      <c r="A28" s="1" t="s">
        <v>1470</v>
      </c>
      <c r="B28" s="1" t="s">
        <v>1041</v>
      </c>
      <c r="C28" s="1" t="s">
        <v>174</v>
      </c>
      <c r="D28" s="1" t="s">
        <v>518</v>
      </c>
      <c r="E28" s="3" t="str">
        <f>IF(A28="","",IF(NOT(AND(COUNTIFS('15-روابط'!$A$8:$A$1007,A28)=1,COUNTIFS('07-تصمیمات و مصوبات'!$A$8:$A$1007,B28)=1)),"تصمیم یا شناسه نامعتبر",IF(C28="ورودی",IF(AND(COUNTIFS('03-ورودی‌های بازنگری'!$A$8:$A$1007,D28)=1,IFERROR(INDEX('03-ورودی‌های بازنگری'!$D$8:$D$1007,MATCH(D28,'03-ورودی‌های بازنگری'!$A$8:$A$1007,0)),"")=IFERROR(INDEX('07-تصمیمات و مصوبات'!$B$8:$B$1007,MATCH(B28,'07-تصمیمات و مصوبات'!$A$8:$A$1007,0)),"")),IF(AND(IFERROR(INDEX('07-تصمیمات و مصوبات'!$L$8:$L$1007,MATCH(B28,'07-تصمیمات و مصوبات'!$A$8:$A$1007,0)),"")="تصویب",IFERROR(INDEX('07-تصمیمات و مصوبات'!$Z$8:$Z$1007,MATCH(B28,'07-تصمیمات و مصوبات'!$A$8:$A$1007,0)),"")="معتبر",COUNTIFS('08-برنامه اقدامات'!$B$8:$B$1007,B28,'08-برنامه اقدامات'!$Q$8:$Q$1007,"معتبر")&gt;0),"برنامه مصوب معتبر","رابطه معتبر؛ برنامه مصوب ندارد"),"ورودی یا جلسه نامعتبر"),IF(AND(C28="الزام",COUNTIFS('02-ماتریس الزامات'!$A$8:$A$1007,D28)=1),"رابطه معتبر","الزام نامعتبر"))))</f>
        <v>رابطه معتبر؛ برنامه مصوب ندارد</v>
      </c>
    </row>
    <row r="29" spans="1:5" ht="36" customHeight="1">
      <c r="A29" s="1" t="s">
        <v>1471</v>
      </c>
      <c r="B29" s="1" t="s">
        <v>1047</v>
      </c>
      <c r="C29" s="1" t="s">
        <v>174</v>
      </c>
      <c r="D29" s="1" t="s">
        <v>528</v>
      </c>
      <c r="E29" s="3" t="str">
        <f>IF(A29="","",IF(NOT(AND(COUNTIFS('15-روابط'!$A$8:$A$1007,A29)=1,COUNTIFS('07-تصمیمات و مصوبات'!$A$8:$A$1007,B29)=1)),"تصمیم یا شناسه نامعتبر",IF(C29="ورودی",IF(AND(COUNTIFS('03-ورودی‌های بازنگری'!$A$8:$A$1007,D29)=1,IFERROR(INDEX('03-ورودی‌های بازنگری'!$D$8:$D$1007,MATCH(D29,'03-ورودی‌های بازنگری'!$A$8:$A$1007,0)),"")=IFERROR(INDEX('07-تصمیمات و مصوبات'!$B$8:$B$1007,MATCH(B29,'07-تصمیمات و مصوبات'!$A$8:$A$1007,0)),"")),IF(AND(IFERROR(INDEX('07-تصمیمات و مصوبات'!$L$8:$L$1007,MATCH(B29,'07-تصمیمات و مصوبات'!$A$8:$A$1007,0)),"")="تصویب",IFERROR(INDEX('07-تصمیمات و مصوبات'!$Z$8:$Z$1007,MATCH(B29,'07-تصمیمات و مصوبات'!$A$8:$A$1007,0)),"")="معتبر",COUNTIFS('08-برنامه اقدامات'!$B$8:$B$1007,B29,'08-برنامه اقدامات'!$Q$8:$Q$1007,"معتبر")&gt;0),"برنامه مصوب معتبر","رابطه معتبر؛ برنامه مصوب ندارد"),"ورودی یا جلسه نامعتبر"),IF(AND(C29="الزام",COUNTIFS('02-ماتریس الزامات'!$A$8:$A$1007,D29)=1),"رابطه معتبر","الزام نامعتبر"))))</f>
        <v>رابطه معتبر؛ برنامه مصوب ندارد</v>
      </c>
    </row>
    <row r="30" spans="1:5" ht="36" customHeight="1">
      <c r="A30" s="1" t="s">
        <v>1472</v>
      </c>
      <c r="B30" s="1" t="s">
        <v>1047</v>
      </c>
      <c r="C30" s="1" t="s">
        <v>1473</v>
      </c>
      <c r="D30" s="1" t="s">
        <v>279</v>
      </c>
      <c r="E30" s="3" t="str">
        <f>IF(A30="","",IF(NOT(AND(COUNTIFS('15-روابط'!$A$8:$A$1007,A30)=1,COUNTIFS('07-تصمیمات و مصوبات'!$A$8:$A$1007,B30)=1)),"تصمیم یا شناسه نامعتبر",IF(C30="ورودی",IF(AND(COUNTIFS('03-ورودی‌های بازنگری'!$A$8:$A$1007,D30)=1,IFERROR(INDEX('03-ورودی‌های بازنگری'!$D$8:$D$1007,MATCH(D30,'03-ورودی‌های بازنگری'!$A$8:$A$1007,0)),"")=IFERROR(INDEX('07-تصمیمات و مصوبات'!$B$8:$B$1007,MATCH(B30,'07-تصمیمات و مصوبات'!$A$8:$A$1007,0)),"")),IF(AND(IFERROR(INDEX('07-تصمیمات و مصوبات'!$L$8:$L$1007,MATCH(B30,'07-تصمیمات و مصوبات'!$A$8:$A$1007,0)),"")="تصویب",IFERROR(INDEX('07-تصمیمات و مصوبات'!$Z$8:$Z$1007,MATCH(B30,'07-تصمیمات و مصوبات'!$A$8:$A$1007,0)),"")="معتبر",COUNTIFS('08-برنامه اقدامات'!$B$8:$B$1007,B30,'08-برنامه اقدامات'!$Q$8:$Q$1007,"معتبر")&gt;0),"برنامه مصوب معتبر","رابطه معتبر؛ برنامه مصوب ندارد"),"ورودی یا جلسه نامعتبر"),IF(AND(C30="الزام",COUNTIFS('02-ماتریس الزامات'!$A$8:$A$1007,D30)=1),"رابطه معتبر","الزام نامعتبر"))))</f>
        <v>رابطه معتبر</v>
      </c>
    </row>
    <row r="31" spans="1:5" ht="36" customHeight="1">
      <c r="A31" s="1" t="s">
        <v>1474</v>
      </c>
      <c r="B31" s="1" t="s">
        <v>1061</v>
      </c>
      <c r="C31" s="1" t="s">
        <v>174</v>
      </c>
      <c r="D31" s="1" t="s">
        <v>542</v>
      </c>
      <c r="E31" s="3" t="str">
        <f>IF(A31="","",IF(NOT(AND(COUNTIFS('15-روابط'!$A$8:$A$1007,A31)=1,COUNTIFS('07-تصمیمات و مصوبات'!$A$8:$A$1007,B31)=1)),"تصمیم یا شناسه نامعتبر",IF(C31="ورودی",IF(AND(COUNTIFS('03-ورودی‌های بازنگری'!$A$8:$A$1007,D31)=1,IFERROR(INDEX('03-ورودی‌های بازنگری'!$D$8:$D$1007,MATCH(D31,'03-ورودی‌های بازنگری'!$A$8:$A$1007,0)),"")=IFERROR(INDEX('07-تصمیمات و مصوبات'!$B$8:$B$1007,MATCH(B31,'07-تصمیمات و مصوبات'!$A$8:$A$1007,0)),"")),IF(AND(IFERROR(INDEX('07-تصمیمات و مصوبات'!$L$8:$L$1007,MATCH(B31,'07-تصمیمات و مصوبات'!$A$8:$A$1007,0)),"")="تصویب",IFERROR(INDEX('07-تصمیمات و مصوبات'!$Z$8:$Z$1007,MATCH(B31,'07-تصمیمات و مصوبات'!$A$8:$A$1007,0)),"")="معتبر",COUNTIFS('08-برنامه اقدامات'!$B$8:$B$1007,B31,'08-برنامه اقدامات'!$Q$8:$Q$1007,"معتبر")&gt;0),"برنامه مصوب معتبر","رابطه معتبر؛ برنامه مصوب ندارد"),"ورودی یا جلسه نامعتبر"),IF(AND(C31="الزام",COUNTIFS('02-ماتریس الزامات'!$A$8:$A$1007,D31)=1),"رابطه معتبر","الزام نامعتبر"))))</f>
        <v>برنامه مصوب معتبر</v>
      </c>
    </row>
    <row r="32" spans="1:5" ht="36" customHeight="1">
      <c r="A32" s="1" t="s">
        <v>1475</v>
      </c>
      <c r="B32" s="1" t="s">
        <v>1061</v>
      </c>
      <c r="C32" s="1" t="s">
        <v>1473</v>
      </c>
      <c r="D32" s="1" t="s">
        <v>231</v>
      </c>
      <c r="E32" s="3" t="str">
        <f>IF(A32="","",IF(NOT(AND(COUNTIFS('15-روابط'!$A$8:$A$1007,A32)=1,COUNTIFS('07-تصمیمات و مصوبات'!$A$8:$A$1007,B32)=1)),"تصمیم یا شناسه نامعتبر",IF(C32="ورودی",IF(AND(COUNTIFS('03-ورودی‌های بازنگری'!$A$8:$A$1007,D32)=1,IFERROR(INDEX('03-ورودی‌های بازنگری'!$D$8:$D$1007,MATCH(D32,'03-ورودی‌های بازنگری'!$A$8:$A$1007,0)),"")=IFERROR(INDEX('07-تصمیمات و مصوبات'!$B$8:$B$1007,MATCH(B32,'07-تصمیمات و مصوبات'!$A$8:$A$1007,0)),"")),IF(AND(IFERROR(INDEX('07-تصمیمات و مصوبات'!$L$8:$L$1007,MATCH(B32,'07-تصمیمات و مصوبات'!$A$8:$A$1007,0)),"")="تصویب",IFERROR(INDEX('07-تصمیمات و مصوبات'!$Z$8:$Z$1007,MATCH(B32,'07-تصمیمات و مصوبات'!$A$8:$A$1007,0)),"")="معتبر",COUNTIFS('08-برنامه اقدامات'!$B$8:$B$1007,B32,'08-برنامه اقدامات'!$Q$8:$Q$1007,"معتبر")&gt;0),"برنامه مصوب معتبر","رابطه معتبر؛ برنامه مصوب ندارد"),"ورودی یا جلسه نامعتبر"),IF(AND(C32="الزام",COUNTIFS('02-ماتریس الزامات'!$A$8:$A$1007,D32)=1),"رابطه معتبر","الزام نامعتبر"))))</f>
        <v>رابطه معتبر</v>
      </c>
    </row>
    <row r="33" spans="1:5" ht="36" customHeight="1">
      <c r="A33" s="1" t="s">
        <v>1476</v>
      </c>
      <c r="B33" s="1" t="s">
        <v>1066</v>
      </c>
      <c r="C33" s="1" t="s">
        <v>174</v>
      </c>
      <c r="D33" s="1" t="s">
        <v>545</v>
      </c>
      <c r="E33" s="3" t="str">
        <f>IF(A33="","",IF(NOT(AND(COUNTIFS('15-روابط'!$A$8:$A$1007,A33)=1,COUNTIFS('07-تصمیمات و مصوبات'!$A$8:$A$1007,B33)=1)),"تصمیم یا شناسه نامعتبر",IF(C33="ورودی",IF(AND(COUNTIFS('03-ورودی‌های بازنگری'!$A$8:$A$1007,D33)=1,IFERROR(INDEX('03-ورودی‌های بازنگری'!$D$8:$D$1007,MATCH(D33,'03-ورودی‌های بازنگری'!$A$8:$A$1007,0)),"")=IFERROR(INDEX('07-تصمیمات و مصوبات'!$B$8:$B$1007,MATCH(B33,'07-تصمیمات و مصوبات'!$A$8:$A$1007,0)),"")),IF(AND(IFERROR(INDEX('07-تصمیمات و مصوبات'!$L$8:$L$1007,MATCH(B33,'07-تصمیمات و مصوبات'!$A$8:$A$1007,0)),"")="تصویب",IFERROR(INDEX('07-تصمیمات و مصوبات'!$Z$8:$Z$1007,MATCH(B33,'07-تصمیمات و مصوبات'!$A$8:$A$1007,0)),"")="معتبر",COUNTIFS('08-برنامه اقدامات'!$B$8:$B$1007,B33,'08-برنامه اقدامات'!$Q$8:$Q$1007,"معتبر")&gt;0),"برنامه مصوب معتبر","رابطه معتبر؛ برنامه مصوب ندارد"),"ورودی یا جلسه نامعتبر"),IF(AND(C33="الزام",COUNTIFS('02-ماتریس الزامات'!$A$8:$A$1007,D33)=1),"رابطه معتبر","الزام نامعتبر"))))</f>
        <v>برنامه مصوب معتبر</v>
      </c>
    </row>
    <row r="34" spans="1:5" ht="36" customHeight="1">
      <c r="A34" s="1" t="s">
        <v>1477</v>
      </c>
      <c r="B34" s="1" t="s">
        <v>1066</v>
      </c>
      <c r="C34" s="1" t="s">
        <v>1473</v>
      </c>
      <c r="D34" s="1" t="s">
        <v>325</v>
      </c>
      <c r="E34" s="3" t="str">
        <f>IF(A34="","",IF(NOT(AND(COUNTIFS('15-روابط'!$A$8:$A$1007,A34)=1,COUNTIFS('07-تصمیمات و مصوبات'!$A$8:$A$1007,B34)=1)),"تصمیم یا شناسه نامعتبر",IF(C34="ورودی",IF(AND(COUNTIFS('03-ورودی‌های بازنگری'!$A$8:$A$1007,D34)=1,IFERROR(INDEX('03-ورودی‌های بازنگری'!$D$8:$D$1007,MATCH(D34,'03-ورودی‌های بازنگری'!$A$8:$A$1007,0)),"")=IFERROR(INDEX('07-تصمیمات و مصوبات'!$B$8:$B$1007,MATCH(B34,'07-تصمیمات و مصوبات'!$A$8:$A$1007,0)),"")),IF(AND(IFERROR(INDEX('07-تصمیمات و مصوبات'!$L$8:$L$1007,MATCH(B34,'07-تصمیمات و مصوبات'!$A$8:$A$1007,0)),"")="تصویب",IFERROR(INDEX('07-تصمیمات و مصوبات'!$Z$8:$Z$1007,MATCH(B34,'07-تصمیمات و مصوبات'!$A$8:$A$1007,0)),"")="معتبر",COUNTIFS('08-برنامه اقدامات'!$B$8:$B$1007,B34,'08-برنامه اقدامات'!$Q$8:$Q$1007,"معتبر")&gt;0),"برنامه مصوب معتبر","رابطه معتبر؛ برنامه مصوب ندارد"),"ورودی یا جلسه نامعتبر"),IF(AND(C34="الزام",COUNTIFS('02-ماتریس الزامات'!$A$8:$A$1007,D34)=1),"رابطه معتبر","الزام نامعتبر"))))</f>
        <v>رابطه معتبر</v>
      </c>
    </row>
    <row r="35" spans="1:5" ht="36" customHeight="1">
      <c r="A35" s="1" t="s">
        <v>1478</v>
      </c>
      <c r="B35" s="1" t="s">
        <v>1070</v>
      </c>
      <c r="C35" s="1" t="s">
        <v>174</v>
      </c>
      <c r="D35" s="1" t="s">
        <v>548</v>
      </c>
      <c r="E35" s="3" t="str">
        <f>IF(A35="","",IF(NOT(AND(COUNTIFS('15-روابط'!$A$8:$A$1007,A35)=1,COUNTIFS('07-تصمیمات و مصوبات'!$A$8:$A$1007,B35)=1)),"تصمیم یا شناسه نامعتبر",IF(C35="ورودی",IF(AND(COUNTIFS('03-ورودی‌های بازنگری'!$A$8:$A$1007,D35)=1,IFERROR(INDEX('03-ورودی‌های بازنگری'!$D$8:$D$1007,MATCH(D35,'03-ورودی‌های بازنگری'!$A$8:$A$1007,0)),"")=IFERROR(INDEX('07-تصمیمات و مصوبات'!$B$8:$B$1007,MATCH(B35,'07-تصمیمات و مصوبات'!$A$8:$A$1007,0)),"")),IF(AND(IFERROR(INDEX('07-تصمیمات و مصوبات'!$L$8:$L$1007,MATCH(B35,'07-تصمیمات و مصوبات'!$A$8:$A$1007,0)),"")="تصویب",IFERROR(INDEX('07-تصمیمات و مصوبات'!$Z$8:$Z$1007,MATCH(B35,'07-تصمیمات و مصوبات'!$A$8:$A$1007,0)),"")="معتبر",COUNTIFS('08-برنامه اقدامات'!$B$8:$B$1007,B35,'08-برنامه اقدامات'!$Q$8:$Q$1007,"معتبر")&gt;0),"برنامه مصوب معتبر","رابطه معتبر؛ برنامه مصوب ندارد"),"ورودی یا جلسه نامعتبر"),IF(AND(C35="الزام",COUNTIFS('02-ماتریس الزامات'!$A$8:$A$1007,D35)=1),"رابطه معتبر","الزام نامعتبر"))))</f>
        <v>برنامه مصوب معتبر</v>
      </c>
    </row>
    <row r="36" spans="1:5" ht="36" customHeight="1">
      <c r="A36" s="1" t="s">
        <v>1479</v>
      </c>
      <c r="B36" s="1" t="s">
        <v>1070</v>
      </c>
      <c r="C36" s="1" t="s">
        <v>1473</v>
      </c>
      <c r="D36" s="1" t="s">
        <v>352</v>
      </c>
      <c r="E36" s="3" t="str">
        <f>IF(A36="","",IF(NOT(AND(COUNTIFS('15-روابط'!$A$8:$A$1007,A36)=1,COUNTIFS('07-تصمیمات و مصوبات'!$A$8:$A$1007,B36)=1)),"تصمیم یا شناسه نامعتبر",IF(C36="ورودی",IF(AND(COUNTIFS('03-ورودی‌های بازنگری'!$A$8:$A$1007,D36)=1,IFERROR(INDEX('03-ورودی‌های بازنگری'!$D$8:$D$1007,MATCH(D36,'03-ورودی‌های بازنگری'!$A$8:$A$1007,0)),"")=IFERROR(INDEX('07-تصمیمات و مصوبات'!$B$8:$B$1007,MATCH(B36,'07-تصمیمات و مصوبات'!$A$8:$A$1007,0)),"")),IF(AND(IFERROR(INDEX('07-تصمیمات و مصوبات'!$L$8:$L$1007,MATCH(B36,'07-تصمیمات و مصوبات'!$A$8:$A$1007,0)),"")="تصویب",IFERROR(INDEX('07-تصمیمات و مصوبات'!$Z$8:$Z$1007,MATCH(B36,'07-تصمیمات و مصوبات'!$A$8:$A$1007,0)),"")="معتبر",COUNTIFS('08-برنامه اقدامات'!$B$8:$B$1007,B36,'08-برنامه اقدامات'!$Q$8:$Q$1007,"معتبر")&gt;0),"برنامه مصوب معتبر","رابطه معتبر؛ برنامه مصوب ندارد"),"ورودی یا جلسه نامعتبر"),IF(AND(C36="الزام",COUNTIFS('02-ماتریس الزامات'!$A$8:$A$1007,D36)=1),"رابطه معتبر","الزام نامعتبر"))))</f>
        <v>رابطه معتبر</v>
      </c>
    </row>
    <row r="37" spans="1:5" ht="36" customHeight="1">
      <c r="A37" s="1" t="s">
        <v>1480</v>
      </c>
      <c r="B37" s="1" t="s">
        <v>1075</v>
      </c>
      <c r="C37" s="1" t="s">
        <v>174</v>
      </c>
      <c r="D37" s="1" t="s">
        <v>551</v>
      </c>
      <c r="E37" s="3" t="str">
        <f>IF(A37="","",IF(NOT(AND(COUNTIFS('15-روابط'!$A$8:$A$1007,A37)=1,COUNTIFS('07-تصمیمات و مصوبات'!$A$8:$A$1007,B37)=1)),"تصمیم یا شناسه نامعتبر",IF(C37="ورودی",IF(AND(COUNTIFS('03-ورودی‌های بازنگری'!$A$8:$A$1007,D37)=1,IFERROR(INDEX('03-ورودی‌های بازنگری'!$D$8:$D$1007,MATCH(D37,'03-ورودی‌های بازنگری'!$A$8:$A$1007,0)),"")=IFERROR(INDEX('07-تصمیمات و مصوبات'!$B$8:$B$1007,MATCH(B37,'07-تصمیمات و مصوبات'!$A$8:$A$1007,0)),"")),IF(AND(IFERROR(INDEX('07-تصمیمات و مصوبات'!$L$8:$L$1007,MATCH(B37,'07-تصمیمات و مصوبات'!$A$8:$A$1007,0)),"")="تصویب",IFERROR(INDEX('07-تصمیمات و مصوبات'!$Z$8:$Z$1007,MATCH(B37,'07-تصمیمات و مصوبات'!$A$8:$A$1007,0)),"")="معتبر",COUNTIFS('08-برنامه اقدامات'!$B$8:$B$1007,B37,'08-برنامه اقدامات'!$Q$8:$Q$1007,"معتبر")&gt;0),"برنامه مصوب معتبر","رابطه معتبر؛ برنامه مصوب ندارد"),"ورودی یا جلسه نامعتبر"),IF(AND(C37="الزام",COUNTIFS('02-ماتریس الزامات'!$A$8:$A$1007,D37)=1),"رابطه معتبر","الزام نامعتبر"))))</f>
        <v>رابطه معتبر؛ برنامه مصوب ندارد</v>
      </c>
    </row>
    <row r="38" spans="1:5" ht="36" customHeight="1">
      <c r="A38" s="1" t="s">
        <v>1481</v>
      </c>
      <c r="B38" s="1" t="s">
        <v>1075</v>
      </c>
      <c r="C38" s="1" t="s">
        <v>1473</v>
      </c>
      <c r="D38" s="1" t="s">
        <v>229</v>
      </c>
      <c r="E38" s="3" t="str">
        <f>IF(A38="","",IF(NOT(AND(COUNTIFS('15-روابط'!$A$8:$A$1007,A38)=1,COUNTIFS('07-تصمیمات و مصوبات'!$A$8:$A$1007,B38)=1)),"تصمیم یا شناسه نامعتبر",IF(C38="ورودی",IF(AND(COUNTIFS('03-ورودی‌های بازنگری'!$A$8:$A$1007,D38)=1,IFERROR(INDEX('03-ورودی‌های بازنگری'!$D$8:$D$1007,MATCH(D38,'03-ورودی‌های بازنگری'!$A$8:$A$1007,0)),"")=IFERROR(INDEX('07-تصمیمات و مصوبات'!$B$8:$B$1007,MATCH(B38,'07-تصمیمات و مصوبات'!$A$8:$A$1007,0)),"")),IF(AND(IFERROR(INDEX('07-تصمیمات و مصوبات'!$L$8:$L$1007,MATCH(B38,'07-تصمیمات و مصوبات'!$A$8:$A$1007,0)),"")="تصویب",IFERROR(INDEX('07-تصمیمات و مصوبات'!$Z$8:$Z$1007,MATCH(B38,'07-تصمیمات و مصوبات'!$A$8:$A$1007,0)),"")="معتبر",COUNTIFS('08-برنامه اقدامات'!$B$8:$B$1007,B38,'08-برنامه اقدامات'!$Q$8:$Q$1007,"معتبر")&gt;0),"برنامه مصوب معتبر","رابطه معتبر؛ برنامه مصوب ندارد"),"ورودی یا جلسه نامعتبر"),IF(AND(C38="الزام",COUNTIFS('02-ماتریس الزامات'!$A$8:$A$1007,D38)=1),"رابطه معتبر","الزام نامعتبر"))))</f>
        <v>رابطه معتبر</v>
      </c>
    </row>
    <row r="39" spans="1:5" ht="36" customHeight="1">
      <c r="A39" s="1" t="s">
        <v>1482</v>
      </c>
      <c r="B39" s="1" t="s">
        <v>1080</v>
      </c>
      <c r="C39" s="1" t="s">
        <v>174</v>
      </c>
      <c r="D39" s="1" t="s">
        <v>554</v>
      </c>
      <c r="E39" s="3" t="str">
        <f>IF(A39="","",IF(NOT(AND(COUNTIFS('15-روابط'!$A$8:$A$1007,A39)=1,COUNTIFS('07-تصمیمات و مصوبات'!$A$8:$A$1007,B39)=1)),"تصمیم یا شناسه نامعتبر",IF(C39="ورودی",IF(AND(COUNTIFS('03-ورودی‌های بازنگری'!$A$8:$A$1007,D39)=1,IFERROR(INDEX('03-ورودی‌های بازنگری'!$D$8:$D$1007,MATCH(D39,'03-ورودی‌های بازنگری'!$A$8:$A$1007,0)),"")=IFERROR(INDEX('07-تصمیمات و مصوبات'!$B$8:$B$1007,MATCH(B39,'07-تصمیمات و مصوبات'!$A$8:$A$1007,0)),"")),IF(AND(IFERROR(INDEX('07-تصمیمات و مصوبات'!$L$8:$L$1007,MATCH(B39,'07-تصمیمات و مصوبات'!$A$8:$A$1007,0)),"")="تصویب",IFERROR(INDEX('07-تصمیمات و مصوبات'!$Z$8:$Z$1007,MATCH(B39,'07-تصمیمات و مصوبات'!$A$8:$A$1007,0)),"")="معتبر",COUNTIFS('08-برنامه اقدامات'!$B$8:$B$1007,B39,'08-برنامه اقدامات'!$Q$8:$Q$1007,"معتبر")&gt;0),"برنامه مصوب معتبر","رابطه معتبر؛ برنامه مصوب ندارد"),"ورودی یا جلسه نامعتبر"),IF(AND(C39="الزام",COUNTIFS('02-ماتریس الزامات'!$A$8:$A$1007,D39)=1),"رابطه معتبر","الزام نامعتبر"))))</f>
        <v>برنامه مصوب معتبر</v>
      </c>
    </row>
    <row r="40" spans="1:5" ht="36" customHeight="1">
      <c r="A40" s="1" t="s">
        <v>1483</v>
      </c>
      <c r="B40" s="1" t="s">
        <v>1080</v>
      </c>
      <c r="C40" s="1" t="s">
        <v>1473</v>
      </c>
      <c r="D40" s="1" t="s">
        <v>223</v>
      </c>
      <c r="E40" s="3" t="str">
        <f>IF(A40="","",IF(NOT(AND(COUNTIFS('15-روابط'!$A$8:$A$1007,A40)=1,COUNTIFS('07-تصمیمات و مصوبات'!$A$8:$A$1007,B40)=1)),"تصمیم یا شناسه نامعتبر",IF(C40="ورودی",IF(AND(COUNTIFS('03-ورودی‌های بازنگری'!$A$8:$A$1007,D40)=1,IFERROR(INDEX('03-ورودی‌های بازنگری'!$D$8:$D$1007,MATCH(D40,'03-ورودی‌های بازنگری'!$A$8:$A$1007,0)),"")=IFERROR(INDEX('07-تصمیمات و مصوبات'!$B$8:$B$1007,MATCH(B40,'07-تصمیمات و مصوبات'!$A$8:$A$1007,0)),"")),IF(AND(IFERROR(INDEX('07-تصمیمات و مصوبات'!$L$8:$L$1007,MATCH(B40,'07-تصمیمات و مصوبات'!$A$8:$A$1007,0)),"")="تصویب",IFERROR(INDEX('07-تصمیمات و مصوبات'!$Z$8:$Z$1007,MATCH(B40,'07-تصمیمات و مصوبات'!$A$8:$A$1007,0)),"")="معتبر",COUNTIFS('08-برنامه اقدامات'!$B$8:$B$1007,B40,'08-برنامه اقدامات'!$Q$8:$Q$1007,"معتبر")&gt;0),"برنامه مصوب معتبر","رابطه معتبر؛ برنامه مصوب ندارد"),"ورودی یا جلسه نامعتبر"),IF(AND(C40="الزام",COUNTIFS('02-ماتریس الزامات'!$A$8:$A$1007,D40)=1),"رابطه معتبر","الزام نامعتبر"))))</f>
        <v>رابطه معتبر</v>
      </c>
    </row>
    <row r="41" spans="1:5" ht="36" customHeight="1">
      <c r="A41" s="1" t="s">
        <v>1484</v>
      </c>
      <c r="B41" s="1" t="s">
        <v>1083</v>
      </c>
      <c r="C41" s="1" t="s">
        <v>174</v>
      </c>
      <c r="D41" s="1" t="s">
        <v>557</v>
      </c>
      <c r="E41" s="3" t="str">
        <f>IF(A41="","",IF(NOT(AND(COUNTIFS('15-روابط'!$A$8:$A$1007,A41)=1,COUNTIFS('07-تصمیمات و مصوبات'!$A$8:$A$1007,B41)=1)),"تصمیم یا شناسه نامعتبر",IF(C41="ورودی",IF(AND(COUNTIFS('03-ورودی‌های بازنگری'!$A$8:$A$1007,D41)=1,IFERROR(INDEX('03-ورودی‌های بازنگری'!$D$8:$D$1007,MATCH(D41,'03-ورودی‌های بازنگری'!$A$8:$A$1007,0)),"")=IFERROR(INDEX('07-تصمیمات و مصوبات'!$B$8:$B$1007,MATCH(B41,'07-تصمیمات و مصوبات'!$A$8:$A$1007,0)),"")),IF(AND(IFERROR(INDEX('07-تصمیمات و مصوبات'!$L$8:$L$1007,MATCH(B41,'07-تصمیمات و مصوبات'!$A$8:$A$1007,0)),"")="تصویب",IFERROR(INDEX('07-تصمیمات و مصوبات'!$Z$8:$Z$1007,MATCH(B41,'07-تصمیمات و مصوبات'!$A$8:$A$1007,0)),"")="معتبر",COUNTIFS('08-برنامه اقدامات'!$B$8:$B$1007,B41,'08-برنامه اقدامات'!$Q$8:$Q$1007,"معتبر")&gt;0),"برنامه مصوب معتبر","رابطه معتبر؛ برنامه مصوب ندارد"),"ورودی یا جلسه نامعتبر"),IF(AND(C41="الزام",COUNTIFS('02-ماتریس الزامات'!$A$8:$A$1007,D41)=1),"رابطه معتبر","الزام نامعتبر"))))</f>
        <v>رابطه معتبر؛ برنامه مصوب ندارد</v>
      </c>
    </row>
    <row r="42" spans="1:5" ht="36" customHeight="1">
      <c r="A42" s="1" t="s">
        <v>1485</v>
      </c>
      <c r="B42" s="1" t="s">
        <v>1083</v>
      </c>
      <c r="C42" s="1" t="s">
        <v>1473</v>
      </c>
      <c r="D42" s="1" t="s">
        <v>231</v>
      </c>
      <c r="E42" s="3" t="str">
        <f>IF(A42="","",IF(NOT(AND(COUNTIFS('15-روابط'!$A$8:$A$1007,A42)=1,COUNTIFS('07-تصمیمات و مصوبات'!$A$8:$A$1007,B42)=1)),"تصمیم یا شناسه نامعتبر",IF(C42="ورودی",IF(AND(COUNTIFS('03-ورودی‌های بازنگری'!$A$8:$A$1007,D42)=1,IFERROR(INDEX('03-ورودی‌های بازنگری'!$D$8:$D$1007,MATCH(D42,'03-ورودی‌های بازنگری'!$A$8:$A$1007,0)),"")=IFERROR(INDEX('07-تصمیمات و مصوبات'!$B$8:$B$1007,MATCH(B42,'07-تصمیمات و مصوبات'!$A$8:$A$1007,0)),"")),IF(AND(IFERROR(INDEX('07-تصمیمات و مصوبات'!$L$8:$L$1007,MATCH(B42,'07-تصمیمات و مصوبات'!$A$8:$A$1007,0)),"")="تصویب",IFERROR(INDEX('07-تصمیمات و مصوبات'!$Z$8:$Z$1007,MATCH(B42,'07-تصمیمات و مصوبات'!$A$8:$A$1007,0)),"")="معتبر",COUNTIFS('08-برنامه اقدامات'!$B$8:$B$1007,B42,'08-برنامه اقدامات'!$Q$8:$Q$1007,"معتبر")&gt;0),"برنامه مصوب معتبر","رابطه معتبر؛ برنامه مصوب ندارد"),"ورودی یا جلسه نامعتبر"),IF(AND(C42="الزام",COUNTIFS('02-ماتریس الزامات'!$A$8:$A$1007,D42)=1),"رابطه معتبر","الزام نامعتبر"))))</f>
        <v>رابطه معتبر</v>
      </c>
    </row>
    <row r="43" spans="1:5" ht="36" customHeight="1">
      <c r="A43" s="1" t="s">
        <v>1486</v>
      </c>
      <c r="B43" s="1" t="s">
        <v>957</v>
      </c>
      <c r="C43" s="1" t="s">
        <v>174</v>
      </c>
      <c r="D43" s="1" t="s">
        <v>497</v>
      </c>
      <c r="E43" s="3" t="str">
        <f>IF(A43="","",IF(NOT(AND(COUNTIFS('15-روابط'!$A$8:$A$1007,A43)=1,COUNTIFS('07-تصمیمات و مصوبات'!$A$8:$A$1007,B43)=1)),"تصمیم یا شناسه نامعتبر",IF(C43="ورودی",IF(AND(COUNTIFS('03-ورودی‌های بازنگری'!$A$8:$A$1007,D43)=1,IFERROR(INDEX('03-ورودی‌های بازنگری'!$D$8:$D$1007,MATCH(D43,'03-ورودی‌های بازنگری'!$A$8:$A$1007,0)),"")=IFERROR(INDEX('07-تصمیمات و مصوبات'!$B$8:$B$1007,MATCH(B43,'07-تصمیمات و مصوبات'!$A$8:$A$1007,0)),"")),IF(AND(IFERROR(INDEX('07-تصمیمات و مصوبات'!$L$8:$L$1007,MATCH(B43,'07-تصمیمات و مصوبات'!$A$8:$A$1007,0)),"")="تصویب",IFERROR(INDEX('07-تصمیمات و مصوبات'!$Z$8:$Z$1007,MATCH(B43,'07-تصمیمات و مصوبات'!$A$8:$A$1007,0)),"")="معتبر",COUNTIFS('08-برنامه اقدامات'!$B$8:$B$1007,B43,'08-برنامه اقدامات'!$Q$8:$Q$1007,"معتبر")&gt;0),"برنامه مصوب معتبر","رابطه معتبر؛ برنامه مصوب ندارد"),"ورودی یا جلسه نامعتبر"),IF(AND(C43="الزام",COUNTIFS('02-ماتریس الزامات'!$A$8:$A$1007,D43)=1),"رابطه معتبر","الزام نامعتبر"))))</f>
        <v>رابطه معتبر؛ برنامه مصوب ندارد</v>
      </c>
    </row>
    <row r="44" spans="1:5" ht="36" customHeight="1">
      <c r="A44" s="1" t="s">
        <v>1487</v>
      </c>
      <c r="B44" s="1" t="s">
        <v>957</v>
      </c>
      <c r="C44" s="1" t="s">
        <v>1473</v>
      </c>
      <c r="D44" s="1" t="s">
        <v>321</v>
      </c>
      <c r="E44" s="3" t="str">
        <f>IF(A44="","",IF(NOT(AND(COUNTIFS('15-روابط'!$A$8:$A$1007,A44)=1,COUNTIFS('07-تصمیمات و مصوبات'!$A$8:$A$1007,B44)=1)),"تصمیم یا شناسه نامعتبر",IF(C44="ورودی",IF(AND(COUNTIFS('03-ورودی‌های بازنگری'!$A$8:$A$1007,D44)=1,IFERROR(INDEX('03-ورودی‌های بازنگری'!$D$8:$D$1007,MATCH(D44,'03-ورودی‌های بازنگری'!$A$8:$A$1007,0)),"")=IFERROR(INDEX('07-تصمیمات و مصوبات'!$B$8:$B$1007,MATCH(B44,'07-تصمیمات و مصوبات'!$A$8:$A$1007,0)),"")),IF(AND(IFERROR(INDEX('07-تصمیمات و مصوبات'!$L$8:$L$1007,MATCH(B44,'07-تصمیمات و مصوبات'!$A$8:$A$1007,0)),"")="تصویب",IFERROR(INDEX('07-تصمیمات و مصوبات'!$Z$8:$Z$1007,MATCH(B44,'07-تصمیمات و مصوبات'!$A$8:$A$1007,0)),"")="معتبر",COUNTIFS('08-برنامه اقدامات'!$B$8:$B$1007,B44,'08-برنامه اقدامات'!$Q$8:$Q$1007,"معتبر")&gt;0),"برنامه مصوب معتبر","رابطه معتبر؛ برنامه مصوب ندارد"),"ورودی یا جلسه نامعتبر"),IF(AND(C44="الزام",COUNTIFS('02-ماتریس الزامات'!$A$8:$A$1007,D44)=1),"رابطه معتبر","الزام نامعتبر"))))</f>
        <v>رابطه معتبر</v>
      </c>
    </row>
    <row r="45" spans="1:5" ht="36" customHeight="1">
      <c r="A45" s="1" t="s">
        <v>1488</v>
      </c>
      <c r="B45" s="1" t="s">
        <v>957</v>
      </c>
      <c r="C45" s="1" t="s">
        <v>1473</v>
      </c>
      <c r="D45" s="1" t="s">
        <v>353</v>
      </c>
      <c r="E45" s="3" t="str">
        <f>IF(A45="","",IF(NOT(AND(COUNTIFS('15-روابط'!$A$8:$A$1007,A45)=1,COUNTIFS('07-تصمیمات و مصوبات'!$A$8:$A$1007,B45)=1)),"تصمیم یا شناسه نامعتبر",IF(C45="ورودی",IF(AND(COUNTIFS('03-ورودی‌های بازنگری'!$A$8:$A$1007,D45)=1,IFERROR(INDEX('03-ورودی‌های بازنگری'!$D$8:$D$1007,MATCH(D45,'03-ورودی‌های بازنگری'!$A$8:$A$1007,0)),"")=IFERROR(INDEX('07-تصمیمات و مصوبات'!$B$8:$B$1007,MATCH(B45,'07-تصمیمات و مصوبات'!$A$8:$A$1007,0)),"")),IF(AND(IFERROR(INDEX('07-تصمیمات و مصوبات'!$L$8:$L$1007,MATCH(B45,'07-تصمیمات و مصوبات'!$A$8:$A$1007,0)),"")="تصویب",IFERROR(INDEX('07-تصمیمات و مصوبات'!$Z$8:$Z$1007,MATCH(B45,'07-تصمیمات و مصوبات'!$A$8:$A$1007,0)),"")="معتبر",COUNTIFS('08-برنامه اقدامات'!$B$8:$B$1007,B45,'08-برنامه اقدامات'!$Q$8:$Q$1007,"معتبر")&gt;0),"برنامه مصوب معتبر","رابطه معتبر؛ برنامه مصوب ندارد"),"ورودی یا جلسه نامعتبر"),IF(AND(C45="الزام",COUNTIFS('02-ماتریس الزامات'!$A$8:$A$1007,D45)=1),"رابطه معتبر","الزام نامعتبر"))))</f>
        <v>رابطه معتبر</v>
      </c>
    </row>
    <row r="46" spans="1:5" ht="36" customHeight="1">
      <c r="A46" s="1"/>
      <c r="B46" s="1"/>
      <c r="C46" s="1"/>
      <c r="D46" s="1"/>
      <c r="E46" s="3" t="str">
        <f>IF(A46="","",IF(NOT(AND(COUNTIFS('15-روابط'!$A$8:$A$1007,A46)=1,COUNTIFS('07-تصمیمات و مصوبات'!$A$8:$A$1007,B46)=1)),"تصمیم یا شناسه نامعتبر",IF(C46="ورودی",IF(AND(COUNTIFS('03-ورودی‌های بازنگری'!$A$8:$A$1007,D46)=1,IFERROR(INDEX('03-ورودی‌های بازنگری'!$D$8:$D$1007,MATCH(D46,'03-ورودی‌های بازنگری'!$A$8:$A$1007,0)),"")=IFERROR(INDEX('07-تصمیمات و مصوبات'!$B$8:$B$1007,MATCH(B46,'07-تصمیمات و مصوبات'!$A$8:$A$1007,0)),"")),IF(AND(IFERROR(INDEX('07-تصمیمات و مصوبات'!$L$8:$L$1007,MATCH(B46,'07-تصمیمات و مصوبات'!$A$8:$A$1007,0)),"")="تصویب",IFERROR(INDEX('07-تصمیمات و مصوبات'!$Z$8:$Z$1007,MATCH(B46,'07-تصمیمات و مصوبات'!$A$8:$A$1007,0)),"")="معتبر",COUNTIFS('08-برنامه اقدامات'!$B$8:$B$1007,B46,'08-برنامه اقدامات'!$Q$8:$Q$1007,"معتبر")&gt;0),"برنامه مصوب معتبر","رابطه معتبر؛ برنامه مصوب ندارد"),"ورودی یا جلسه نامعتبر"),IF(AND(C46="الزام",COUNTIFS('02-ماتریس الزامات'!$A$8:$A$1007,D46)=1),"رابطه معتبر","الزام نامعتبر"))))</f>
        <v/>
      </c>
    </row>
    <row r="47" spans="1:5" ht="36" customHeight="1">
      <c r="A47" s="1"/>
      <c r="B47" s="1"/>
      <c r="C47" s="1"/>
      <c r="D47" s="1"/>
      <c r="E47" s="3" t="str">
        <f>IF(A47="","",IF(NOT(AND(COUNTIFS('15-روابط'!$A$8:$A$1007,A47)=1,COUNTIFS('07-تصمیمات و مصوبات'!$A$8:$A$1007,B47)=1)),"تصمیم یا شناسه نامعتبر",IF(C47="ورودی",IF(AND(COUNTIFS('03-ورودی‌های بازنگری'!$A$8:$A$1007,D47)=1,IFERROR(INDEX('03-ورودی‌های بازنگری'!$D$8:$D$1007,MATCH(D47,'03-ورودی‌های بازنگری'!$A$8:$A$1007,0)),"")=IFERROR(INDEX('07-تصمیمات و مصوبات'!$B$8:$B$1007,MATCH(B47,'07-تصمیمات و مصوبات'!$A$8:$A$1007,0)),"")),IF(AND(IFERROR(INDEX('07-تصمیمات و مصوبات'!$L$8:$L$1007,MATCH(B47,'07-تصمیمات و مصوبات'!$A$8:$A$1007,0)),"")="تصویب",IFERROR(INDEX('07-تصمیمات و مصوبات'!$Z$8:$Z$1007,MATCH(B47,'07-تصمیمات و مصوبات'!$A$8:$A$1007,0)),"")="معتبر",COUNTIFS('08-برنامه اقدامات'!$B$8:$B$1007,B47,'08-برنامه اقدامات'!$Q$8:$Q$1007,"معتبر")&gt;0),"برنامه مصوب معتبر","رابطه معتبر؛ برنامه مصوب ندارد"),"ورودی یا جلسه نامعتبر"),IF(AND(C47="الزام",COUNTIFS('02-ماتریس الزامات'!$A$8:$A$1007,D47)=1),"رابطه معتبر","الزام نامعتبر"))))</f>
        <v/>
      </c>
    </row>
    <row r="48" spans="1:5" ht="36" customHeight="1">
      <c r="A48" s="1"/>
      <c r="B48" s="1"/>
      <c r="C48" s="1"/>
      <c r="D48" s="1"/>
      <c r="E48" s="3" t="str">
        <f>IF(A48="","",IF(NOT(AND(COUNTIFS('15-روابط'!$A$8:$A$1007,A48)=1,COUNTIFS('07-تصمیمات و مصوبات'!$A$8:$A$1007,B48)=1)),"تصمیم یا شناسه نامعتبر",IF(C48="ورودی",IF(AND(COUNTIFS('03-ورودی‌های بازنگری'!$A$8:$A$1007,D48)=1,IFERROR(INDEX('03-ورودی‌های بازنگری'!$D$8:$D$1007,MATCH(D48,'03-ورودی‌های بازنگری'!$A$8:$A$1007,0)),"")=IFERROR(INDEX('07-تصمیمات و مصوبات'!$B$8:$B$1007,MATCH(B48,'07-تصمیمات و مصوبات'!$A$8:$A$1007,0)),"")),IF(AND(IFERROR(INDEX('07-تصمیمات و مصوبات'!$L$8:$L$1007,MATCH(B48,'07-تصمیمات و مصوبات'!$A$8:$A$1007,0)),"")="تصویب",IFERROR(INDEX('07-تصمیمات و مصوبات'!$Z$8:$Z$1007,MATCH(B48,'07-تصمیمات و مصوبات'!$A$8:$A$1007,0)),"")="معتبر",COUNTIFS('08-برنامه اقدامات'!$B$8:$B$1007,B48,'08-برنامه اقدامات'!$Q$8:$Q$1007,"معتبر")&gt;0),"برنامه مصوب معتبر","رابطه معتبر؛ برنامه مصوب ندارد"),"ورودی یا جلسه نامعتبر"),IF(AND(C48="الزام",COUNTIFS('02-ماتریس الزامات'!$A$8:$A$1007,D48)=1),"رابطه معتبر","الزام نامعتبر"))))</f>
        <v/>
      </c>
    </row>
    <row r="49" spans="1:5" ht="36" customHeight="1">
      <c r="A49" s="1"/>
      <c r="B49" s="1"/>
      <c r="C49" s="1"/>
      <c r="D49" s="1"/>
      <c r="E49" s="3" t="str">
        <f>IF(A49="","",IF(NOT(AND(COUNTIFS('15-روابط'!$A$8:$A$1007,A49)=1,COUNTIFS('07-تصمیمات و مصوبات'!$A$8:$A$1007,B49)=1)),"تصمیم یا شناسه نامعتبر",IF(C49="ورودی",IF(AND(COUNTIFS('03-ورودی‌های بازنگری'!$A$8:$A$1007,D49)=1,IFERROR(INDEX('03-ورودی‌های بازنگری'!$D$8:$D$1007,MATCH(D49,'03-ورودی‌های بازنگری'!$A$8:$A$1007,0)),"")=IFERROR(INDEX('07-تصمیمات و مصوبات'!$B$8:$B$1007,MATCH(B49,'07-تصمیمات و مصوبات'!$A$8:$A$1007,0)),"")),IF(AND(IFERROR(INDEX('07-تصمیمات و مصوبات'!$L$8:$L$1007,MATCH(B49,'07-تصمیمات و مصوبات'!$A$8:$A$1007,0)),"")="تصویب",IFERROR(INDEX('07-تصمیمات و مصوبات'!$Z$8:$Z$1007,MATCH(B49,'07-تصمیمات و مصوبات'!$A$8:$A$1007,0)),"")="معتبر",COUNTIFS('08-برنامه اقدامات'!$B$8:$B$1007,B49,'08-برنامه اقدامات'!$Q$8:$Q$1007,"معتبر")&gt;0),"برنامه مصوب معتبر","رابطه معتبر؛ برنامه مصوب ندارد"),"ورودی یا جلسه نامعتبر"),IF(AND(C49="الزام",COUNTIFS('02-ماتریس الزامات'!$A$8:$A$1007,D49)=1),"رابطه معتبر","الزام نامعتبر"))))</f>
        <v/>
      </c>
    </row>
    <row r="50" spans="1:5" ht="36" customHeight="1">
      <c r="A50" s="1"/>
      <c r="B50" s="1"/>
      <c r="C50" s="1"/>
      <c r="D50" s="1"/>
      <c r="E50" s="3" t="str">
        <f>IF(A50="","",IF(NOT(AND(COUNTIFS('15-روابط'!$A$8:$A$1007,A50)=1,COUNTIFS('07-تصمیمات و مصوبات'!$A$8:$A$1007,B50)=1)),"تصمیم یا شناسه نامعتبر",IF(C50="ورودی",IF(AND(COUNTIFS('03-ورودی‌های بازنگری'!$A$8:$A$1007,D50)=1,IFERROR(INDEX('03-ورودی‌های بازنگری'!$D$8:$D$1007,MATCH(D50,'03-ورودی‌های بازنگری'!$A$8:$A$1007,0)),"")=IFERROR(INDEX('07-تصمیمات و مصوبات'!$B$8:$B$1007,MATCH(B50,'07-تصمیمات و مصوبات'!$A$8:$A$1007,0)),"")),IF(AND(IFERROR(INDEX('07-تصمیمات و مصوبات'!$L$8:$L$1007,MATCH(B50,'07-تصمیمات و مصوبات'!$A$8:$A$1007,0)),"")="تصویب",IFERROR(INDEX('07-تصمیمات و مصوبات'!$Z$8:$Z$1007,MATCH(B50,'07-تصمیمات و مصوبات'!$A$8:$A$1007,0)),"")="معتبر",COUNTIFS('08-برنامه اقدامات'!$B$8:$B$1007,B50,'08-برنامه اقدامات'!$Q$8:$Q$1007,"معتبر")&gt;0),"برنامه مصوب معتبر","رابطه معتبر؛ برنامه مصوب ندارد"),"ورودی یا جلسه نامعتبر"),IF(AND(C50="الزام",COUNTIFS('02-ماتریس الزامات'!$A$8:$A$1007,D50)=1),"رابطه معتبر","الزام نامعتبر"))))</f>
        <v/>
      </c>
    </row>
    <row r="51" spans="1:5" ht="36" customHeight="1">
      <c r="A51" s="1"/>
      <c r="B51" s="1"/>
      <c r="C51" s="1"/>
      <c r="D51" s="1"/>
      <c r="E51" s="3" t="str">
        <f>IF(A51="","",IF(NOT(AND(COUNTIFS('15-روابط'!$A$8:$A$1007,A51)=1,COUNTIFS('07-تصمیمات و مصوبات'!$A$8:$A$1007,B51)=1)),"تصمیم یا شناسه نامعتبر",IF(C51="ورودی",IF(AND(COUNTIFS('03-ورودی‌های بازنگری'!$A$8:$A$1007,D51)=1,IFERROR(INDEX('03-ورودی‌های بازنگری'!$D$8:$D$1007,MATCH(D51,'03-ورودی‌های بازنگری'!$A$8:$A$1007,0)),"")=IFERROR(INDEX('07-تصمیمات و مصوبات'!$B$8:$B$1007,MATCH(B51,'07-تصمیمات و مصوبات'!$A$8:$A$1007,0)),"")),IF(AND(IFERROR(INDEX('07-تصمیمات و مصوبات'!$L$8:$L$1007,MATCH(B51,'07-تصمیمات و مصوبات'!$A$8:$A$1007,0)),"")="تصویب",IFERROR(INDEX('07-تصمیمات و مصوبات'!$Z$8:$Z$1007,MATCH(B51,'07-تصمیمات و مصوبات'!$A$8:$A$1007,0)),"")="معتبر",COUNTIFS('08-برنامه اقدامات'!$B$8:$B$1007,B51,'08-برنامه اقدامات'!$Q$8:$Q$1007,"معتبر")&gt;0),"برنامه مصوب معتبر","رابطه معتبر؛ برنامه مصوب ندارد"),"ورودی یا جلسه نامعتبر"),IF(AND(C51="الزام",COUNTIFS('02-ماتریس الزامات'!$A$8:$A$1007,D51)=1),"رابطه معتبر","الزام نامعتبر"))))</f>
        <v/>
      </c>
    </row>
    <row r="52" spans="1:5" ht="36" customHeight="1">
      <c r="A52" s="1"/>
      <c r="B52" s="1"/>
      <c r="C52" s="1"/>
      <c r="D52" s="1"/>
      <c r="E52" s="3" t="str">
        <f>IF(A52="","",IF(NOT(AND(COUNTIFS('15-روابط'!$A$8:$A$1007,A52)=1,COUNTIFS('07-تصمیمات و مصوبات'!$A$8:$A$1007,B52)=1)),"تصمیم یا شناسه نامعتبر",IF(C52="ورودی",IF(AND(COUNTIFS('03-ورودی‌های بازنگری'!$A$8:$A$1007,D52)=1,IFERROR(INDEX('03-ورودی‌های بازنگری'!$D$8:$D$1007,MATCH(D52,'03-ورودی‌های بازنگری'!$A$8:$A$1007,0)),"")=IFERROR(INDEX('07-تصمیمات و مصوبات'!$B$8:$B$1007,MATCH(B52,'07-تصمیمات و مصوبات'!$A$8:$A$1007,0)),"")),IF(AND(IFERROR(INDEX('07-تصمیمات و مصوبات'!$L$8:$L$1007,MATCH(B52,'07-تصمیمات و مصوبات'!$A$8:$A$1007,0)),"")="تصویب",IFERROR(INDEX('07-تصمیمات و مصوبات'!$Z$8:$Z$1007,MATCH(B52,'07-تصمیمات و مصوبات'!$A$8:$A$1007,0)),"")="معتبر",COUNTIFS('08-برنامه اقدامات'!$B$8:$B$1007,B52,'08-برنامه اقدامات'!$Q$8:$Q$1007,"معتبر")&gt;0),"برنامه مصوب معتبر","رابطه معتبر؛ برنامه مصوب ندارد"),"ورودی یا جلسه نامعتبر"),IF(AND(C52="الزام",COUNTIFS('02-ماتریس الزامات'!$A$8:$A$1007,D52)=1),"رابطه معتبر","الزام نامعتبر"))))</f>
        <v/>
      </c>
    </row>
    <row r="53" spans="1:5" ht="36" customHeight="1">
      <c r="A53" s="1"/>
      <c r="B53" s="1"/>
      <c r="C53" s="1"/>
      <c r="D53" s="1"/>
      <c r="E53" s="3" t="str">
        <f>IF(A53="","",IF(NOT(AND(COUNTIFS('15-روابط'!$A$8:$A$1007,A53)=1,COUNTIFS('07-تصمیمات و مصوبات'!$A$8:$A$1007,B53)=1)),"تصمیم یا شناسه نامعتبر",IF(C53="ورودی",IF(AND(COUNTIFS('03-ورودی‌های بازنگری'!$A$8:$A$1007,D53)=1,IFERROR(INDEX('03-ورودی‌های بازنگری'!$D$8:$D$1007,MATCH(D53,'03-ورودی‌های بازنگری'!$A$8:$A$1007,0)),"")=IFERROR(INDEX('07-تصمیمات و مصوبات'!$B$8:$B$1007,MATCH(B53,'07-تصمیمات و مصوبات'!$A$8:$A$1007,0)),"")),IF(AND(IFERROR(INDEX('07-تصمیمات و مصوبات'!$L$8:$L$1007,MATCH(B53,'07-تصمیمات و مصوبات'!$A$8:$A$1007,0)),"")="تصویب",IFERROR(INDEX('07-تصمیمات و مصوبات'!$Z$8:$Z$1007,MATCH(B53,'07-تصمیمات و مصوبات'!$A$8:$A$1007,0)),"")="معتبر",COUNTIFS('08-برنامه اقدامات'!$B$8:$B$1007,B53,'08-برنامه اقدامات'!$Q$8:$Q$1007,"معتبر")&gt;0),"برنامه مصوب معتبر","رابطه معتبر؛ برنامه مصوب ندارد"),"ورودی یا جلسه نامعتبر"),IF(AND(C53="الزام",COUNTIFS('02-ماتریس الزامات'!$A$8:$A$1007,D53)=1),"رابطه معتبر","الزام نامعتبر"))))</f>
        <v/>
      </c>
    </row>
    <row r="54" spans="1:5" ht="36" customHeight="1">
      <c r="A54" s="1"/>
      <c r="B54" s="1"/>
      <c r="C54" s="1"/>
      <c r="D54" s="1"/>
      <c r="E54" s="3" t="str">
        <f>IF(A54="","",IF(NOT(AND(COUNTIFS('15-روابط'!$A$8:$A$1007,A54)=1,COUNTIFS('07-تصمیمات و مصوبات'!$A$8:$A$1007,B54)=1)),"تصمیم یا شناسه نامعتبر",IF(C54="ورودی",IF(AND(COUNTIFS('03-ورودی‌های بازنگری'!$A$8:$A$1007,D54)=1,IFERROR(INDEX('03-ورودی‌های بازنگری'!$D$8:$D$1007,MATCH(D54,'03-ورودی‌های بازنگری'!$A$8:$A$1007,0)),"")=IFERROR(INDEX('07-تصمیمات و مصوبات'!$B$8:$B$1007,MATCH(B54,'07-تصمیمات و مصوبات'!$A$8:$A$1007,0)),"")),IF(AND(IFERROR(INDEX('07-تصمیمات و مصوبات'!$L$8:$L$1007,MATCH(B54,'07-تصمیمات و مصوبات'!$A$8:$A$1007,0)),"")="تصویب",IFERROR(INDEX('07-تصمیمات و مصوبات'!$Z$8:$Z$1007,MATCH(B54,'07-تصمیمات و مصوبات'!$A$8:$A$1007,0)),"")="معتبر",COUNTIFS('08-برنامه اقدامات'!$B$8:$B$1007,B54,'08-برنامه اقدامات'!$Q$8:$Q$1007,"معتبر")&gt;0),"برنامه مصوب معتبر","رابطه معتبر؛ برنامه مصوب ندارد"),"ورودی یا جلسه نامعتبر"),IF(AND(C54="الزام",COUNTIFS('02-ماتریس الزامات'!$A$8:$A$1007,D54)=1),"رابطه معتبر","الزام نامعتبر"))))</f>
        <v/>
      </c>
    </row>
    <row r="55" spans="1:5" ht="36" customHeight="1">
      <c r="A55" s="1"/>
      <c r="B55" s="1"/>
      <c r="C55" s="1"/>
      <c r="D55" s="1"/>
      <c r="E55" s="3" t="str">
        <f>IF(A55="","",IF(NOT(AND(COUNTIFS('15-روابط'!$A$8:$A$1007,A55)=1,COUNTIFS('07-تصمیمات و مصوبات'!$A$8:$A$1007,B55)=1)),"تصمیم یا شناسه نامعتبر",IF(C55="ورودی",IF(AND(COUNTIFS('03-ورودی‌های بازنگری'!$A$8:$A$1007,D55)=1,IFERROR(INDEX('03-ورودی‌های بازنگری'!$D$8:$D$1007,MATCH(D55,'03-ورودی‌های بازنگری'!$A$8:$A$1007,0)),"")=IFERROR(INDEX('07-تصمیمات و مصوبات'!$B$8:$B$1007,MATCH(B55,'07-تصمیمات و مصوبات'!$A$8:$A$1007,0)),"")),IF(AND(IFERROR(INDEX('07-تصمیمات و مصوبات'!$L$8:$L$1007,MATCH(B55,'07-تصمیمات و مصوبات'!$A$8:$A$1007,0)),"")="تصویب",IFERROR(INDEX('07-تصمیمات و مصوبات'!$Z$8:$Z$1007,MATCH(B55,'07-تصمیمات و مصوبات'!$A$8:$A$1007,0)),"")="معتبر",COUNTIFS('08-برنامه اقدامات'!$B$8:$B$1007,B55,'08-برنامه اقدامات'!$Q$8:$Q$1007,"معتبر")&gt;0),"برنامه مصوب معتبر","رابطه معتبر؛ برنامه مصوب ندارد"),"ورودی یا جلسه نامعتبر"),IF(AND(C55="الزام",COUNTIFS('02-ماتریس الزامات'!$A$8:$A$1007,D55)=1),"رابطه معتبر","الزام نامعتبر"))))</f>
        <v/>
      </c>
    </row>
    <row r="56" spans="1:5" ht="36" customHeight="1">
      <c r="A56" s="1"/>
      <c r="B56" s="1"/>
      <c r="C56" s="1"/>
      <c r="D56" s="1"/>
      <c r="E56" s="3" t="str">
        <f>IF(A56="","",IF(NOT(AND(COUNTIFS('15-روابط'!$A$8:$A$1007,A56)=1,COUNTIFS('07-تصمیمات و مصوبات'!$A$8:$A$1007,B56)=1)),"تصمیم یا شناسه نامعتبر",IF(C56="ورودی",IF(AND(COUNTIFS('03-ورودی‌های بازنگری'!$A$8:$A$1007,D56)=1,IFERROR(INDEX('03-ورودی‌های بازنگری'!$D$8:$D$1007,MATCH(D56,'03-ورودی‌های بازنگری'!$A$8:$A$1007,0)),"")=IFERROR(INDEX('07-تصمیمات و مصوبات'!$B$8:$B$1007,MATCH(B56,'07-تصمیمات و مصوبات'!$A$8:$A$1007,0)),"")),IF(AND(IFERROR(INDEX('07-تصمیمات و مصوبات'!$L$8:$L$1007,MATCH(B56,'07-تصمیمات و مصوبات'!$A$8:$A$1007,0)),"")="تصویب",IFERROR(INDEX('07-تصمیمات و مصوبات'!$Z$8:$Z$1007,MATCH(B56,'07-تصمیمات و مصوبات'!$A$8:$A$1007,0)),"")="معتبر",COUNTIFS('08-برنامه اقدامات'!$B$8:$B$1007,B56,'08-برنامه اقدامات'!$Q$8:$Q$1007,"معتبر")&gt;0),"برنامه مصوب معتبر","رابطه معتبر؛ برنامه مصوب ندارد"),"ورودی یا جلسه نامعتبر"),IF(AND(C56="الزام",COUNTIFS('02-ماتریس الزامات'!$A$8:$A$1007,D56)=1),"رابطه معتبر","الزام نامعتبر"))))</f>
        <v/>
      </c>
    </row>
    <row r="57" spans="1:5" ht="36" customHeight="1">
      <c r="A57" s="1"/>
      <c r="B57" s="1"/>
      <c r="C57" s="1"/>
      <c r="D57" s="1"/>
      <c r="E57" s="3" t="str">
        <f>IF(A57="","",IF(NOT(AND(COUNTIFS('15-روابط'!$A$8:$A$1007,A57)=1,COUNTIFS('07-تصمیمات و مصوبات'!$A$8:$A$1007,B57)=1)),"تصمیم یا شناسه نامعتبر",IF(C57="ورودی",IF(AND(COUNTIFS('03-ورودی‌های بازنگری'!$A$8:$A$1007,D57)=1,IFERROR(INDEX('03-ورودی‌های بازنگری'!$D$8:$D$1007,MATCH(D57,'03-ورودی‌های بازنگری'!$A$8:$A$1007,0)),"")=IFERROR(INDEX('07-تصمیمات و مصوبات'!$B$8:$B$1007,MATCH(B57,'07-تصمیمات و مصوبات'!$A$8:$A$1007,0)),"")),IF(AND(IFERROR(INDEX('07-تصمیمات و مصوبات'!$L$8:$L$1007,MATCH(B57,'07-تصمیمات و مصوبات'!$A$8:$A$1007,0)),"")="تصویب",IFERROR(INDEX('07-تصمیمات و مصوبات'!$Z$8:$Z$1007,MATCH(B57,'07-تصمیمات و مصوبات'!$A$8:$A$1007,0)),"")="معتبر",COUNTIFS('08-برنامه اقدامات'!$B$8:$B$1007,B57,'08-برنامه اقدامات'!$Q$8:$Q$1007,"معتبر")&gt;0),"برنامه مصوب معتبر","رابطه معتبر؛ برنامه مصوب ندارد"),"ورودی یا جلسه نامعتبر"),IF(AND(C57="الزام",COUNTIFS('02-ماتریس الزامات'!$A$8:$A$1007,D57)=1),"رابطه معتبر","الزام نامعتبر"))))</f>
        <v/>
      </c>
    </row>
    <row r="58" spans="1:5" ht="36" customHeight="1">
      <c r="A58" s="1"/>
      <c r="B58" s="1"/>
      <c r="C58" s="1"/>
      <c r="D58" s="1"/>
      <c r="E58" s="3" t="str">
        <f>IF(A58="","",IF(NOT(AND(COUNTIFS('15-روابط'!$A$8:$A$1007,A58)=1,COUNTIFS('07-تصمیمات و مصوبات'!$A$8:$A$1007,B58)=1)),"تصمیم یا شناسه نامعتبر",IF(C58="ورودی",IF(AND(COUNTIFS('03-ورودی‌های بازنگری'!$A$8:$A$1007,D58)=1,IFERROR(INDEX('03-ورودی‌های بازنگری'!$D$8:$D$1007,MATCH(D58,'03-ورودی‌های بازنگری'!$A$8:$A$1007,0)),"")=IFERROR(INDEX('07-تصمیمات و مصوبات'!$B$8:$B$1007,MATCH(B58,'07-تصمیمات و مصوبات'!$A$8:$A$1007,0)),"")),IF(AND(IFERROR(INDEX('07-تصمیمات و مصوبات'!$L$8:$L$1007,MATCH(B58,'07-تصمیمات و مصوبات'!$A$8:$A$1007,0)),"")="تصویب",IFERROR(INDEX('07-تصمیمات و مصوبات'!$Z$8:$Z$1007,MATCH(B58,'07-تصمیمات و مصوبات'!$A$8:$A$1007,0)),"")="معتبر",COUNTIFS('08-برنامه اقدامات'!$B$8:$B$1007,B58,'08-برنامه اقدامات'!$Q$8:$Q$1007,"معتبر")&gt;0),"برنامه مصوب معتبر","رابطه معتبر؛ برنامه مصوب ندارد"),"ورودی یا جلسه نامعتبر"),IF(AND(C58="الزام",COUNTIFS('02-ماتریس الزامات'!$A$8:$A$1007,D58)=1),"رابطه معتبر","الزام نامعتبر"))))</f>
        <v/>
      </c>
    </row>
    <row r="59" spans="1:5" ht="36" customHeight="1">
      <c r="A59" s="1"/>
      <c r="B59" s="1"/>
      <c r="C59" s="1"/>
      <c r="D59" s="1"/>
      <c r="E59" s="3" t="str">
        <f>IF(A59="","",IF(NOT(AND(COUNTIFS('15-روابط'!$A$8:$A$1007,A59)=1,COUNTIFS('07-تصمیمات و مصوبات'!$A$8:$A$1007,B59)=1)),"تصمیم یا شناسه نامعتبر",IF(C59="ورودی",IF(AND(COUNTIFS('03-ورودی‌های بازنگری'!$A$8:$A$1007,D59)=1,IFERROR(INDEX('03-ورودی‌های بازنگری'!$D$8:$D$1007,MATCH(D59,'03-ورودی‌های بازنگری'!$A$8:$A$1007,0)),"")=IFERROR(INDEX('07-تصمیمات و مصوبات'!$B$8:$B$1007,MATCH(B59,'07-تصمیمات و مصوبات'!$A$8:$A$1007,0)),"")),IF(AND(IFERROR(INDEX('07-تصمیمات و مصوبات'!$L$8:$L$1007,MATCH(B59,'07-تصمیمات و مصوبات'!$A$8:$A$1007,0)),"")="تصویب",IFERROR(INDEX('07-تصمیمات و مصوبات'!$Z$8:$Z$1007,MATCH(B59,'07-تصمیمات و مصوبات'!$A$8:$A$1007,0)),"")="معتبر",COUNTIFS('08-برنامه اقدامات'!$B$8:$B$1007,B59,'08-برنامه اقدامات'!$Q$8:$Q$1007,"معتبر")&gt;0),"برنامه مصوب معتبر","رابطه معتبر؛ برنامه مصوب ندارد"),"ورودی یا جلسه نامعتبر"),IF(AND(C59="الزام",COUNTIFS('02-ماتریس الزامات'!$A$8:$A$1007,D59)=1),"رابطه معتبر","الزام نامعتبر"))))</f>
        <v/>
      </c>
    </row>
    <row r="60" spans="1:5" ht="36" customHeight="1">
      <c r="A60" s="1"/>
      <c r="B60" s="1"/>
      <c r="C60" s="1"/>
      <c r="D60" s="1"/>
      <c r="E60" s="3" t="str">
        <f>IF(A60="","",IF(NOT(AND(COUNTIFS('15-روابط'!$A$8:$A$1007,A60)=1,COUNTIFS('07-تصمیمات و مصوبات'!$A$8:$A$1007,B60)=1)),"تصمیم یا شناسه نامعتبر",IF(C60="ورودی",IF(AND(COUNTIFS('03-ورودی‌های بازنگری'!$A$8:$A$1007,D60)=1,IFERROR(INDEX('03-ورودی‌های بازنگری'!$D$8:$D$1007,MATCH(D60,'03-ورودی‌های بازنگری'!$A$8:$A$1007,0)),"")=IFERROR(INDEX('07-تصمیمات و مصوبات'!$B$8:$B$1007,MATCH(B60,'07-تصمیمات و مصوبات'!$A$8:$A$1007,0)),"")),IF(AND(IFERROR(INDEX('07-تصمیمات و مصوبات'!$L$8:$L$1007,MATCH(B60,'07-تصمیمات و مصوبات'!$A$8:$A$1007,0)),"")="تصویب",IFERROR(INDEX('07-تصمیمات و مصوبات'!$Z$8:$Z$1007,MATCH(B60,'07-تصمیمات و مصوبات'!$A$8:$A$1007,0)),"")="معتبر",COUNTIFS('08-برنامه اقدامات'!$B$8:$B$1007,B60,'08-برنامه اقدامات'!$Q$8:$Q$1007,"معتبر")&gt;0),"برنامه مصوب معتبر","رابطه معتبر؛ برنامه مصوب ندارد"),"ورودی یا جلسه نامعتبر"),IF(AND(C60="الزام",COUNTIFS('02-ماتریس الزامات'!$A$8:$A$1007,D60)=1),"رابطه معتبر","الزام نامعتبر"))))</f>
        <v/>
      </c>
    </row>
  </sheetData>
  <mergeCells count="2">
    <mergeCell ref="A1:E1"/>
    <mergeCell ref="A2:E3"/>
  </mergeCells>
  <conditionalFormatting sqref="A8:A60">
    <cfRule type="duplicateValues" dxfId="43" priority="1"/>
  </conditionalFormatting>
  <conditionalFormatting sqref="E8:E60">
    <cfRule type="containsText" dxfId="42" priority="2" operator="containsText" text="ناقص"/>
  </conditionalFormatting>
  <dataValidations count="1">
    <dataValidation type="list" sqref="C8:C60" xr:uid="{00000000-0002-0000-0F00-000000000000}">
      <formula1>"ورودی,الزام"</formula1>
    </dataValidation>
  </dataValidation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892A5"/>
    <pageSetUpPr fitToPage="1"/>
  </sheetPr>
  <dimension ref="A1:E14"/>
  <sheetViews>
    <sheetView showGridLines="0" rightToLeft="1" zoomScale="85" workbookViewId="0">
      <pane ySplit="7" topLeftCell="A8" activePane="bottomLeft" state="frozen"/>
      <selection pane="bottomLeft" sqref="A1:E1"/>
    </sheetView>
  </sheetViews>
  <sheetFormatPr defaultRowHeight="14.25"/>
  <cols>
    <col min="1" max="1" width="12" customWidth="1"/>
    <col min="2" max="2" width="48" customWidth="1"/>
    <col min="3" max="3" width="80" customWidth="1"/>
    <col min="4" max="4" width="45" customWidth="1"/>
    <col min="5" max="5" width="90" customWidth="1"/>
  </cols>
  <sheetData>
    <row r="1" spans="1:5" ht="33.950000000000003" customHeight="1">
      <c r="A1" s="7" t="s">
        <v>1489</v>
      </c>
      <c r="B1" s="7"/>
      <c r="C1" s="7"/>
      <c r="D1" s="7"/>
      <c r="E1" s="7"/>
    </row>
    <row r="2" spans="1:5" ht="26.1" customHeight="1">
      <c r="A2" s="8" t="s">
        <v>1490</v>
      </c>
      <c r="B2" s="8"/>
      <c r="C2" s="8"/>
      <c r="D2" s="8"/>
      <c r="E2" s="8"/>
    </row>
    <row r="3" spans="1:5" ht="26.1" customHeight="1">
      <c r="A3" s="8"/>
      <c r="B3" s="8"/>
      <c r="C3" s="8"/>
      <c r="D3" s="8"/>
      <c r="E3" s="8"/>
    </row>
    <row r="4" spans="1:5">
      <c r="A4" s="1"/>
      <c r="B4" s="1"/>
      <c r="C4" s="1"/>
      <c r="D4" s="1"/>
      <c r="E4" s="1"/>
    </row>
    <row r="5" spans="1:5">
      <c r="A5" s="1"/>
      <c r="B5" s="1"/>
      <c r="C5" s="1"/>
      <c r="D5" s="1"/>
      <c r="E5" s="1"/>
    </row>
    <row r="6" spans="1:5">
      <c r="A6" s="1"/>
      <c r="B6" s="1"/>
      <c r="C6" s="1"/>
      <c r="D6" s="1"/>
      <c r="E6" s="1"/>
    </row>
    <row r="7" spans="1:5" ht="48" customHeight="1">
      <c r="A7" s="2" t="s">
        <v>686</v>
      </c>
      <c r="B7" s="2" t="s">
        <v>1491</v>
      </c>
      <c r="C7" s="2" t="s">
        <v>1492</v>
      </c>
      <c r="D7" s="2" t="s">
        <v>1493</v>
      </c>
      <c r="E7" s="2" t="s">
        <v>1494</v>
      </c>
    </row>
    <row r="8" spans="1:5" ht="36" customHeight="1">
      <c r="A8" s="1" t="s">
        <v>1495</v>
      </c>
      <c r="B8" s="1" t="s">
        <v>1496</v>
      </c>
      <c r="C8" s="1" t="s">
        <v>1497</v>
      </c>
      <c r="D8" s="1" t="s">
        <v>1498</v>
      </c>
      <c r="E8" s="1" t="s">
        <v>1499</v>
      </c>
    </row>
    <row r="9" spans="1:5" ht="36" customHeight="1">
      <c r="A9" s="1" t="s">
        <v>1500</v>
      </c>
      <c r="B9" s="1" t="s">
        <v>1501</v>
      </c>
      <c r="C9" s="1" t="s">
        <v>1502</v>
      </c>
      <c r="D9" s="1" t="s">
        <v>1498</v>
      </c>
      <c r="E9" s="1" t="s">
        <v>1503</v>
      </c>
    </row>
    <row r="10" spans="1:5" ht="36" customHeight="1">
      <c r="A10" s="1" t="s">
        <v>1504</v>
      </c>
      <c r="B10" s="1" t="s">
        <v>1505</v>
      </c>
      <c r="C10" s="1" t="s">
        <v>1506</v>
      </c>
      <c r="D10" s="1" t="s">
        <v>1498</v>
      </c>
      <c r="E10" s="1" t="s">
        <v>1507</v>
      </c>
    </row>
    <row r="11" spans="1:5" ht="36" customHeight="1">
      <c r="A11" s="1" t="s">
        <v>1508</v>
      </c>
      <c r="B11" s="1" t="s">
        <v>1509</v>
      </c>
      <c r="C11" s="1" t="s">
        <v>1510</v>
      </c>
      <c r="D11" s="1" t="s">
        <v>1498</v>
      </c>
      <c r="E11" s="1" t="s">
        <v>1511</v>
      </c>
    </row>
    <row r="12" spans="1:5" ht="36" customHeight="1">
      <c r="A12" s="1" t="s">
        <v>1512</v>
      </c>
      <c r="B12" s="1" t="s">
        <v>1513</v>
      </c>
      <c r="C12" s="1" t="s">
        <v>1514</v>
      </c>
      <c r="D12" s="1" t="s">
        <v>1498</v>
      </c>
      <c r="E12" s="1" t="s">
        <v>1515</v>
      </c>
    </row>
    <row r="13" spans="1:5" ht="36" customHeight="1">
      <c r="A13" s="1" t="s">
        <v>1516</v>
      </c>
      <c r="B13" s="1" t="s">
        <v>1517</v>
      </c>
      <c r="C13" s="1" t="s">
        <v>1518</v>
      </c>
      <c r="D13" s="1" t="s">
        <v>1498</v>
      </c>
      <c r="E13" s="1" t="s">
        <v>1519</v>
      </c>
    </row>
    <row r="14" spans="1:5" ht="36" customHeight="1">
      <c r="A14" s="1" t="s">
        <v>1520</v>
      </c>
      <c r="B14" s="1" t="s">
        <v>1521</v>
      </c>
      <c r="C14" s="1" t="s">
        <v>1522</v>
      </c>
      <c r="D14" s="1" t="s">
        <v>1498</v>
      </c>
      <c r="E14" s="1" t="s">
        <v>1523</v>
      </c>
    </row>
  </sheetData>
  <mergeCells count="2">
    <mergeCell ref="A1:E1"/>
    <mergeCell ref="A2:E3"/>
  </mergeCells>
  <printOptions horizontalCentered="1"/>
  <pageMargins left="0.25" right="0.25" top="0.5" bottom="0.5" header="0.2" footer="0.2"/>
  <pageSetup paperSize="8" scale="85"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892A5"/>
    <pageSetUpPr fitToPage="1"/>
  </sheetPr>
  <dimension ref="A1:M20"/>
  <sheetViews>
    <sheetView showGridLines="0" rightToLeft="1" zoomScale="85" workbookViewId="0">
      <pane ySplit="7" topLeftCell="A8" activePane="bottomLeft" state="frozen"/>
      <selection pane="bottomLeft" sqref="A1:M1"/>
    </sheetView>
  </sheetViews>
  <sheetFormatPr defaultRowHeight="14.25"/>
  <cols>
    <col min="1" max="1" width="27" customWidth="1"/>
    <col min="2" max="2" width="18" customWidth="1"/>
    <col min="3" max="3" width="20" customWidth="1"/>
    <col min="4" max="4" width="28" customWidth="1"/>
    <col min="5" max="7" width="18" customWidth="1"/>
    <col min="8" max="8" width="25" customWidth="1"/>
    <col min="9" max="9" width="28" customWidth="1"/>
    <col min="10" max="10" width="30" customWidth="1"/>
    <col min="11" max="11" width="45" customWidth="1"/>
    <col min="12" max="12" width="65" customWidth="1"/>
    <col min="13" max="13" width="40" customWidth="1"/>
  </cols>
  <sheetData>
    <row r="1" spans="1:13" ht="33.950000000000003" customHeight="1">
      <c r="A1" s="7" t="s">
        <v>1524</v>
      </c>
      <c r="B1" s="7"/>
      <c r="C1" s="7"/>
      <c r="D1" s="7"/>
      <c r="E1" s="7"/>
      <c r="F1" s="7"/>
      <c r="G1" s="7"/>
      <c r="H1" s="7"/>
      <c r="I1" s="7"/>
      <c r="J1" s="7"/>
      <c r="K1" s="7"/>
      <c r="L1" s="7"/>
      <c r="M1" s="7"/>
    </row>
    <row r="2" spans="1:13" ht="26.1" customHeight="1">
      <c r="A2" s="8" t="s">
        <v>1525</v>
      </c>
      <c r="B2" s="8"/>
      <c r="C2" s="8"/>
      <c r="D2" s="8"/>
      <c r="E2" s="8"/>
      <c r="F2" s="8"/>
      <c r="G2" s="8"/>
      <c r="H2" s="8"/>
      <c r="I2" s="8"/>
      <c r="J2" s="8"/>
      <c r="K2" s="8"/>
      <c r="L2" s="8"/>
      <c r="M2" s="8"/>
    </row>
    <row r="3" spans="1:13" ht="26.1" customHeight="1">
      <c r="A3" s="8"/>
      <c r="B3" s="8"/>
      <c r="C3" s="8"/>
      <c r="D3" s="8"/>
      <c r="E3" s="8"/>
      <c r="F3" s="8"/>
      <c r="G3" s="8"/>
      <c r="H3" s="8"/>
      <c r="I3" s="8"/>
      <c r="J3" s="8"/>
      <c r="K3" s="8"/>
      <c r="L3" s="8"/>
      <c r="M3" s="8"/>
    </row>
    <row r="4" spans="1:13">
      <c r="A4" s="1"/>
      <c r="B4" s="1"/>
      <c r="C4" s="1"/>
      <c r="D4" s="1"/>
      <c r="E4" s="1"/>
      <c r="F4" s="1"/>
      <c r="G4" s="1"/>
      <c r="H4" s="1"/>
      <c r="I4" s="1"/>
      <c r="J4" s="1"/>
      <c r="K4" s="1"/>
      <c r="L4" s="1"/>
      <c r="M4" s="1"/>
    </row>
    <row r="5" spans="1:13">
      <c r="A5" s="1"/>
      <c r="B5" s="1"/>
      <c r="C5" s="1"/>
      <c r="D5" s="1"/>
      <c r="E5" s="1"/>
      <c r="F5" s="1"/>
      <c r="G5" s="1"/>
      <c r="H5" s="1"/>
      <c r="I5" s="1"/>
      <c r="J5" s="1"/>
      <c r="K5" s="1"/>
      <c r="L5" s="1"/>
      <c r="M5" s="1"/>
    </row>
    <row r="6" spans="1:13">
      <c r="A6" s="1"/>
      <c r="B6" s="1"/>
      <c r="C6" s="1"/>
      <c r="D6" s="1"/>
      <c r="E6" s="1"/>
      <c r="F6" s="1"/>
      <c r="G6" s="1"/>
      <c r="H6" s="1"/>
      <c r="I6" s="1"/>
      <c r="J6" s="1"/>
      <c r="K6" s="1"/>
      <c r="L6" s="1"/>
      <c r="M6" s="1"/>
    </row>
    <row r="7" spans="1:13" ht="48" customHeight="1">
      <c r="A7" s="2" t="s">
        <v>82</v>
      </c>
      <c r="B7" s="2" t="s">
        <v>92</v>
      </c>
      <c r="C7" s="2" t="s">
        <v>1526</v>
      </c>
      <c r="D7" s="2" t="s">
        <v>94</v>
      </c>
      <c r="E7" s="2" t="s">
        <v>1527</v>
      </c>
      <c r="F7" s="2" t="s">
        <v>1528</v>
      </c>
      <c r="G7" s="2" t="s">
        <v>1529</v>
      </c>
      <c r="H7" s="2" t="s">
        <v>1530</v>
      </c>
      <c r="I7" s="2" t="s">
        <v>1531</v>
      </c>
      <c r="J7" s="2" t="s">
        <v>911</v>
      </c>
      <c r="K7" s="2" t="s">
        <v>1532</v>
      </c>
      <c r="L7" s="2" t="s">
        <v>1533</v>
      </c>
      <c r="M7" s="2" t="s">
        <v>1534</v>
      </c>
    </row>
    <row r="8" spans="1:13" ht="36" customHeight="1">
      <c r="A8" s="1" t="s">
        <v>83</v>
      </c>
      <c r="B8" s="1" t="s">
        <v>77</v>
      </c>
      <c r="C8" s="1" t="s">
        <v>80</v>
      </c>
      <c r="D8" s="1" t="s">
        <v>379</v>
      </c>
      <c r="E8" s="4"/>
      <c r="F8" s="4"/>
      <c r="G8" s="4"/>
      <c r="H8" s="1" t="s">
        <v>1535</v>
      </c>
      <c r="I8" s="1"/>
      <c r="J8" s="1"/>
      <c r="K8" s="1" t="s">
        <v>1536</v>
      </c>
      <c r="L8" s="1" t="s">
        <v>1537</v>
      </c>
      <c r="M8" s="3" t="str">
        <f>IF(A8="","",IF(NOT(COUNTIFS('17-جلسات و دوره‌ها'!$A$8:$A$1007,A8)=1),"شناسه تکراری",IF(AND(H8="مصوب",OR(E8="",F8="",G8="",I8="",J8="")),"تأیید جلسه ناقص",IF(AND(ISNUMBER(F8),ISNUMBER(G8),F8&gt;G8),"مرز دوره نامعتبر",IF(H8="مصوب","معتبر","جلسه تصویب نشده")))))</f>
        <v>جلسه تصویب نشده</v>
      </c>
    </row>
    <row r="9" spans="1:13" ht="36" customHeight="1">
      <c r="A9" s="1" t="s">
        <v>530</v>
      </c>
      <c r="B9" s="1" t="s">
        <v>99</v>
      </c>
      <c r="C9" s="1" t="s">
        <v>529</v>
      </c>
      <c r="D9" s="1" t="s">
        <v>531</v>
      </c>
      <c r="E9" s="4">
        <v>46296</v>
      </c>
      <c r="F9" s="4">
        <v>45870</v>
      </c>
      <c r="G9" s="4">
        <v>46234</v>
      </c>
      <c r="H9" s="1" t="s">
        <v>101</v>
      </c>
      <c r="I9" s="1" t="s">
        <v>1538</v>
      </c>
      <c r="J9" s="1" t="s">
        <v>541</v>
      </c>
      <c r="K9" s="1" t="s">
        <v>1539</v>
      </c>
      <c r="L9" s="1" t="s">
        <v>1540</v>
      </c>
      <c r="M9" s="3" t="str">
        <f>IF(A9="","",IF(NOT(COUNTIFS('17-جلسات و دوره‌ها'!$A$8:$A$1007,A9)=1),"شناسه تکراری",IF(AND(H9="مصوب",OR(E9="",F9="",G9="",I9="",J9="")),"تأیید جلسه ناقص",IF(AND(ISNUMBER(F9),ISNUMBER(G9),F9&gt;G9),"مرز دوره نامعتبر",IF(H9="مصوب","معتبر","جلسه تصویب نشده")))))</f>
        <v>جلسه تصویب نشده</v>
      </c>
    </row>
    <row r="10" spans="1:13" ht="36" customHeight="1">
      <c r="A10" s="1" t="s">
        <v>1541</v>
      </c>
      <c r="B10" s="1" t="s">
        <v>99</v>
      </c>
      <c r="C10" s="1" t="s">
        <v>1542</v>
      </c>
      <c r="D10" s="1" t="s">
        <v>531</v>
      </c>
      <c r="E10" s="4"/>
      <c r="F10" s="4">
        <v>46235</v>
      </c>
      <c r="G10" s="4">
        <v>46599</v>
      </c>
      <c r="H10" s="1" t="s">
        <v>1535</v>
      </c>
      <c r="I10" s="1"/>
      <c r="J10" s="1"/>
      <c r="K10" s="1"/>
      <c r="L10" s="1" t="s">
        <v>1543</v>
      </c>
      <c r="M10" s="3" t="str">
        <f>IF(A10="","",IF(NOT(COUNTIFS('17-جلسات و دوره‌ها'!$A$8:$A$1007,A10)=1),"شناسه تکراری",IF(AND(H10="مصوب",OR(E10="",F10="",G10="",I10="",J10="")),"تأیید جلسه ناقص",IF(AND(ISNUMBER(F10),ISNUMBER(G10),F10&gt;G10),"مرز دوره نامعتبر",IF(H10="مصوب","معتبر","جلسه تصویب نشده")))))</f>
        <v>جلسه تصویب نشده</v>
      </c>
    </row>
    <row r="11" spans="1:13" ht="36" customHeight="1">
      <c r="A11" s="1"/>
      <c r="B11" s="1"/>
      <c r="C11" s="1"/>
      <c r="D11" s="1"/>
      <c r="E11" s="4"/>
      <c r="F11" s="4"/>
      <c r="G11" s="4"/>
      <c r="H11" s="1"/>
      <c r="I11" s="1"/>
      <c r="J11" s="1"/>
      <c r="K11" s="1"/>
      <c r="L11" s="1"/>
      <c r="M11" s="3" t="str">
        <f>IF(A11="","",IF(NOT(COUNTIFS('17-جلسات و دوره‌ها'!$A$8:$A$1007,A11)=1),"شناسه تکراری",IF(AND(H11="مصوب",OR(E11="",F11="",G11="",I11="",J11="")),"تأیید جلسه ناقص",IF(AND(ISNUMBER(F11),ISNUMBER(G11),F11&gt;G11),"مرز دوره نامعتبر",IF(H11="مصوب","معتبر","جلسه تصویب نشده")))))</f>
        <v/>
      </c>
    </row>
    <row r="12" spans="1:13" ht="36" customHeight="1">
      <c r="A12" s="1"/>
      <c r="B12" s="1"/>
      <c r="C12" s="1"/>
      <c r="D12" s="1"/>
      <c r="E12" s="4"/>
      <c r="F12" s="4"/>
      <c r="G12" s="4"/>
      <c r="H12" s="1"/>
      <c r="I12" s="1"/>
      <c r="J12" s="1"/>
      <c r="K12" s="1"/>
      <c r="L12" s="1"/>
      <c r="M12" s="3" t="str">
        <f>IF(A12="","",IF(NOT(COUNTIFS('17-جلسات و دوره‌ها'!$A$8:$A$1007,A12)=1),"شناسه تکراری",IF(AND(H12="مصوب",OR(E12="",F12="",G12="",I12="",J12="")),"تأیید جلسه ناقص",IF(AND(ISNUMBER(F12),ISNUMBER(G12),F12&gt;G12),"مرز دوره نامعتبر",IF(H12="مصوب","معتبر","جلسه تصویب نشده")))))</f>
        <v/>
      </c>
    </row>
    <row r="13" spans="1:13" ht="36" customHeight="1">
      <c r="A13" s="1"/>
      <c r="B13" s="1"/>
      <c r="C13" s="1"/>
      <c r="D13" s="1"/>
      <c r="E13" s="4"/>
      <c r="F13" s="4"/>
      <c r="G13" s="4"/>
      <c r="H13" s="1"/>
      <c r="I13" s="1"/>
      <c r="J13" s="1"/>
      <c r="K13" s="1"/>
      <c r="L13" s="1"/>
      <c r="M13" s="3" t="str">
        <f>IF(A13="","",IF(NOT(COUNTIFS('17-جلسات و دوره‌ها'!$A$8:$A$1007,A13)=1),"شناسه تکراری",IF(AND(H13="مصوب",OR(E13="",F13="",G13="",I13="",J13="")),"تأیید جلسه ناقص",IF(AND(ISNUMBER(F13),ISNUMBER(G13),F13&gt;G13),"مرز دوره نامعتبر",IF(H13="مصوب","معتبر","جلسه تصویب نشده")))))</f>
        <v/>
      </c>
    </row>
    <row r="14" spans="1:13" ht="36" customHeight="1">
      <c r="A14" s="1"/>
      <c r="B14" s="1"/>
      <c r="C14" s="1"/>
      <c r="D14" s="1"/>
      <c r="E14" s="4"/>
      <c r="F14" s="4"/>
      <c r="G14" s="4"/>
      <c r="H14" s="1"/>
      <c r="I14" s="1"/>
      <c r="J14" s="1"/>
      <c r="K14" s="1"/>
      <c r="L14" s="1"/>
      <c r="M14" s="3" t="str">
        <f>IF(A14="","",IF(NOT(COUNTIFS('17-جلسات و دوره‌ها'!$A$8:$A$1007,A14)=1),"شناسه تکراری",IF(AND(H14="مصوب",OR(E14="",F14="",G14="",I14="",J14="")),"تأیید جلسه ناقص",IF(AND(ISNUMBER(F14),ISNUMBER(G14),F14&gt;G14),"مرز دوره نامعتبر",IF(H14="مصوب","معتبر","جلسه تصویب نشده")))))</f>
        <v/>
      </c>
    </row>
    <row r="15" spans="1:13" ht="36" customHeight="1">
      <c r="A15" s="1"/>
      <c r="B15" s="1"/>
      <c r="C15" s="1"/>
      <c r="D15" s="1"/>
      <c r="E15" s="4"/>
      <c r="F15" s="4"/>
      <c r="G15" s="4"/>
      <c r="H15" s="1"/>
      <c r="I15" s="1"/>
      <c r="J15" s="1"/>
      <c r="K15" s="1"/>
      <c r="L15" s="1"/>
      <c r="M15" s="3" t="str">
        <f>IF(A15="","",IF(NOT(COUNTIFS('17-جلسات و دوره‌ها'!$A$8:$A$1007,A15)=1),"شناسه تکراری",IF(AND(H15="مصوب",OR(E15="",F15="",G15="",I15="",J15="")),"تأیید جلسه ناقص",IF(AND(ISNUMBER(F15),ISNUMBER(G15),F15&gt;G15),"مرز دوره نامعتبر",IF(H15="مصوب","معتبر","جلسه تصویب نشده")))))</f>
        <v/>
      </c>
    </row>
    <row r="16" spans="1:13" ht="36" customHeight="1">
      <c r="A16" s="1"/>
      <c r="B16" s="1"/>
      <c r="C16" s="1"/>
      <c r="D16" s="1"/>
      <c r="E16" s="4"/>
      <c r="F16" s="4"/>
      <c r="G16" s="4"/>
      <c r="H16" s="1"/>
      <c r="I16" s="1"/>
      <c r="J16" s="1"/>
      <c r="K16" s="1"/>
      <c r="L16" s="1"/>
      <c r="M16" s="3" t="str">
        <f>IF(A16="","",IF(NOT(COUNTIFS('17-جلسات و دوره‌ها'!$A$8:$A$1007,A16)=1),"شناسه تکراری",IF(AND(H16="مصوب",OR(E16="",F16="",G16="",I16="",J16="")),"تأیید جلسه ناقص",IF(AND(ISNUMBER(F16),ISNUMBER(G16),F16&gt;G16),"مرز دوره نامعتبر",IF(H16="مصوب","معتبر","جلسه تصویب نشده")))))</f>
        <v/>
      </c>
    </row>
    <row r="17" spans="1:13" ht="36" customHeight="1">
      <c r="A17" s="1"/>
      <c r="B17" s="1"/>
      <c r="C17" s="1"/>
      <c r="D17" s="1"/>
      <c r="E17" s="4"/>
      <c r="F17" s="4"/>
      <c r="G17" s="4"/>
      <c r="H17" s="1"/>
      <c r="I17" s="1"/>
      <c r="J17" s="1"/>
      <c r="K17" s="1"/>
      <c r="L17" s="1"/>
      <c r="M17" s="3" t="str">
        <f>IF(A17="","",IF(NOT(COUNTIFS('17-جلسات و دوره‌ها'!$A$8:$A$1007,A17)=1),"شناسه تکراری",IF(AND(H17="مصوب",OR(E17="",F17="",G17="",I17="",J17="")),"تأیید جلسه ناقص",IF(AND(ISNUMBER(F17),ISNUMBER(G17),F17&gt;G17),"مرز دوره نامعتبر",IF(H17="مصوب","معتبر","جلسه تصویب نشده")))))</f>
        <v/>
      </c>
    </row>
    <row r="18" spans="1:13" ht="36" customHeight="1">
      <c r="A18" s="1"/>
      <c r="B18" s="1"/>
      <c r="C18" s="1"/>
      <c r="D18" s="1"/>
      <c r="E18" s="4"/>
      <c r="F18" s="4"/>
      <c r="G18" s="4"/>
      <c r="H18" s="1"/>
      <c r="I18" s="1"/>
      <c r="J18" s="1"/>
      <c r="K18" s="1"/>
      <c r="L18" s="1"/>
      <c r="M18" s="3" t="str">
        <f>IF(A18="","",IF(NOT(COUNTIFS('17-جلسات و دوره‌ها'!$A$8:$A$1007,A18)=1),"شناسه تکراری",IF(AND(H18="مصوب",OR(E18="",F18="",G18="",I18="",J18="")),"تأیید جلسه ناقص",IF(AND(ISNUMBER(F18),ISNUMBER(G18),F18&gt;G18),"مرز دوره نامعتبر",IF(H18="مصوب","معتبر","جلسه تصویب نشده")))))</f>
        <v/>
      </c>
    </row>
    <row r="19" spans="1:13" ht="36" customHeight="1">
      <c r="A19" s="1"/>
      <c r="B19" s="1"/>
      <c r="C19" s="1"/>
      <c r="D19" s="1"/>
      <c r="E19" s="4"/>
      <c r="F19" s="4"/>
      <c r="G19" s="4"/>
      <c r="H19" s="1"/>
      <c r="I19" s="1"/>
      <c r="J19" s="1"/>
      <c r="K19" s="1"/>
      <c r="L19" s="1"/>
      <c r="M19" s="3" t="str">
        <f>IF(A19="","",IF(NOT(COUNTIFS('17-جلسات و دوره‌ها'!$A$8:$A$1007,A19)=1),"شناسه تکراری",IF(AND(H19="مصوب",OR(E19="",F19="",G19="",I19="",J19="")),"تأیید جلسه ناقص",IF(AND(ISNUMBER(F19),ISNUMBER(G19),F19&gt;G19),"مرز دوره نامعتبر",IF(H19="مصوب","معتبر","جلسه تصویب نشده")))))</f>
        <v/>
      </c>
    </row>
    <row r="20" spans="1:13" ht="36" customHeight="1">
      <c r="A20" s="1"/>
      <c r="B20" s="1"/>
      <c r="C20" s="1"/>
      <c r="D20" s="1"/>
      <c r="E20" s="4"/>
      <c r="F20" s="4"/>
      <c r="G20" s="4"/>
      <c r="H20" s="1"/>
      <c r="I20" s="1"/>
      <c r="J20" s="1"/>
      <c r="K20" s="1"/>
      <c r="L20" s="1"/>
      <c r="M20" s="3" t="str">
        <f>IF(A20="","",IF(NOT(COUNTIFS('17-جلسات و دوره‌ها'!$A$8:$A$1007,A20)=1),"شناسه تکراری",IF(AND(H20="مصوب",OR(E20="",F20="",G20="",I20="",J20="")),"تأیید جلسه ناقص",IF(AND(ISNUMBER(F20),ISNUMBER(G20),F20&gt;G20),"مرز دوره نامعتبر",IF(H20="مصوب","معتبر","جلسه تصویب نشده")))))</f>
        <v/>
      </c>
    </row>
  </sheetData>
  <mergeCells count="2">
    <mergeCell ref="A1:M1"/>
    <mergeCell ref="A2:M3"/>
  </mergeCells>
  <conditionalFormatting sqref="A8:A20">
    <cfRule type="duplicateValues" dxfId="41" priority="1"/>
  </conditionalFormatting>
  <conditionalFormatting sqref="M8:M20">
    <cfRule type="containsText" dxfId="40" priority="2" operator="containsText" text="ناقص"/>
  </conditionalFormatting>
  <dataValidations count="1">
    <dataValidation type="list" sqref="H8:H20" xr:uid="{00000000-0002-0000-1100-000000000000}">
      <formula1>"پیش‌نویس,مصوب,فرضی"</formula1>
    </dataValidation>
  </dataValidation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892A5"/>
    <pageSetUpPr fitToPage="1"/>
  </sheetPr>
  <dimension ref="A1:J27"/>
  <sheetViews>
    <sheetView showGridLines="0" rightToLeft="1" zoomScale="85" workbookViewId="0">
      <pane ySplit="7" topLeftCell="A8" activePane="bottomLeft" state="frozen"/>
      <selection pane="bottomLeft" sqref="A1:J1"/>
    </sheetView>
  </sheetViews>
  <sheetFormatPr defaultRowHeight="14.25"/>
  <cols>
    <col min="1" max="1" width="24" customWidth="1"/>
    <col min="2" max="3" width="18" customWidth="1"/>
    <col min="4" max="4" width="20" customWidth="1"/>
    <col min="5" max="5" width="42" customWidth="1"/>
    <col min="6" max="6" width="40" customWidth="1"/>
    <col min="7" max="7" width="65" customWidth="1"/>
    <col min="8" max="8" width="60" customWidth="1"/>
    <col min="9" max="9" width="32" customWidth="1"/>
    <col min="10" max="10" width="28" customWidth="1"/>
  </cols>
  <sheetData>
    <row r="1" spans="1:10" ht="33.950000000000003" customHeight="1">
      <c r="A1" s="7" t="s">
        <v>1544</v>
      </c>
      <c r="B1" s="7"/>
      <c r="C1" s="7"/>
      <c r="D1" s="7"/>
      <c r="E1" s="7"/>
      <c r="F1" s="7"/>
      <c r="G1" s="7"/>
      <c r="H1" s="7"/>
      <c r="I1" s="7"/>
      <c r="J1" s="7"/>
    </row>
    <row r="2" spans="1:10" ht="26.1" customHeight="1">
      <c r="A2" s="8" t="s">
        <v>1545</v>
      </c>
      <c r="B2" s="8"/>
      <c r="C2" s="8"/>
      <c r="D2" s="8"/>
      <c r="E2" s="8"/>
      <c r="F2" s="8"/>
      <c r="G2" s="8"/>
      <c r="H2" s="8"/>
      <c r="I2" s="8"/>
      <c r="J2" s="8"/>
    </row>
    <row r="3" spans="1:10" ht="26.1" customHeight="1">
      <c r="A3" s="8"/>
      <c r="B3" s="8"/>
      <c r="C3" s="8"/>
      <c r="D3" s="8"/>
      <c r="E3" s="8"/>
      <c r="F3" s="8"/>
      <c r="G3" s="8"/>
      <c r="H3" s="8"/>
      <c r="I3" s="8"/>
      <c r="J3" s="8"/>
    </row>
    <row r="4" spans="1:10">
      <c r="A4" s="1"/>
      <c r="B4" s="1"/>
      <c r="C4" s="1"/>
      <c r="D4" s="1"/>
      <c r="E4" s="1"/>
      <c r="F4" s="1"/>
      <c r="G4" s="1"/>
      <c r="H4" s="1"/>
      <c r="I4" s="1"/>
      <c r="J4" s="1"/>
    </row>
    <row r="5" spans="1:10">
      <c r="A5" s="1"/>
      <c r="B5" s="1"/>
      <c r="C5" s="1"/>
      <c r="D5" s="1"/>
      <c r="E5" s="1"/>
      <c r="F5" s="1"/>
      <c r="G5" s="1"/>
      <c r="H5" s="1"/>
      <c r="I5" s="1"/>
      <c r="J5" s="1"/>
    </row>
    <row r="6" spans="1:10">
      <c r="A6" s="1"/>
      <c r="B6" s="1"/>
      <c r="C6" s="1"/>
      <c r="D6" s="1"/>
      <c r="E6" s="1"/>
      <c r="F6" s="1"/>
      <c r="G6" s="1"/>
      <c r="H6" s="1"/>
      <c r="I6" s="1"/>
      <c r="J6" s="1"/>
    </row>
    <row r="7" spans="1:10" ht="48" customHeight="1">
      <c r="A7" s="2" t="s">
        <v>1546</v>
      </c>
      <c r="B7" s="2" t="s">
        <v>364</v>
      </c>
      <c r="C7" s="2" t="s">
        <v>112</v>
      </c>
      <c r="D7" s="2" t="s">
        <v>1547</v>
      </c>
      <c r="E7" s="2" t="s">
        <v>1548</v>
      </c>
      <c r="F7" s="2" t="s">
        <v>1549</v>
      </c>
      <c r="G7" s="2" t="s">
        <v>1550</v>
      </c>
      <c r="H7" s="2" t="s">
        <v>1551</v>
      </c>
      <c r="I7" s="2" t="s">
        <v>1552</v>
      </c>
      <c r="J7" s="2" t="s">
        <v>1553</v>
      </c>
    </row>
    <row r="8" spans="1:10" ht="36" customHeight="1">
      <c r="A8" s="1" t="s">
        <v>1554</v>
      </c>
      <c r="B8" s="1" t="s">
        <v>77</v>
      </c>
      <c r="C8" s="1" t="s">
        <v>171</v>
      </c>
      <c r="D8" s="1" t="s">
        <v>921</v>
      </c>
      <c r="E8" s="1" t="s">
        <v>580</v>
      </c>
      <c r="F8" s="1"/>
      <c r="G8" s="1" t="s">
        <v>1555</v>
      </c>
      <c r="H8" s="1" t="s">
        <v>1556</v>
      </c>
      <c r="I8" s="1"/>
      <c r="J8" s="1" t="s">
        <v>580</v>
      </c>
    </row>
    <row r="9" spans="1:10" ht="36" customHeight="1">
      <c r="A9" s="1" t="s">
        <v>1557</v>
      </c>
      <c r="B9" s="1" t="s">
        <v>77</v>
      </c>
      <c r="C9" s="1" t="s">
        <v>236</v>
      </c>
      <c r="D9" s="1" t="s">
        <v>921</v>
      </c>
      <c r="E9" s="1" t="s">
        <v>580</v>
      </c>
      <c r="F9" s="1"/>
      <c r="G9" s="1" t="s">
        <v>1555</v>
      </c>
      <c r="H9" s="1" t="s">
        <v>1556</v>
      </c>
      <c r="I9" s="1"/>
      <c r="J9" s="1" t="s">
        <v>580</v>
      </c>
    </row>
    <row r="10" spans="1:10" ht="36" customHeight="1">
      <c r="A10" s="1" t="s">
        <v>1558</v>
      </c>
      <c r="B10" s="1" t="s">
        <v>77</v>
      </c>
      <c r="C10" s="1" t="s">
        <v>285</v>
      </c>
      <c r="D10" s="1" t="s">
        <v>921</v>
      </c>
      <c r="E10" s="1" t="s">
        <v>580</v>
      </c>
      <c r="F10" s="1"/>
      <c r="G10" s="1" t="s">
        <v>1555</v>
      </c>
      <c r="H10" s="1" t="s">
        <v>1556</v>
      </c>
      <c r="I10" s="1"/>
      <c r="J10" s="1" t="s">
        <v>580</v>
      </c>
    </row>
    <row r="11" spans="1:10" ht="36" customHeight="1">
      <c r="A11" s="1" t="s">
        <v>1559</v>
      </c>
      <c r="B11" s="1" t="s">
        <v>77</v>
      </c>
      <c r="C11" s="1" t="s">
        <v>330</v>
      </c>
      <c r="D11" s="1" t="s">
        <v>921</v>
      </c>
      <c r="E11" s="1" t="s">
        <v>580</v>
      </c>
      <c r="F11" s="1"/>
      <c r="G11" s="1" t="s">
        <v>1555</v>
      </c>
      <c r="H11" s="1" t="s">
        <v>1556</v>
      </c>
      <c r="I11" s="1"/>
      <c r="J11" s="1" t="s">
        <v>580</v>
      </c>
    </row>
    <row r="12" spans="1:10" ht="36" customHeight="1">
      <c r="A12" s="1" t="s">
        <v>1560</v>
      </c>
      <c r="B12" s="1" t="s">
        <v>99</v>
      </c>
      <c r="C12" s="1" t="s">
        <v>171</v>
      </c>
      <c r="D12" s="1" t="s">
        <v>921</v>
      </c>
      <c r="E12" s="1" t="s">
        <v>1561</v>
      </c>
      <c r="F12" s="1" t="s">
        <v>1562</v>
      </c>
      <c r="G12" s="1" t="s">
        <v>1555</v>
      </c>
      <c r="H12" s="1" t="s">
        <v>1563</v>
      </c>
      <c r="I12" s="1" t="s">
        <v>541</v>
      </c>
      <c r="J12" s="1" t="s">
        <v>101</v>
      </c>
    </row>
    <row r="13" spans="1:10" ht="36" customHeight="1">
      <c r="A13" s="1" t="s">
        <v>1564</v>
      </c>
      <c r="B13" s="1" t="s">
        <v>99</v>
      </c>
      <c r="C13" s="1" t="s">
        <v>236</v>
      </c>
      <c r="D13" s="1" t="s">
        <v>921</v>
      </c>
      <c r="E13" s="1" t="s">
        <v>1565</v>
      </c>
      <c r="F13" s="1" t="s">
        <v>1562</v>
      </c>
      <c r="G13" s="1" t="s">
        <v>1555</v>
      </c>
      <c r="H13" s="1" t="s">
        <v>1563</v>
      </c>
      <c r="I13" s="1" t="s">
        <v>541</v>
      </c>
      <c r="J13" s="1" t="s">
        <v>101</v>
      </c>
    </row>
    <row r="14" spans="1:10" ht="36" customHeight="1">
      <c r="A14" s="1" t="s">
        <v>1566</v>
      </c>
      <c r="B14" s="1" t="s">
        <v>99</v>
      </c>
      <c r="C14" s="1" t="s">
        <v>285</v>
      </c>
      <c r="D14" s="1" t="s">
        <v>921</v>
      </c>
      <c r="E14" s="1" t="s">
        <v>1567</v>
      </c>
      <c r="F14" s="1" t="s">
        <v>1562</v>
      </c>
      <c r="G14" s="1" t="s">
        <v>1555</v>
      </c>
      <c r="H14" s="1" t="s">
        <v>1563</v>
      </c>
      <c r="I14" s="1" t="s">
        <v>541</v>
      </c>
      <c r="J14" s="1" t="s">
        <v>101</v>
      </c>
    </row>
    <row r="15" spans="1:10" ht="36" customHeight="1">
      <c r="A15" s="1" t="s">
        <v>1568</v>
      </c>
      <c r="B15" s="1" t="s">
        <v>99</v>
      </c>
      <c r="C15" s="1" t="s">
        <v>330</v>
      </c>
      <c r="D15" s="1" t="s">
        <v>921</v>
      </c>
      <c r="E15" s="1" t="s">
        <v>1569</v>
      </c>
      <c r="F15" s="1" t="s">
        <v>1562</v>
      </c>
      <c r="G15" s="1" t="s">
        <v>1555</v>
      </c>
      <c r="H15" s="1" t="s">
        <v>1563</v>
      </c>
      <c r="I15" s="1" t="s">
        <v>541</v>
      </c>
      <c r="J15" s="1" t="s">
        <v>101</v>
      </c>
    </row>
    <row r="16" spans="1:10" ht="36" customHeight="1">
      <c r="A16" s="1"/>
      <c r="B16" s="1"/>
      <c r="C16" s="1"/>
      <c r="D16" s="1"/>
      <c r="E16" s="1"/>
      <c r="F16" s="1"/>
      <c r="G16" s="1"/>
      <c r="H16" s="1"/>
      <c r="I16" s="1"/>
      <c r="J16" s="1"/>
    </row>
    <row r="17" spans="1:10" ht="36" customHeight="1">
      <c r="A17" s="1"/>
      <c r="B17" s="1"/>
      <c r="C17" s="1"/>
      <c r="D17" s="1"/>
      <c r="E17" s="1"/>
      <c r="F17" s="1"/>
      <c r="G17" s="1"/>
      <c r="H17" s="1"/>
      <c r="I17" s="1"/>
      <c r="J17" s="1"/>
    </row>
    <row r="18" spans="1:10" ht="36" customHeight="1">
      <c r="A18" s="1"/>
      <c r="B18" s="1"/>
      <c r="C18" s="1"/>
      <c r="D18" s="1"/>
      <c r="E18" s="1"/>
      <c r="F18" s="1"/>
      <c r="G18" s="1"/>
      <c r="H18" s="1"/>
      <c r="I18" s="1"/>
      <c r="J18" s="1"/>
    </row>
    <row r="19" spans="1:10" ht="36" customHeight="1">
      <c r="A19" s="1"/>
      <c r="B19" s="1"/>
      <c r="C19" s="1"/>
      <c r="D19" s="1"/>
      <c r="E19" s="1"/>
      <c r="F19" s="1"/>
      <c r="G19" s="1"/>
      <c r="H19" s="1"/>
      <c r="I19" s="1"/>
      <c r="J19" s="1"/>
    </row>
    <row r="20" spans="1:10" ht="36" customHeight="1">
      <c r="A20" s="1"/>
      <c r="B20" s="1"/>
      <c r="C20" s="1"/>
      <c r="D20" s="1"/>
      <c r="E20" s="1"/>
      <c r="F20" s="1"/>
      <c r="G20" s="1"/>
      <c r="H20" s="1"/>
      <c r="I20" s="1"/>
      <c r="J20" s="1"/>
    </row>
    <row r="21" spans="1:10" ht="36" customHeight="1">
      <c r="A21" s="1"/>
      <c r="B21" s="1"/>
      <c r="C21" s="1"/>
      <c r="D21" s="1"/>
      <c r="E21" s="1"/>
      <c r="F21" s="1"/>
      <c r="G21" s="1"/>
      <c r="H21" s="1"/>
      <c r="I21" s="1"/>
      <c r="J21" s="1"/>
    </row>
    <row r="22" spans="1:10" ht="36" customHeight="1">
      <c r="A22" s="1"/>
      <c r="B22" s="1"/>
      <c r="C22" s="1"/>
      <c r="D22" s="1"/>
      <c r="E22" s="1"/>
      <c r="F22" s="1"/>
      <c r="G22" s="1"/>
      <c r="H22" s="1"/>
      <c r="I22" s="1"/>
      <c r="J22" s="1"/>
    </row>
    <row r="23" spans="1:10" ht="36" customHeight="1">
      <c r="A23" s="1"/>
      <c r="B23" s="1"/>
      <c r="C23" s="1"/>
      <c r="D23" s="1"/>
      <c r="E23" s="1"/>
      <c r="F23" s="1"/>
      <c r="G23" s="1"/>
      <c r="H23" s="1"/>
      <c r="I23" s="1"/>
      <c r="J23" s="1"/>
    </row>
    <row r="24" spans="1:10" ht="36" customHeight="1">
      <c r="A24" s="1"/>
      <c r="B24" s="1"/>
      <c r="C24" s="1"/>
      <c r="D24" s="1"/>
      <c r="E24" s="1"/>
      <c r="F24" s="1"/>
      <c r="G24" s="1"/>
      <c r="H24" s="1"/>
      <c r="I24" s="1"/>
      <c r="J24" s="1"/>
    </row>
    <row r="25" spans="1:10" ht="36" customHeight="1">
      <c r="A25" s="1"/>
      <c r="B25" s="1"/>
      <c r="C25" s="1"/>
      <c r="D25" s="1"/>
      <c r="E25" s="1"/>
      <c r="F25" s="1"/>
      <c r="G25" s="1"/>
      <c r="H25" s="1"/>
      <c r="I25" s="1"/>
      <c r="J25" s="1"/>
    </row>
    <row r="26" spans="1:10" ht="36" customHeight="1">
      <c r="A26" s="1"/>
      <c r="B26" s="1"/>
      <c r="C26" s="1"/>
      <c r="D26" s="1"/>
      <c r="E26" s="1"/>
      <c r="F26" s="1"/>
      <c r="G26" s="1"/>
      <c r="H26" s="1"/>
      <c r="I26" s="1"/>
      <c r="J26" s="1"/>
    </row>
    <row r="27" spans="1:10" ht="36" customHeight="1">
      <c r="A27" s="1"/>
      <c r="B27" s="1"/>
      <c r="C27" s="1"/>
      <c r="D27" s="1"/>
      <c r="E27" s="1"/>
      <c r="F27" s="1"/>
      <c r="G27" s="1"/>
      <c r="H27" s="1"/>
      <c r="I27" s="1"/>
      <c r="J27" s="1"/>
    </row>
  </sheetData>
  <mergeCells count="2">
    <mergeCell ref="A1:J1"/>
    <mergeCell ref="A2:J3"/>
  </mergeCells>
  <dataValidations count="2">
    <dataValidation type="list" sqref="D8:D27" xr:uid="{00000000-0002-0000-1200-000000000000}">
      <formula1>"بله,خیر,نامشخص"</formula1>
    </dataValidation>
    <dataValidation type="list" sqref="J8:J27" xr:uid="{00000000-0002-0000-1200-000001000000}">
      <formula1>"تأیید شده,تأیید نشده,فرضی"</formula1>
    </dataValidation>
  </dataValidation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892A5"/>
    <pageSetUpPr fitToPage="1"/>
  </sheetPr>
  <dimension ref="A1:E1677"/>
  <sheetViews>
    <sheetView showGridLines="0" rightToLeft="1" zoomScale="85" workbookViewId="0">
      <pane ySplit="7" topLeftCell="A8" activePane="bottomLeft" state="frozen"/>
      <selection pane="bottomLeft" sqref="A1:E1"/>
    </sheetView>
  </sheetViews>
  <sheetFormatPr defaultRowHeight="14.25"/>
  <cols>
    <col min="1" max="1" width="16" customWidth="1"/>
    <col min="2" max="2" width="20" customWidth="1"/>
    <col min="3" max="3" width="16" customWidth="1"/>
    <col min="4" max="4" width="115" customWidth="1"/>
    <col min="5" max="5" width="70" customWidth="1"/>
  </cols>
  <sheetData>
    <row r="1" spans="1:5" ht="33.950000000000003" customHeight="1">
      <c r="A1" s="7" t="s">
        <v>1570</v>
      </c>
      <c r="B1" s="7"/>
      <c r="C1" s="7"/>
      <c r="D1" s="7"/>
      <c r="E1" s="7"/>
    </row>
    <row r="2" spans="1:5" ht="26.1" customHeight="1">
      <c r="A2" s="8" t="s">
        <v>1571</v>
      </c>
      <c r="B2" s="8"/>
      <c r="C2" s="8"/>
      <c r="D2" s="8"/>
      <c r="E2" s="8"/>
    </row>
    <row r="3" spans="1:5" ht="26.1" customHeight="1">
      <c r="A3" s="8"/>
      <c r="B3" s="8"/>
      <c r="C3" s="8"/>
      <c r="D3" s="8"/>
      <c r="E3" s="8"/>
    </row>
    <row r="4" spans="1:5">
      <c r="A4" s="1"/>
      <c r="B4" s="1"/>
      <c r="C4" s="1"/>
      <c r="D4" s="1"/>
      <c r="E4" s="1"/>
    </row>
    <row r="5" spans="1:5">
      <c r="A5" s="1"/>
      <c r="B5" s="1"/>
      <c r="C5" s="1"/>
      <c r="D5" s="1"/>
      <c r="E5" s="1"/>
    </row>
    <row r="6" spans="1:5">
      <c r="A6" s="1"/>
      <c r="B6" s="1"/>
      <c r="C6" s="1"/>
      <c r="D6" s="1"/>
      <c r="E6" s="1"/>
    </row>
    <row r="7" spans="1:5" ht="48" customHeight="1">
      <c r="A7" s="2" t="s">
        <v>1572</v>
      </c>
      <c r="B7" s="2" t="s">
        <v>1573</v>
      </c>
      <c r="C7" s="2" t="s">
        <v>1574</v>
      </c>
      <c r="D7" s="2" t="s">
        <v>1575</v>
      </c>
      <c r="E7" s="2" t="s">
        <v>1576</v>
      </c>
    </row>
    <row r="8" spans="1:5" ht="48" customHeight="1">
      <c r="A8" s="1" t="s">
        <v>1577</v>
      </c>
      <c r="B8" s="1" t="s">
        <v>499</v>
      </c>
      <c r="C8" s="1" t="s">
        <v>1572</v>
      </c>
      <c r="D8" s="1" t="s">
        <v>1578</v>
      </c>
      <c r="E8" s="1" t="s">
        <v>1579</v>
      </c>
    </row>
    <row r="9" spans="1:5" ht="48" customHeight="1">
      <c r="A9" s="1" t="s">
        <v>1577</v>
      </c>
      <c r="B9" s="1" t="s">
        <v>1580</v>
      </c>
      <c r="C9" s="1" t="s">
        <v>1572</v>
      </c>
      <c r="D9" s="1" t="s">
        <v>1581</v>
      </c>
      <c r="E9" s="1" t="s">
        <v>1582</v>
      </c>
    </row>
    <row r="10" spans="1:5" ht="36" customHeight="1">
      <c r="A10" s="1" t="s">
        <v>1577</v>
      </c>
      <c r="B10" s="1" t="s">
        <v>1583</v>
      </c>
      <c r="C10" s="1" t="s">
        <v>1584</v>
      </c>
      <c r="D10" s="1" t="s">
        <v>1585</v>
      </c>
      <c r="E10" s="1" t="s">
        <v>1586</v>
      </c>
    </row>
    <row r="11" spans="1:5" ht="48" customHeight="1">
      <c r="A11" s="1" t="s">
        <v>1577</v>
      </c>
      <c r="B11" s="1" t="s">
        <v>1587</v>
      </c>
      <c r="C11" s="1" t="s">
        <v>1588</v>
      </c>
      <c r="D11" s="1" t="s">
        <v>1589</v>
      </c>
      <c r="E11" s="1" t="s">
        <v>1590</v>
      </c>
    </row>
    <row r="12" spans="1:5" ht="48" customHeight="1">
      <c r="A12" s="1" t="s">
        <v>1577</v>
      </c>
      <c r="B12" s="1" t="s">
        <v>236</v>
      </c>
      <c r="C12" s="1" t="s">
        <v>1588</v>
      </c>
      <c r="D12" s="1" t="s">
        <v>1591</v>
      </c>
      <c r="E12" s="1" t="s">
        <v>1592</v>
      </c>
    </row>
    <row r="13" spans="1:5" ht="36" customHeight="1">
      <c r="A13" s="1" t="s">
        <v>499</v>
      </c>
      <c r="B13" s="1" t="s">
        <v>1593</v>
      </c>
      <c r="C13" s="1" t="s">
        <v>1594</v>
      </c>
      <c r="D13" s="1" t="s">
        <v>1595</v>
      </c>
      <c r="E13" s="1" t="s">
        <v>1596</v>
      </c>
    </row>
    <row r="14" spans="1:5" ht="36" customHeight="1">
      <c r="A14" s="1" t="s">
        <v>499</v>
      </c>
      <c r="B14" s="1" t="s">
        <v>1593</v>
      </c>
      <c r="C14" s="1" t="s">
        <v>1597</v>
      </c>
      <c r="D14" s="1" t="s">
        <v>1598</v>
      </c>
      <c r="E14" s="1" t="s">
        <v>1596</v>
      </c>
    </row>
    <row r="15" spans="1:5" ht="36" customHeight="1">
      <c r="A15" s="1" t="s">
        <v>499</v>
      </c>
      <c r="B15" s="1" t="s">
        <v>1593</v>
      </c>
      <c r="C15" s="1" t="s">
        <v>1599</v>
      </c>
      <c r="D15" s="1" t="s">
        <v>1600</v>
      </c>
      <c r="E15" s="1" t="s">
        <v>1596</v>
      </c>
    </row>
    <row r="16" spans="1:5" ht="36" customHeight="1">
      <c r="A16" s="1" t="s">
        <v>499</v>
      </c>
      <c r="B16" s="1" t="s">
        <v>1593</v>
      </c>
      <c r="C16" s="1" t="s">
        <v>1601</v>
      </c>
      <c r="D16" s="1" t="s">
        <v>1602</v>
      </c>
      <c r="E16" s="1" t="s">
        <v>1596</v>
      </c>
    </row>
    <row r="17" spans="1:5" ht="36" customHeight="1">
      <c r="A17" s="1" t="s">
        <v>499</v>
      </c>
      <c r="B17" s="1" t="s">
        <v>1593</v>
      </c>
      <c r="C17" s="1" t="s">
        <v>1603</v>
      </c>
      <c r="D17" s="1" t="s">
        <v>1604</v>
      </c>
      <c r="E17" s="1" t="s">
        <v>1596</v>
      </c>
    </row>
    <row r="18" spans="1:5" ht="36" customHeight="1">
      <c r="A18" s="1" t="s">
        <v>499</v>
      </c>
      <c r="B18" s="1" t="s">
        <v>1593</v>
      </c>
      <c r="C18" s="1" t="s">
        <v>1605</v>
      </c>
      <c r="D18" s="1" t="s">
        <v>1606</v>
      </c>
      <c r="E18" s="1" t="s">
        <v>1596</v>
      </c>
    </row>
    <row r="19" spans="1:5" ht="36" customHeight="1">
      <c r="A19" s="1" t="s">
        <v>499</v>
      </c>
      <c r="B19" s="1" t="s">
        <v>1593</v>
      </c>
      <c r="C19" s="1" t="s">
        <v>1607</v>
      </c>
      <c r="D19" s="1" t="s">
        <v>1091</v>
      </c>
      <c r="E19" s="1" t="s">
        <v>1596</v>
      </c>
    </row>
    <row r="20" spans="1:5" ht="36" customHeight="1">
      <c r="A20" s="1" t="s">
        <v>499</v>
      </c>
      <c r="B20" s="1" t="s">
        <v>1593</v>
      </c>
      <c r="C20" s="1" t="s">
        <v>1608</v>
      </c>
      <c r="D20" s="1" t="s">
        <v>1598</v>
      </c>
      <c r="E20" s="1" t="s">
        <v>1596</v>
      </c>
    </row>
    <row r="21" spans="1:5" ht="36" customHeight="1">
      <c r="A21" s="1" t="s">
        <v>499</v>
      </c>
      <c r="B21" s="1" t="s">
        <v>1593</v>
      </c>
      <c r="C21" s="1" t="s">
        <v>1609</v>
      </c>
      <c r="D21" s="1" t="s">
        <v>864</v>
      </c>
      <c r="E21" s="1" t="s">
        <v>1596</v>
      </c>
    </row>
    <row r="22" spans="1:5" ht="36" customHeight="1">
      <c r="A22" s="1" t="s">
        <v>499</v>
      </c>
      <c r="B22" s="1" t="s">
        <v>1593</v>
      </c>
      <c r="C22" s="1" t="s">
        <v>1610</v>
      </c>
      <c r="D22" s="1" t="s">
        <v>1611</v>
      </c>
      <c r="E22" s="1" t="s">
        <v>1596</v>
      </c>
    </row>
    <row r="23" spans="1:5" ht="36" customHeight="1">
      <c r="A23" s="1" t="s">
        <v>499</v>
      </c>
      <c r="B23" s="1" t="s">
        <v>1593</v>
      </c>
      <c r="C23" s="1" t="s">
        <v>1612</v>
      </c>
      <c r="D23" s="1" t="s">
        <v>1613</v>
      </c>
      <c r="E23" s="1" t="s">
        <v>1596</v>
      </c>
    </row>
    <row r="24" spans="1:5" ht="36" customHeight="1">
      <c r="A24" s="1" t="s">
        <v>499</v>
      </c>
      <c r="B24" s="1" t="s">
        <v>1593</v>
      </c>
      <c r="C24" s="1" t="s">
        <v>1614</v>
      </c>
      <c r="D24" s="1" t="s">
        <v>1615</v>
      </c>
      <c r="E24" s="1" t="s">
        <v>1596</v>
      </c>
    </row>
    <row r="25" spans="1:5" ht="36" customHeight="1">
      <c r="A25" s="1" t="s">
        <v>499</v>
      </c>
      <c r="B25" s="1" t="s">
        <v>1593</v>
      </c>
      <c r="C25" s="1" t="s">
        <v>1616</v>
      </c>
      <c r="D25" s="1" t="s">
        <v>868</v>
      </c>
      <c r="E25" s="1" t="s">
        <v>1596</v>
      </c>
    </row>
    <row r="26" spans="1:5" ht="36" customHeight="1">
      <c r="A26" s="1" t="s">
        <v>499</v>
      </c>
      <c r="B26" s="1" t="s">
        <v>1593</v>
      </c>
      <c r="C26" s="1" t="s">
        <v>1617</v>
      </c>
      <c r="D26" s="1" t="s">
        <v>1618</v>
      </c>
      <c r="E26" s="1" t="s">
        <v>1596</v>
      </c>
    </row>
    <row r="27" spans="1:5" ht="36" customHeight="1">
      <c r="A27" s="1" t="s">
        <v>499</v>
      </c>
      <c r="B27" s="1" t="s">
        <v>1593</v>
      </c>
      <c r="C27" s="1" t="s">
        <v>1619</v>
      </c>
      <c r="D27" s="1" t="s">
        <v>1620</v>
      </c>
      <c r="E27" s="1" t="s">
        <v>1596</v>
      </c>
    </row>
    <row r="28" spans="1:5" ht="36" customHeight="1">
      <c r="A28" s="1" t="s">
        <v>499</v>
      </c>
      <c r="B28" s="1" t="s">
        <v>1593</v>
      </c>
      <c r="C28" s="1" t="s">
        <v>1621</v>
      </c>
      <c r="D28" s="1" t="s">
        <v>1622</v>
      </c>
      <c r="E28" s="1" t="s">
        <v>1596</v>
      </c>
    </row>
    <row r="29" spans="1:5" ht="36" customHeight="1">
      <c r="A29" s="1" t="s">
        <v>499</v>
      </c>
      <c r="B29" s="1" t="s">
        <v>1593</v>
      </c>
      <c r="C29" s="1" t="s">
        <v>1623</v>
      </c>
      <c r="D29" s="1" t="s">
        <v>870</v>
      </c>
      <c r="E29" s="1" t="s">
        <v>1596</v>
      </c>
    </row>
    <row r="30" spans="1:5" ht="36" customHeight="1">
      <c r="A30" s="1" t="s">
        <v>499</v>
      </c>
      <c r="B30" s="1" t="s">
        <v>1593</v>
      </c>
      <c r="C30" s="1" t="s">
        <v>1624</v>
      </c>
      <c r="D30" s="1" t="s">
        <v>1625</v>
      </c>
      <c r="E30" s="1" t="s">
        <v>1596</v>
      </c>
    </row>
    <row r="31" spans="1:5" ht="36" customHeight="1">
      <c r="A31" s="1" t="s">
        <v>499</v>
      </c>
      <c r="B31" s="1" t="s">
        <v>1593</v>
      </c>
      <c r="C31" s="1" t="s">
        <v>1626</v>
      </c>
      <c r="D31" s="1" t="s">
        <v>1627</v>
      </c>
      <c r="E31" s="1" t="s">
        <v>1596</v>
      </c>
    </row>
    <row r="32" spans="1:5" ht="36" customHeight="1">
      <c r="A32" s="1" t="s">
        <v>499</v>
      </c>
      <c r="B32" s="1" t="s">
        <v>1593</v>
      </c>
      <c r="C32" s="1" t="s">
        <v>1628</v>
      </c>
      <c r="D32" s="1" t="s">
        <v>1629</v>
      </c>
      <c r="E32" s="1" t="s">
        <v>1596</v>
      </c>
    </row>
    <row r="33" spans="1:5" ht="36" customHeight="1">
      <c r="A33" s="1" t="s">
        <v>499</v>
      </c>
      <c r="B33" s="1" t="s">
        <v>1593</v>
      </c>
      <c r="C33" s="1" t="s">
        <v>1630</v>
      </c>
      <c r="D33" s="1" t="s">
        <v>1631</v>
      </c>
      <c r="E33" s="1" t="s">
        <v>1596</v>
      </c>
    </row>
    <row r="34" spans="1:5" ht="36" customHeight="1">
      <c r="A34" s="1" t="s">
        <v>499</v>
      </c>
      <c r="B34" s="1" t="s">
        <v>1593</v>
      </c>
      <c r="C34" s="1" t="s">
        <v>1632</v>
      </c>
      <c r="D34" s="1" t="s">
        <v>1633</v>
      </c>
      <c r="E34" s="1" t="s">
        <v>1596</v>
      </c>
    </row>
    <row r="35" spans="1:5" ht="36" customHeight="1">
      <c r="A35" s="1" t="s">
        <v>499</v>
      </c>
      <c r="B35" s="1" t="s">
        <v>1593</v>
      </c>
      <c r="C35" s="1" t="s">
        <v>1634</v>
      </c>
      <c r="D35" s="1" t="s">
        <v>558</v>
      </c>
      <c r="E35" s="1" t="s">
        <v>1596</v>
      </c>
    </row>
    <row r="36" spans="1:5" ht="36" customHeight="1">
      <c r="A36" s="1" t="s">
        <v>499</v>
      </c>
      <c r="B36" s="1" t="s">
        <v>1593</v>
      </c>
      <c r="C36" s="1" t="s">
        <v>1635</v>
      </c>
      <c r="D36" s="1" t="s">
        <v>1622</v>
      </c>
      <c r="E36" s="1" t="s">
        <v>1596</v>
      </c>
    </row>
    <row r="37" spans="1:5" ht="36" customHeight="1">
      <c r="A37" s="1" t="s">
        <v>499</v>
      </c>
      <c r="B37" s="1" t="s">
        <v>1593</v>
      </c>
      <c r="C37" s="1" t="s">
        <v>1636</v>
      </c>
      <c r="D37" s="1" t="s">
        <v>1637</v>
      </c>
      <c r="E37" s="1" t="s">
        <v>1596</v>
      </c>
    </row>
    <row r="38" spans="1:5" ht="36" customHeight="1">
      <c r="A38" s="1" t="s">
        <v>499</v>
      </c>
      <c r="B38" s="1" t="s">
        <v>1593</v>
      </c>
      <c r="C38" s="1" t="s">
        <v>1638</v>
      </c>
      <c r="D38" s="1" t="s">
        <v>1639</v>
      </c>
      <c r="E38" s="1" t="s">
        <v>1596</v>
      </c>
    </row>
    <row r="39" spans="1:5" ht="36" customHeight="1">
      <c r="A39" s="1" t="s">
        <v>499</v>
      </c>
      <c r="B39" s="1" t="s">
        <v>1593</v>
      </c>
      <c r="C39" s="1" t="s">
        <v>1640</v>
      </c>
      <c r="D39" s="1" t="s">
        <v>1641</v>
      </c>
      <c r="E39" s="1" t="s">
        <v>1596</v>
      </c>
    </row>
    <row r="40" spans="1:5" ht="36" customHeight="1">
      <c r="A40" s="1" t="s">
        <v>499</v>
      </c>
      <c r="B40" s="1" t="s">
        <v>1593</v>
      </c>
      <c r="C40" s="1" t="s">
        <v>1642</v>
      </c>
      <c r="D40" s="1" t="s">
        <v>1622</v>
      </c>
      <c r="E40" s="1" t="s">
        <v>1596</v>
      </c>
    </row>
    <row r="41" spans="1:5" ht="36" customHeight="1">
      <c r="A41" s="1" t="s">
        <v>499</v>
      </c>
      <c r="B41" s="1" t="s">
        <v>1593</v>
      </c>
      <c r="C41" s="1" t="s">
        <v>1643</v>
      </c>
      <c r="D41" s="1" t="s">
        <v>1644</v>
      </c>
      <c r="E41" s="1" t="s">
        <v>1596</v>
      </c>
    </row>
    <row r="42" spans="1:5" ht="36" customHeight="1">
      <c r="A42" s="1" t="s">
        <v>499</v>
      </c>
      <c r="B42" s="1" t="s">
        <v>1593</v>
      </c>
      <c r="C42" s="1" t="s">
        <v>1645</v>
      </c>
      <c r="D42" s="1" t="s">
        <v>1646</v>
      </c>
      <c r="E42" s="1" t="s">
        <v>1596</v>
      </c>
    </row>
    <row r="43" spans="1:5" ht="36" customHeight="1">
      <c r="A43" s="1" t="s">
        <v>499</v>
      </c>
      <c r="B43" s="1" t="s">
        <v>1593</v>
      </c>
      <c r="C43" s="1" t="s">
        <v>1647</v>
      </c>
      <c r="D43" s="1" t="s">
        <v>1641</v>
      </c>
      <c r="E43" s="1" t="s">
        <v>1596</v>
      </c>
    </row>
    <row r="44" spans="1:5" ht="36" customHeight="1">
      <c r="A44" s="1" t="s">
        <v>499</v>
      </c>
      <c r="B44" s="1" t="s">
        <v>1593</v>
      </c>
      <c r="C44" s="1" t="s">
        <v>1648</v>
      </c>
      <c r="D44" s="1" t="s">
        <v>1622</v>
      </c>
      <c r="E44" s="1" t="s">
        <v>1596</v>
      </c>
    </row>
    <row r="45" spans="1:5" ht="36" customHeight="1">
      <c r="A45" s="1" t="s">
        <v>499</v>
      </c>
      <c r="B45" s="1" t="s">
        <v>1593</v>
      </c>
      <c r="C45" s="1" t="s">
        <v>1649</v>
      </c>
      <c r="D45" s="1" t="s">
        <v>1650</v>
      </c>
      <c r="E45" s="1" t="s">
        <v>1596</v>
      </c>
    </row>
    <row r="46" spans="1:5" ht="36" customHeight="1">
      <c r="A46" s="1" t="s">
        <v>499</v>
      </c>
      <c r="B46" s="1" t="s">
        <v>1593</v>
      </c>
      <c r="C46" s="1" t="s">
        <v>1651</v>
      </c>
      <c r="D46" s="1" t="s">
        <v>1652</v>
      </c>
      <c r="E46" s="1" t="s">
        <v>1596</v>
      </c>
    </row>
    <row r="47" spans="1:5" ht="36" customHeight="1">
      <c r="A47" s="1" t="s">
        <v>499</v>
      </c>
      <c r="B47" s="1" t="s">
        <v>1593</v>
      </c>
      <c r="C47" s="1" t="s">
        <v>1653</v>
      </c>
      <c r="D47" s="1" t="s">
        <v>1654</v>
      </c>
      <c r="E47" s="1" t="s">
        <v>1596</v>
      </c>
    </row>
    <row r="48" spans="1:5" ht="36" customHeight="1">
      <c r="A48" s="1" t="s">
        <v>499</v>
      </c>
      <c r="B48" s="1" t="s">
        <v>1593</v>
      </c>
      <c r="C48" s="1" t="s">
        <v>1655</v>
      </c>
      <c r="D48" s="1" t="s">
        <v>1622</v>
      </c>
      <c r="E48" s="1" t="s">
        <v>1596</v>
      </c>
    </row>
    <row r="49" spans="1:5" ht="36" customHeight="1">
      <c r="A49" s="1" t="s">
        <v>499</v>
      </c>
      <c r="B49" s="1" t="s">
        <v>1593</v>
      </c>
      <c r="C49" s="1" t="s">
        <v>1656</v>
      </c>
      <c r="D49" s="1" t="s">
        <v>1657</v>
      </c>
      <c r="E49" s="1" t="s">
        <v>1596</v>
      </c>
    </row>
    <row r="50" spans="1:5" ht="36" customHeight="1">
      <c r="A50" s="1" t="s">
        <v>499</v>
      </c>
      <c r="B50" s="1" t="s">
        <v>1593</v>
      </c>
      <c r="C50" s="1" t="s">
        <v>1658</v>
      </c>
      <c r="D50" s="1" t="s">
        <v>1659</v>
      </c>
      <c r="E50" s="1" t="s">
        <v>1596</v>
      </c>
    </row>
    <row r="51" spans="1:5" ht="36" customHeight="1">
      <c r="A51" s="1" t="s">
        <v>499</v>
      </c>
      <c r="B51" s="1" t="s">
        <v>1593</v>
      </c>
      <c r="C51" s="1" t="s">
        <v>1660</v>
      </c>
      <c r="D51" s="1" t="s">
        <v>1641</v>
      </c>
      <c r="E51" s="1" t="s">
        <v>1596</v>
      </c>
    </row>
    <row r="52" spans="1:5" ht="36" customHeight="1">
      <c r="A52" s="1" t="s">
        <v>499</v>
      </c>
      <c r="B52" s="1" t="s">
        <v>1593</v>
      </c>
      <c r="C52" s="1" t="s">
        <v>1661</v>
      </c>
      <c r="D52" s="1" t="s">
        <v>1622</v>
      </c>
      <c r="E52" s="1" t="s">
        <v>1596</v>
      </c>
    </row>
    <row r="53" spans="1:5" ht="36" customHeight="1">
      <c r="A53" s="1" t="s">
        <v>499</v>
      </c>
      <c r="B53" s="1" t="s">
        <v>1593</v>
      </c>
      <c r="C53" s="1" t="s">
        <v>1662</v>
      </c>
      <c r="D53" s="1" t="s">
        <v>1663</v>
      </c>
      <c r="E53" s="1" t="s">
        <v>1596</v>
      </c>
    </row>
    <row r="54" spans="1:5" ht="36" customHeight="1">
      <c r="A54" s="1" t="s">
        <v>499</v>
      </c>
      <c r="B54" s="1" t="s">
        <v>1593</v>
      </c>
      <c r="C54" s="1" t="s">
        <v>1664</v>
      </c>
      <c r="D54" s="1" t="s">
        <v>1659</v>
      </c>
      <c r="E54" s="1" t="s">
        <v>1596</v>
      </c>
    </row>
    <row r="55" spans="1:5" ht="36" customHeight="1">
      <c r="A55" s="1" t="s">
        <v>499</v>
      </c>
      <c r="B55" s="1" t="s">
        <v>1593</v>
      </c>
      <c r="C55" s="1" t="s">
        <v>1665</v>
      </c>
      <c r="D55" s="1" t="s">
        <v>1613</v>
      </c>
      <c r="E55" s="1" t="s">
        <v>1596</v>
      </c>
    </row>
    <row r="56" spans="1:5" ht="36" customHeight="1">
      <c r="A56" s="1" t="s">
        <v>499</v>
      </c>
      <c r="B56" s="1" t="s">
        <v>1593</v>
      </c>
      <c r="C56" s="1" t="s">
        <v>1666</v>
      </c>
      <c r="D56" s="1" t="s">
        <v>1622</v>
      </c>
      <c r="E56" s="1" t="s">
        <v>1596</v>
      </c>
    </row>
    <row r="57" spans="1:5" ht="36" customHeight="1">
      <c r="A57" s="1" t="s">
        <v>499</v>
      </c>
      <c r="B57" s="1" t="s">
        <v>1593</v>
      </c>
      <c r="C57" s="1" t="s">
        <v>1667</v>
      </c>
      <c r="D57" s="1" t="s">
        <v>1668</v>
      </c>
      <c r="E57" s="1" t="s">
        <v>1596</v>
      </c>
    </row>
    <row r="58" spans="1:5" ht="36" customHeight="1">
      <c r="A58" s="1" t="s">
        <v>499</v>
      </c>
      <c r="B58" s="1" t="s">
        <v>1593</v>
      </c>
      <c r="C58" s="1" t="s">
        <v>1669</v>
      </c>
      <c r="D58" s="1" t="s">
        <v>1670</v>
      </c>
      <c r="E58" s="1" t="s">
        <v>1596</v>
      </c>
    </row>
    <row r="59" spans="1:5" ht="36" customHeight="1">
      <c r="A59" s="1" t="s">
        <v>499</v>
      </c>
      <c r="B59" s="1" t="s">
        <v>1593</v>
      </c>
      <c r="C59" s="1" t="s">
        <v>1671</v>
      </c>
      <c r="D59" s="1" t="s">
        <v>1672</v>
      </c>
      <c r="E59" s="1" t="s">
        <v>1596</v>
      </c>
    </row>
    <row r="60" spans="1:5" ht="36" customHeight="1">
      <c r="A60" s="1" t="s">
        <v>499</v>
      </c>
      <c r="B60" s="1" t="s">
        <v>1673</v>
      </c>
      <c r="C60" s="1" t="s">
        <v>1594</v>
      </c>
      <c r="D60" s="1" t="s">
        <v>1674</v>
      </c>
      <c r="E60" s="1" t="s">
        <v>1596</v>
      </c>
    </row>
    <row r="61" spans="1:5" ht="36" customHeight="1">
      <c r="A61" s="1" t="s">
        <v>499</v>
      </c>
      <c r="B61" s="1" t="s">
        <v>1673</v>
      </c>
      <c r="C61" s="1" t="s">
        <v>1597</v>
      </c>
      <c r="D61" s="1" t="s">
        <v>1598</v>
      </c>
      <c r="E61" s="1" t="s">
        <v>1596</v>
      </c>
    </row>
    <row r="62" spans="1:5" ht="36" customHeight="1">
      <c r="A62" s="1" t="s">
        <v>499</v>
      </c>
      <c r="B62" s="1" t="s">
        <v>1673</v>
      </c>
      <c r="C62" s="1" t="s">
        <v>1599</v>
      </c>
      <c r="D62" s="1" t="s">
        <v>1600</v>
      </c>
      <c r="E62" s="1" t="s">
        <v>1596</v>
      </c>
    </row>
    <row r="63" spans="1:5" ht="36" customHeight="1">
      <c r="A63" s="1" t="s">
        <v>499</v>
      </c>
      <c r="B63" s="1" t="s">
        <v>1673</v>
      </c>
      <c r="C63" s="1" t="s">
        <v>1601</v>
      </c>
      <c r="D63" s="1" t="s">
        <v>1602</v>
      </c>
      <c r="E63" s="1" t="s">
        <v>1596</v>
      </c>
    </row>
    <row r="64" spans="1:5" ht="36" customHeight="1">
      <c r="A64" s="1" t="s">
        <v>499</v>
      </c>
      <c r="B64" s="1" t="s">
        <v>1673</v>
      </c>
      <c r="C64" s="1" t="s">
        <v>1603</v>
      </c>
      <c r="D64" s="1" t="s">
        <v>1675</v>
      </c>
      <c r="E64" s="1" t="s">
        <v>1596</v>
      </c>
    </row>
    <row r="65" spans="1:5" ht="36" customHeight="1">
      <c r="A65" s="1" t="s">
        <v>499</v>
      </c>
      <c r="B65" s="1" t="s">
        <v>1673</v>
      </c>
      <c r="C65" s="1" t="s">
        <v>1605</v>
      </c>
      <c r="D65" s="1" t="s">
        <v>1676</v>
      </c>
      <c r="E65" s="1" t="s">
        <v>1596</v>
      </c>
    </row>
    <row r="66" spans="1:5" ht="36" customHeight="1">
      <c r="A66" s="1" t="s">
        <v>499</v>
      </c>
      <c r="B66" s="1" t="s">
        <v>1673</v>
      </c>
      <c r="C66" s="1" t="s">
        <v>1677</v>
      </c>
      <c r="D66" s="1" t="s">
        <v>1678</v>
      </c>
      <c r="E66" s="1" t="s">
        <v>1596</v>
      </c>
    </row>
    <row r="67" spans="1:5" ht="36" customHeight="1">
      <c r="A67" s="1" t="s">
        <v>499</v>
      </c>
      <c r="B67" s="1" t="s">
        <v>1673</v>
      </c>
      <c r="C67" s="1" t="s">
        <v>1679</v>
      </c>
      <c r="D67" s="1" t="s">
        <v>1160</v>
      </c>
      <c r="E67" s="1" t="s">
        <v>1596</v>
      </c>
    </row>
    <row r="68" spans="1:5" ht="36" customHeight="1">
      <c r="A68" s="1" t="s">
        <v>499</v>
      </c>
      <c r="B68" s="1" t="s">
        <v>1673</v>
      </c>
      <c r="C68" s="1" t="s">
        <v>1680</v>
      </c>
      <c r="D68" s="1" t="s">
        <v>1681</v>
      </c>
      <c r="E68" s="1" t="s">
        <v>1596</v>
      </c>
    </row>
    <row r="69" spans="1:5" ht="36" customHeight="1">
      <c r="A69" s="1" t="s">
        <v>499</v>
      </c>
      <c r="B69" s="1" t="s">
        <v>1673</v>
      </c>
      <c r="C69" s="1" t="s">
        <v>1682</v>
      </c>
      <c r="D69" s="1" t="s">
        <v>1683</v>
      </c>
      <c r="E69" s="1" t="s">
        <v>1596</v>
      </c>
    </row>
    <row r="70" spans="1:5" ht="36" customHeight="1">
      <c r="A70" s="1" t="s">
        <v>499</v>
      </c>
      <c r="B70" s="1" t="s">
        <v>1673</v>
      </c>
      <c r="C70" s="1" t="s">
        <v>1684</v>
      </c>
      <c r="D70" s="1" t="s">
        <v>1685</v>
      </c>
      <c r="E70" s="1" t="s">
        <v>1596</v>
      </c>
    </row>
    <row r="71" spans="1:5" ht="36" customHeight="1">
      <c r="A71" s="1" t="s">
        <v>499</v>
      </c>
      <c r="B71" s="1" t="s">
        <v>1673</v>
      </c>
      <c r="C71" s="1" t="s">
        <v>1686</v>
      </c>
      <c r="D71" s="1" t="s">
        <v>1687</v>
      </c>
      <c r="E71" s="1" t="s">
        <v>1596</v>
      </c>
    </row>
    <row r="72" spans="1:5" ht="36" customHeight="1">
      <c r="A72" s="1" t="s">
        <v>499</v>
      </c>
      <c r="B72" s="1" t="s">
        <v>1673</v>
      </c>
      <c r="C72" s="1" t="s">
        <v>1607</v>
      </c>
      <c r="D72" s="1" t="s">
        <v>1091</v>
      </c>
      <c r="E72" s="1" t="s">
        <v>1596</v>
      </c>
    </row>
    <row r="73" spans="1:5" ht="36" customHeight="1">
      <c r="A73" s="1" t="s">
        <v>499</v>
      </c>
      <c r="B73" s="1" t="s">
        <v>1673</v>
      </c>
      <c r="C73" s="1" t="s">
        <v>1608</v>
      </c>
      <c r="D73" s="1" t="s">
        <v>1598</v>
      </c>
      <c r="E73" s="1" t="s">
        <v>1596</v>
      </c>
    </row>
    <row r="74" spans="1:5" ht="36" customHeight="1">
      <c r="A74" s="1" t="s">
        <v>499</v>
      </c>
      <c r="B74" s="1" t="s">
        <v>1673</v>
      </c>
      <c r="C74" s="1" t="s">
        <v>1609</v>
      </c>
      <c r="D74" s="1" t="s">
        <v>1688</v>
      </c>
      <c r="E74" s="1" t="s">
        <v>1596</v>
      </c>
    </row>
    <row r="75" spans="1:5" ht="36" customHeight="1">
      <c r="A75" s="1" t="s">
        <v>499</v>
      </c>
      <c r="B75" s="1" t="s">
        <v>1673</v>
      </c>
      <c r="C75" s="1" t="s">
        <v>1610</v>
      </c>
      <c r="D75" s="1" t="s">
        <v>1689</v>
      </c>
      <c r="E75" s="1" t="s">
        <v>1596</v>
      </c>
    </row>
    <row r="76" spans="1:5" ht="36" customHeight="1">
      <c r="A76" s="1" t="s">
        <v>499</v>
      </c>
      <c r="B76" s="1" t="s">
        <v>1673</v>
      </c>
      <c r="C76" s="1" t="s">
        <v>1612</v>
      </c>
      <c r="D76" s="1" t="s">
        <v>1690</v>
      </c>
      <c r="E76" s="1" t="s">
        <v>1596</v>
      </c>
    </row>
    <row r="77" spans="1:5" ht="36" customHeight="1">
      <c r="A77" s="1" t="s">
        <v>499</v>
      </c>
      <c r="B77" s="1" t="s">
        <v>1673</v>
      </c>
      <c r="C77" s="1" t="s">
        <v>1614</v>
      </c>
      <c r="D77" s="1" t="s">
        <v>1691</v>
      </c>
      <c r="E77" s="1" t="s">
        <v>1596</v>
      </c>
    </row>
    <row r="78" spans="1:5" ht="36" customHeight="1">
      <c r="A78" s="1" t="s">
        <v>499</v>
      </c>
      <c r="B78" s="1" t="s">
        <v>1673</v>
      </c>
      <c r="C78" s="1" t="s">
        <v>1623</v>
      </c>
      <c r="D78" s="1" t="s">
        <v>1692</v>
      </c>
      <c r="E78" s="1" t="s">
        <v>1596</v>
      </c>
    </row>
    <row r="79" spans="1:5" ht="96" customHeight="1">
      <c r="A79" s="1" t="s">
        <v>499</v>
      </c>
      <c r="B79" s="1" t="s">
        <v>1673</v>
      </c>
      <c r="C79" s="1" t="s">
        <v>1624</v>
      </c>
      <c r="D79" s="1" t="s">
        <v>1693</v>
      </c>
      <c r="E79" s="1" t="s">
        <v>1596</v>
      </c>
    </row>
    <row r="80" spans="1:5" ht="36" customHeight="1">
      <c r="A80" s="1" t="s">
        <v>499</v>
      </c>
      <c r="B80" s="1" t="s">
        <v>1673</v>
      </c>
      <c r="C80" s="1" t="s">
        <v>1649</v>
      </c>
      <c r="D80" s="1" t="s">
        <v>1694</v>
      </c>
      <c r="E80" s="1" t="s">
        <v>1596</v>
      </c>
    </row>
    <row r="81" spans="1:5" ht="80.099999999999994" customHeight="1">
      <c r="A81" s="1" t="s">
        <v>499</v>
      </c>
      <c r="B81" s="1" t="s">
        <v>1673</v>
      </c>
      <c r="C81" s="1" t="s">
        <v>1651</v>
      </c>
      <c r="D81" s="1" t="s">
        <v>1695</v>
      </c>
      <c r="E81" s="1" t="s">
        <v>1596</v>
      </c>
    </row>
    <row r="82" spans="1:5" ht="36" customHeight="1">
      <c r="A82" s="1" t="s">
        <v>499</v>
      </c>
      <c r="B82" s="1" t="s">
        <v>1673</v>
      </c>
      <c r="C82" s="1" t="s">
        <v>1696</v>
      </c>
      <c r="D82" s="1" t="s">
        <v>1618</v>
      </c>
      <c r="E82" s="1" t="s">
        <v>1596</v>
      </c>
    </row>
    <row r="83" spans="1:5" ht="36" customHeight="1">
      <c r="A83" s="1" t="s">
        <v>499</v>
      </c>
      <c r="B83" s="1" t="s">
        <v>1673</v>
      </c>
      <c r="C83" s="1" t="s">
        <v>1653</v>
      </c>
      <c r="D83" s="1" t="s">
        <v>1697</v>
      </c>
      <c r="E83" s="1" t="s">
        <v>1596</v>
      </c>
    </row>
    <row r="84" spans="1:5" ht="36" customHeight="1">
      <c r="A84" s="1" t="s">
        <v>499</v>
      </c>
      <c r="B84" s="1" t="s">
        <v>1673</v>
      </c>
      <c r="C84" s="1" t="s">
        <v>1655</v>
      </c>
      <c r="D84" s="1" t="s">
        <v>1698</v>
      </c>
      <c r="E84" s="1" t="s">
        <v>1596</v>
      </c>
    </row>
    <row r="85" spans="1:5" ht="36" customHeight="1">
      <c r="A85" s="1" t="s">
        <v>499</v>
      </c>
      <c r="B85" s="1" t="s">
        <v>1673</v>
      </c>
      <c r="C85" s="1" t="s">
        <v>1699</v>
      </c>
      <c r="D85" s="1" t="s">
        <v>1700</v>
      </c>
      <c r="E85" s="1" t="s">
        <v>1596</v>
      </c>
    </row>
    <row r="86" spans="1:5" ht="48" customHeight="1">
      <c r="A86" s="1" t="s">
        <v>499</v>
      </c>
      <c r="B86" s="1" t="s">
        <v>1673</v>
      </c>
      <c r="C86" s="1" t="s">
        <v>1701</v>
      </c>
      <c r="D86" s="1" t="s">
        <v>1702</v>
      </c>
      <c r="E86" s="1" t="s">
        <v>1596</v>
      </c>
    </row>
    <row r="87" spans="1:5" ht="36" customHeight="1">
      <c r="A87" s="1" t="s">
        <v>499</v>
      </c>
      <c r="B87" s="1" t="s">
        <v>1673</v>
      </c>
      <c r="C87" s="1" t="s">
        <v>1703</v>
      </c>
      <c r="D87" s="1" t="s">
        <v>1690</v>
      </c>
      <c r="E87" s="1" t="s">
        <v>1596</v>
      </c>
    </row>
    <row r="88" spans="1:5" ht="36" customHeight="1">
      <c r="A88" s="1" t="s">
        <v>499</v>
      </c>
      <c r="B88" s="1" t="s">
        <v>1673</v>
      </c>
      <c r="C88" s="1" t="s">
        <v>1704</v>
      </c>
      <c r="D88" s="1" t="s">
        <v>1691</v>
      </c>
      <c r="E88" s="1" t="s">
        <v>1596</v>
      </c>
    </row>
    <row r="89" spans="1:5" ht="36" customHeight="1">
      <c r="A89" s="1" t="s">
        <v>499</v>
      </c>
      <c r="B89" s="1" t="s">
        <v>1673</v>
      </c>
      <c r="C89" s="1" t="s">
        <v>1667</v>
      </c>
      <c r="D89" s="1" t="s">
        <v>1705</v>
      </c>
      <c r="E89" s="1" t="s">
        <v>1596</v>
      </c>
    </row>
    <row r="90" spans="1:5" ht="48" customHeight="1">
      <c r="A90" s="1" t="s">
        <v>499</v>
      </c>
      <c r="B90" s="1" t="s">
        <v>1673</v>
      </c>
      <c r="C90" s="1" t="s">
        <v>1706</v>
      </c>
      <c r="D90" s="1" t="s">
        <v>1707</v>
      </c>
      <c r="E90" s="1" t="s">
        <v>1596</v>
      </c>
    </row>
    <row r="91" spans="1:5" ht="36" customHeight="1">
      <c r="A91" s="1" t="s">
        <v>499</v>
      </c>
      <c r="B91" s="1" t="s">
        <v>1673</v>
      </c>
      <c r="C91" s="1" t="s">
        <v>1708</v>
      </c>
      <c r="D91" s="1" t="s">
        <v>1709</v>
      </c>
      <c r="E91" s="1" t="s">
        <v>1596</v>
      </c>
    </row>
    <row r="92" spans="1:5" ht="36" customHeight="1">
      <c r="A92" s="1" t="s">
        <v>499</v>
      </c>
      <c r="B92" s="1" t="s">
        <v>1673</v>
      </c>
      <c r="C92" s="1" t="s">
        <v>1710</v>
      </c>
      <c r="D92" s="1" t="s">
        <v>1691</v>
      </c>
      <c r="E92" s="1" t="s">
        <v>1596</v>
      </c>
    </row>
    <row r="93" spans="1:5" ht="36" customHeight="1">
      <c r="A93" s="1" t="s">
        <v>499</v>
      </c>
      <c r="B93" s="1" t="s">
        <v>1673</v>
      </c>
      <c r="C93" s="1" t="s">
        <v>1711</v>
      </c>
      <c r="D93" s="1" t="s">
        <v>1668</v>
      </c>
      <c r="E93" s="1" t="s">
        <v>1596</v>
      </c>
    </row>
    <row r="94" spans="1:5" ht="36" customHeight="1">
      <c r="A94" s="1" t="s">
        <v>499</v>
      </c>
      <c r="B94" s="1" t="s">
        <v>1673</v>
      </c>
      <c r="C94" s="1" t="s">
        <v>1712</v>
      </c>
      <c r="D94" s="1" t="s">
        <v>1670</v>
      </c>
      <c r="E94" s="1" t="s">
        <v>1596</v>
      </c>
    </row>
    <row r="95" spans="1:5" ht="36" customHeight="1">
      <c r="A95" s="1" t="s">
        <v>499</v>
      </c>
      <c r="B95" s="1" t="s">
        <v>1673</v>
      </c>
      <c r="C95" s="1" t="s">
        <v>1713</v>
      </c>
      <c r="D95" s="1" t="s">
        <v>1672</v>
      </c>
      <c r="E95" s="1" t="s">
        <v>1596</v>
      </c>
    </row>
    <row r="96" spans="1:5" ht="36" customHeight="1">
      <c r="A96" s="1" t="s">
        <v>499</v>
      </c>
      <c r="B96" s="1" t="s">
        <v>1714</v>
      </c>
      <c r="C96" s="1" t="s">
        <v>1594</v>
      </c>
      <c r="D96" s="1" t="s">
        <v>1674</v>
      </c>
      <c r="E96" s="1" t="s">
        <v>1596</v>
      </c>
    </row>
    <row r="97" spans="1:5" ht="36" customHeight="1">
      <c r="A97" s="1" t="s">
        <v>499</v>
      </c>
      <c r="B97" s="1" t="s">
        <v>1714</v>
      </c>
      <c r="C97" s="1" t="s">
        <v>1597</v>
      </c>
      <c r="D97" s="1" t="s">
        <v>1598</v>
      </c>
      <c r="E97" s="1" t="s">
        <v>1596</v>
      </c>
    </row>
    <row r="98" spans="1:5" ht="36" customHeight="1">
      <c r="A98" s="1" t="s">
        <v>499</v>
      </c>
      <c r="B98" s="1" t="s">
        <v>1714</v>
      </c>
      <c r="C98" s="1" t="s">
        <v>1599</v>
      </c>
      <c r="D98" s="1" t="s">
        <v>1600</v>
      </c>
      <c r="E98" s="1" t="s">
        <v>1596</v>
      </c>
    </row>
    <row r="99" spans="1:5" ht="36" customHeight="1">
      <c r="A99" s="1" t="s">
        <v>499</v>
      </c>
      <c r="B99" s="1" t="s">
        <v>1714</v>
      </c>
      <c r="C99" s="1" t="s">
        <v>1601</v>
      </c>
      <c r="D99" s="1" t="s">
        <v>1602</v>
      </c>
      <c r="E99" s="1" t="s">
        <v>1596</v>
      </c>
    </row>
    <row r="100" spans="1:5" ht="36" customHeight="1">
      <c r="A100" s="1" t="s">
        <v>499</v>
      </c>
      <c r="B100" s="1" t="s">
        <v>1714</v>
      </c>
      <c r="C100" s="1" t="s">
        <v>1603</v>
      </c>
      <c r="D100" s="1" t="s">
        <v>1715</v>
      </c>
      <c r="E100" s="1" t="s">
        <v>1596</v>
      </c>
    </row>
    <row r="101" spans="1:5" ht="36" customHeight="1">
      <c r="A101" s="1" t="s">
        <v>499</v>
      </c>
      <c r="B101" s="1" t="s">
        <v>1714</v>
      </c>
      <c r="C101" s="1" t="s">
        <v>1605</v>
      </c>
      <c r="D101" s="1" t="s">
        <v>1676</v>
      </c>
      <c r="E101" s="1" t="s">
        <v>1596</v>
      </c>
    </row>
    <row r="102" spans="1:5" ht="36" customHeight="1">
      <c r="A102" s="1" t="s">
        <v>499</v>
      </c>
      <c r="B102" s="1" t="s">
        <v>1714</v>
      </c>
      <c r="C102" s="1" t="s">
        <v>1677</v>
      </c>
      <c r="D102" s="1" t="s">
        <v>1678</v>
      </c>
      <c r="E102" s="1" t="s">
        <v>1596</v>
      </c>
    </row>
    <row r="103" spans="1:5" ht="36" customHeight="1">
      <c r="A103" s="1" t="s">
        <v>499</v>
      </c>
      <c r="B103" s="1" t="s">
        <v>1714</v>
      </c>
      <c r="C103" s="1" t="s">
        <v>1679</v>
      </c>
      <c r="D103" s="1" t="s">
        <v>1160</v>
      </c>
      <c r="E103" s="1" t="s">
        <v>1596</v>
      </c>
    </row>
    <row r="104" spans="1:5" ht="36" customHeight="1">
      <c r="A104" s="1" t="s">
        <v>499</v>
      </c>
      <c r="B104" s="1" t="s">
        <v>1714</v>
      </c>
      <c r="C104" s="1" t="s">
        <v>1680</v>
      </c>
      <c r="D104" s="1" t="s">
        <v>1681</v>
      </c>
      <c r="E104" s="1" t="s">
        <v>1596</v>
      </c>
    </row>
    <row r="105" spans="1:5" ht="36" customHeight="1">
      <c r="A105" s="1" t="s">
        <v>499</v>
      </c>
      <c r="B105" s="1" t="s">
        <v>1714</v>
      </c>
      <c r="C105" s="1" t="s">
        <v>1682</v>
      </c>
      <c r="D105" s="1" t="s">
        <v>1683</v>
      </c>
      <c r="E105" s="1" t="s">
        <v>1596</v>
      </c>
    </row>
    <row r="106" spans="1:5" ht="36" customHeight="1">
      <c r="A106" s="1" t="s">
        <v>499</v>
      </c>
      <c r="B106" s="1" t="s">
        <v>1714</v>
      </c>
      <c r="C106" s="1" t="s">
        <v>1684</v>
      </c>
      <c r="D106" s="1" t="s">
        <v>1685</v>
      </c>
      <c r="E106" s="1" t="s">
        <v>1596</v>
      </c>
    </row>
    <row r="107" spans="1:5" ht="36" customHeight="1">
      <c r="A107" s="1" t="s">
        <v>499</v>
      </c>
      <c r="B107" s="1" t="s">
        <v>1714</v>
      </c>
      <c r="C107" s="1" t="s">
        <v>1686</v>
      </c>
      <c r="D107" s="1" t="s">
        <v>1687</v>
      </c>
      <c r="E107" s="1" t="s">
        <v>1596</v>
      </c>
    </row>
    <row r="108" spans="1:5" ht="36" customHeight="1">
      <c r="A108" s="1" t="s">
        <v>499</v>
      </c>
      <c r="B108" s="1" t="s">
        <v>1714</v>
      </c>
      <c r="C108" s="1" t="s">
        <v>1607</v>
      </c>
      <c r="D108" s="1" t="s">
        <v>1091</v>
      </c>
      <c r="E108" s="1" t="s">
        <v>1596</v>
      </c>
    </row>
    <row r="109" spans="1:5" ht="36" customHeight="1">
      <c r="A109" s="1" t="s">
        <v>499</v>
      </c>
      <c r="B109" s="1" t="s">
        <v>1714</v>
      </c>
      <c r="C109" s="1" t="s">
        <v>1608</v>
      </c>
      <c r="D109" s="1" t="s">
        <v>1598</v>
      </c>
      <c r="E109" s="1" t="s">
        <v>1596</v>
      </c>
    </row>
    <row r="110" spans="1:5" ht="36" customHeight="1">
      <c r="A110" s="1" t="s">
        <v>499</v>
      </c>
      <c r="B110" s="1" t="s">
        <v>1714</v>
      </c>
      <c r="C110" s="1" t="s">
        <v>1609</v>
      </c>
      <c r="D110" s="1" t="s">
        <v>1716</v>
      </c>
      <c r="E110" s="1" t="s">
        <v>1596</v>
      </c>
    </row>
    <row r="111" spans="1:5" ht="36" customHeight="1">
      <c r="A111" s="1" t="s">
        <v>499</v>
      </c>
      <c r="B111" s="1" t="s">
        <v>1714</v>
      </c>
      <c r="C111" s="1" t="s">
        <v>1717</v>
      </c>
      <c r="D111" s="1" t="s">
        <v>1718</v>
      </c>
      <c r="E111" s="1" t="s">
        <v>1596</v>
      </c>
    </row>
    <row r="112" spans="1:5" ht="36" customHeight="1">
      <c r="A112" s="1" t="s">
        <v>499</v>
      </c>
      <c r="B112" s="1" t="s">
        <v>1714</v>
      </c>
      <c r="C112" s="1" t="s">
        <v>1610</v>
      </c>
      <c r="D112" s="1" t="s">
        <v>1719</v>
      </c>
      <c r="E112" s="1" t="s">
        <v>1596</v>
      </c>
    </row>
    <row r="113" spans="1:5" ht="36" customHeight="1">
      <c r="A113" s="1" t="s">
        <v>499</v>
      </c>
      <c r="B113" s="1" t="s">
        <v>1714</v>
      </c>
      <c r="C113" s="1" t="s">
        <v>1720</v>
      </c>
      <c r="D113" s="1" t="s">
        <v>1721</v>
      </c>
      <c r="E113" s="1" t="s">
        <v>1596</v>
      </c>
    </row>
    <row r="114" spans="1:5" ht="36" customHeight="1">
      <c r="A114" s="1" t="s">
        <v>499</v>
      </c>
      <c r="B114" s="1" t="s">
        <v>1714</v>
      </c>
      <c r="C114" s="1" t="s">
        <v>1612</v>
      </c>
      <c r="D114" s="1" t="s">
        <v>1690</v>
      </c>
      <c r="E114" s="1" t="s">
        <v>1596</v>
      </c>
    </row>
    <row r="115" spans="1:5" ht="36" customHeight="1">
      <c r="A115" s="1" t="s">
        <v>499</v>
      </c>
      <c r="B115" s="1" t="s">
        <v>1714</v>
      </c>
      <c r="C115" s="1" t="s">
        <v>1614</v>
      </c>
      <c r="D115" s="1" t="s">
        <v>1622</v>
      </c>
      <c r="E115" s="1" t="s">
        <v>1596</v>
      </c>
    </row>
    <row r="116" spans="1:5" ht="36" customHeight="1">
      <c r="A116" s="1" t="s">
        <v>499</v>
      </c>
      <c r="B116" s="1" t="s">
        <v>1714</v>
      </c>
      <c r="C116" s="1" t="s">
        <v>1722</v>
      </c>
      <c r="D116" s="1" t="s">
        <v>1723</v>
      </c>
      <c r="E116" s="1" t="s">
        <v>1596</v>
      </c>
    </row>
    <row r="117" spans="1:5" ht="36" customHeight="1">
      <c r="A117" s="1" t="s">
        <v>499</v>
      </c>
      <c r="B117" s="1" t="s">
        <v>1714</v>
      </c>
      <c r="C117" s="1" t="s">
        <v>1724</v>
      </c>
      <c r="D117" s="1" t="s">
        <v>1725</v>
      </c>
      <c r="E117" s="1" t="s">
        <v>1596</v>
      </c>
    </row>
    <row r="118" spans="1:5" ht="36" customHeight="1">
      <c r="A118" s="1" t="s">
        <v>499</v>
      </c>
      <c r="B118" s="1" t="s">
        <v>1714</v>
      </c>
      <c r="C118" s="1" t="s">
        <v>1726</v>
      </c>
      <c r="D118" s="1" t="s">
        <v>1727</v>
      </c>
      <c r="E118" s="1" t="s">
        <v>1596</v>
      </c>
    </row>
    <row r="119" spans="1:5" ht="36" customHeight="1">
      <c r="A119" s="1" t="s">
        <v>499</v>
      </c>
      <c r="B119" s="1" t="s">
        <v>1714</v>
      </c>
      <c r="C119" s="1" t="s">
        <v>1728</v>
      </c>
      <c r="D119" s="1" t="s">
        <v>1729</v>
      </c>
      <c r="E119" s="1" t="s">
        <v>1596</v>
      </c>
    </row>
    <row r="120" spans="1:5" ht="36" customHeight="1">
      <c r="A120" s="1" t="s">
        <v>499</v>
      </c>
      <c r="B120" s="1" t="s">
        <v>1714</v>
      </c>
      <c r="C120" s="1" t="s">
        <v>1730</v>
      </c>
      <c r="D120" s="1" t="s">
        <v>1731</v>
      </c>
      <c r="E120" s="1" t="s">
        <v>1596</v>
      </c>
    </row>
    <row r="121" spans="1:5" ht="48" customHeight="1">
      <c r="A121" s="1" t="s">
        <v>499</v>
      </c>
      <c r="B121" s="1" t="s">
        <v>1714</v>
      </c>
      <c r="C121" s="1" t="s">
        <v>1732</v>
      </c>
      <c r="D121" s="1" t="s">
        <v>1733</v>
      </c>
      <c r="E121" s="1" t="s">
        <v>1596</v>
      </c>
    </row>
    <row r="122" spans="1:5" ht="36" customHeight="1">
      <c r="A122" s="1" t="s">
        <v>499</v>
      </c>
      <c r="B122" s="1" t="s">
        <v>1714</v>
      </c>
      <c r="C122" s="1" t="s">
        <v>1734</v>
      </c>
      <c r="D122" s="1" t="s">
        <v>1735</v>
      </c>
      <c r="E122" s="1" t="s">
        <v>1596</v>
      </c>
    </row>
    <row r="123" spans="1:5" ht="36" customHeight="1">
      <c r="A123" s="1" t="s">
        <v>499</v>
      </c>
      <c r="B123" s="1" t="s">
        <v>1714</v>
      </c>
      <c r="C123" s="1" t="s">
        <v>1706</v>
      </c>
      <c r="D123" s="1" t="s">
        <v>1736</v>
      </c>
      <c r="E123" s="1" t="s">
        <v>1596</v>
      </c>
    </row>
    <row r="124" spans="1:5" ht="36" customHeight="1">
      <c r="A124" s="1" t="s">
        <v>499</v>
      </c>
      <c r="B124" s="1" t="s">
        <v>1714</v>
      </c>
      <c r="C124" s="1" t="s">
        <v>1737</v>
      </c>
      <c r="D124" s="1" t="s">
        <v>1738</v>
      </c>
      <c r="E124" s="1" t="s">
        <v>1596</v>
      </c>
    </row>
    <row r="125" spans="1:5" ht="36" customHeight="1">
      <c r="A125" s="1" t="s">
        <v>499</v>
      </c>
      <c r="B125" s="1" t="s">
        <v>1714</v>
      </c>
      <c r="C125" s="1" t="s">
        <v>1739</v>
      </c>
      <c r="D125" s="1" t="s">
        <v>1740</v>
      </c>
      <c r="E125" s="1" t="s">
        <v>1596</v>
      </c>
    </row>
    <row r="126" spans="1:5" ht="36" customHeight="1">
      <c r="A126" s="1" t="s">
        <v>499</v>
      </c>
      <c r="B126" s="1" t="s">
        <v>1714</v>
      </c>
      <c r="C126" s="1" t="s">
        <v>1711</v>
      </c>
      <c r="D126" s="1" t="s">
        <v>519</v>
      </c>
      <c r="E126" s="1" t="s">
        <v>1596</v>
      </c>
    </row>
    <row r="127" spans="1:5" ht="48" customHeight="1">
      <c r="A127" s="1" t="s">
        <v>499</v>
      </c>
      <c r="B127" s="1" t="s">
        <v>1714</v>
      </c>
      <c r="C127" s="1" t="s">
        <v>1741</v>
      </c>
      <c r="D127" s="1" t="s">
        <v>1742</v>
      </c>
      <c r="E127" s="1" t="s">
        <v>1596</v>
      </c>
    </row>
    <row r="128" spans="1:5" ht="36" customHeight="1">
      <c r="A128" s="1" t="s">
        <v>499</v>
      </c>
      <c r="B128" s="1" t="s">
        <v>1714</v>
      </c>
      <c r="C128" s="1" t="s">
        <v>1743</v>
      </c>
      <c r="D128" s="1" t="s">
        <v>1744</v>
      </c>
      <c r="E128" s="1" t="s">
        <v>1596</v>
      </c>
    </row>
    <row r="129" spans="1:5" ht="36" customHeight="1">
      <c r="A129" s="1" t="s">
        <v>499</v>
      </c>
      <c r="B129" s="1" t="s">
        <v>1714</v>
      </c>
      <c r="C129" s="1" t="s">
        <v>1745</v>
      </c>
      <c r="D129" s="1" t="s">
        <v>207</v>
      </c>
      <c r="E129" s="1" t="s">
        <v>1596</v>
      </c>
    </row>
    <row r="130" spans="1:5" ht="36" customHeight="1">
      <c r="A130" s="1" t="s">
        <v>499</v>
      </c>
      <c r="B130" s="1" t="s">
        <v>1714</v>
      </c>
      <c r="C130" s="1" t="s">
        <v>1746</v>
      </c>
      <c r="D130" s="1" t="s">
        <v>1747</v>
      </c>
      <c r="E130" s="1" t="s">
        <v>1596</v>
      </c>
    </row>
    <row r="131" spans="1:5" ht="80.099999999999994" customHeight="1">
      <c r="A131" s="1" t="s">
        <v>499</v>
      </c>
      <c r="B131" s="1" t="s">
        <v>1714</v>
      </c>
      <c r="C131" s="1" t="s">
        <v>1748</v>
      </c>
      <c r="D131" s="1" t="s">
        <v>1749</v>
      </c>
      <c r="E131" s="1" t="s">
        <v>1596</v>
      </c>
    </row>
    <row r="132" spans="1:5" ht="36" customHeight="1">
      <c r="A132" s="1" t="s">
        <v>499</v>
      </c>
      <c r="B132" s="1" t="s">
        <v>1714</v>
      </c>
      <c r="C132" s="1" t="s">
        <v>1750</v>
      </c>
      <c r="D132" s="1" t="s">
        <v>1751</v>
      </c>
      <c r="E132" s="1" t="s">
        <v>1596</v>
      </c>
    </row>
    <row r="133" spans="1:5" ht="36" customHeight="1">
      <c r="A133" s="1" t="s">
        <v>499</v>
      </c>
      <c r="B133" s="1" t="s">
        <v>1714</v>
      </c>
      <c r="C133" s="1" t="s">
        <v>1752</v>
      </c>
      <c r="D133" s="1" t="s">
        <v>1622</v>
      </c>
      <c r="E133" s="1" t="s">
        <v>1596</v>
      </c>
    </row>
    <row r="134" spans="1:5" ht="36" customHeight="1">
      <c r="A134" s="1" t="s">
        <v>499</v>
      </c>
      <c r="B134" s="1" t="s">
        <v>1714</v>
      </c>
      <c r="C134" s="1" t="s">
        <v>1753</v>
      </c>
      <c r="D134" s="1" t="s">
        <v>1754</v>
      </c>
      <c r="E134" s="1" t="s">
        <v>1596</v>
      </c>
    </row>
    <row r="135" spans="1:5" ht="36" customHeight="1">
      <c r="A135" s="1" t="s">
        <v>499</v>
      </c>
      <c r="B135" s="1" t="s">
        <v>1714</v>
      </c>
      <c r="C135" s="1" t="s">
        <v>1755</v>
      </c>
      <c r="D135" s="1" t="s">
        <v>1756</v>
      </c>
      <c r="E135" s="1" t="s">
        <v>1596</v>
      </c>
    </row>
    <row r="136" spans="1:5" ht="36" customHeight="1">
      <c r="A136" s="1" t="s">
        <v>499</v>
      </c>
      <c r="B136" s="1" t="s">
        <v>1714</v>
      </c>
      <c r="C136" s="1" t="s">
        <v>1757</v>
      </c>
      <c r="D136" s="1" t="s">
        <v>1758</v>
      </c>
      <c r="E136" s="1" t="s">
        <v>1596</v>
      </c>
    </row>
    <row r="137" spans="1:5" ht="36" customHeight="1">
      <c r="A137" s="1" t="s">
        <v>499</v>
      </c>
      <c r="B137" s="1" t="s">
        <v>1714</v>
      </c>
      <c r="C137" s="1" t="s">
        <v>1759</v>
      </c>
      <c r="D137" s="1" t="s">
        <v>1674</v>
      </c>
      <c r="E137" s="1" t="s">
        <v>1596</v>
      </c>
    </row>
    <row r="138" spans="1:5" ht="36" customHeight="1">
      <c r="A138" s="1" t="s">
        <v>499</v>
      </c>
      <c r="B138" s="1" t="s">
        <v>1714</v>
      </c>
      <c r="C138" s="1" t="s">
        <v>1760</v>
      </c>
      <c r="D138" s="1" t="s">
        <v>1598</v>
      </c>
      <c r="E138" s="1" t="s">
        <v>1596</v>
      </c>
    </row>
    <row r="139" spans="1:5" ht="36" customHeight="1">
      <c r="A139" s="1" t="s">
        <v>499</v>
      </c>
      <c r="B139" s="1" t="s">
        <v>1714</v>
      </c>
      <c r="C139" s="1" t="s">
        <v>1761</v>
      </c>
      <c r="D139" s="1" t="s">
        <v>1600</v>
      </c>
      <c r="E139" s="1" t="s">
        <v>1596</v>
      </c>
    </row>
    <row r="140" spans="1:5" ht="36" customHeight="1">
      <c r="A140" s="1" t="s">
        <v>499</v>
      </c>
      <c r="B140" s="1" t="s">
        <v>1714</v>
      </c>
      <c r="C140" s="1" t="s">
        <v>1762</v>
      </c>
      <c r="D140" s="1" t="s">
        <v>1602</v>
      </c>
      <c r="E140" s="1" t="s">
        <v>1596</v>
      </c>
    </row>
    <row r="141" spans="1:5" ht="36" customHeight="1">
      <c r="A141" s="1" t="s">
        <v>499</v>
      </c>
      <c r="B141" s="1" t="s">
        <v>1714</v>
      </c>
      <c r="C141" s="1" t="s">
        <v>1763</v>
      </c>
      <c r="D141" s="1" t="s">
        <v>1764</v>
      </c>
      <c r="E141" s="1" t="s">
        <v>1596</v>
      </c>
    </row>
    <row r="142" spans="1:5" ht="36" customHeight="1">
      <c r="A142" s="1" t="s">
        <v>499</v>
      </c>
      <c r="B142" s="1" t="s">
        <v>1714</v>
      </c>
      <c r="C142" s="1" t="s">
        <v>1765</v>
      </c>
      <c r="D142" s="1" t="s">
        <v>1676</v>
      </c>
      <c r="E142" s="1" t="s">
        <v>1596</v>
      </c>
    </row>
    <row r="143" spans="1:5" ht="36" customHeight="1">
      <c r="A143" s="1" t="s">
        <v>499</v>
      </c>
      <c r="B143" s="1" t="s">
        <v>1714</v>
      </c>
      <c r="C143" s="1" t="s">
        <v>1766</v>
      </c>
      <c r="D143" s="1" t="s">
        <v>1678</v>
      </c>
      <c r="E143" s="1" t="s">
        <v>1596</v>
      </c>
    </row>
    <row r="144" spans="1:5" ht="36" customHeight="1">
      <c r="A144" s="1" t="s">
        <v>499</v>
      </c>
      <c r="B144" s="1" t="s">
        <v>1714</v>
      </c>
      <c r="C144" s="1" t="s">
        <v>1767</v>
      </c>
      <c r="D144" s="1" t="s">
        <v>1160</v>
      </c>
      <c r="E144" s="1" t="s">
        <v>1596</v>
      </c>
    </row>
    <row r="145" spans="1:5" ht="36" customHeight="1">
      <c r="A145" s="1" t="s">
        <v>499</v>
      </c>
      <c r="B145" s="1" t="s">
        <v>1714</v>
      </c>
      <c r="C145" s="1" t="s">
        <v>1768</v>
      </c>
      <c r="D145" s="1" t="s">
        <v>1681</v>
      </c>
      <c r="E145" s="1" t="s">
        <v>1596</v>
      </c>
    </row>
    <row r="146" spans="1:5" ht="36" customHeight="1">
      <c r="A146" s="1" t="s">
        <v>499</v>
      </c>
      <c r="B146" s="1" t="s">
        <v>1714</v>
      </c>
      <c r="C146" s="1" t="s">
        <v>1769</v>
      </c>
      <c r="D146" s="1" t="s">
        <v>1683</v>
      </c>
      <c r="E146" s="1" t="s">
        <v>1596</v>
      </c>
    </row>
    <row r="147" spans="1:5" ht="36" customHeight="1">
      <c r="A147" s="1" t="s">
        <v>499</v>
      </c>
      <c r="B147" s="1" t="s">
        <v>1714</v>
      </c>
      <c r="C147" s="1" t="s">
        <v>1770</v>
      </c>
      <c r="D147" s="1" t="s">
        <v>1685</v>
      </c>
      <c r="E147" s="1" t="s">
        <v>1596</v>
      </c>
    </row>
    <row r="148" spans="1:5" ht="36" customHeight="1">
      <c r="A148" s="1" t="s">
        <v>499</v>
      </c>
      <c r="B148" s="1" t="s">
        <v>1714</v>
      </c>
      <c r="C148" s="1" t="s">
        <v>1771</v>
      </c>
      <c r="D148" s="1" t="s">
        <v>1687</v>
      </c>
      <c r="E148" s="1" t="s">
        <v>1596</v>
      </c>
    </row>
    <row r="149" spans="1:5" ht="36" customHeight="1">
      <c r="A149" s="1" t="s">
        <v>499</v>
      </c>
      <c r="B149" s="1" t="s">
        <v>1714</v>
      </c>
      <c r="C149" s="1" t="s">
        <v>1772</v>
      </c>
      <c r="D149" s="1" t="s">
        <v>1091</v>
      </c>
      <c r="E149" s="1" t="s">
        <v>1596</v>
      </c>
    </row>
    <row r="150" spans="1:5" ht="36" customHeight="1">
      <c r="A150" s="1" t="s">
        <v>499</v>
      </c>
      <c r="B150" s="1" t="s">
        <v>1714</v>
      </c>
      <c r="C150" s="1" t="s">
        <v>1773</v>
      </c>
      <c r="D150" s="1" t="s">
        <v>1598</v>
      </c>
      <c r="E150" s="1" t="s">
        <v>1596</v>
      </c>
    </row>
    <row r="151" spans="1:5" ht="36" customHeight="1">
      <c r="A151" s="1" t="s">
        <v>499</v>
      </c>
      <c r="B151" s="1" t="s">
        <v>1714</v>
      </c>
      <c r="C151" s="1" t="s">
        <v>1774</v>
      </c>
      <c r="D151" s="1" t="s">
        <v>1775</v>
      </c>
      <c r="E151" s="1" t="s">
        <v>1596</v>
      </c>
    </row>
    <row r="152" spans="1:5" ht="48" customHeight="1">
      <c r="A152" s="1" t="s">
        <v>499</v>
      </c>
      <c r="B152" s="1" t="s">
        <v>1714</v>
      </c>
      <c r="C152" s="1" t="s">
        <v>1776</v>
      </c>
      <c r="D152" s="1" t="s">
        <v>1777</v>
      </c>
      <c r="E152" s="1" t="s">
        <v>1596</v>
      </c>
    </row>
    <row r="153" spans="1:5" ht="36" customHeight="1">
      <c r="A153" s="1" t="s">
        <v>499</v>
      </c>
      <c r="B153" s="1" t="s">
        <v>1714</v>
      </c>
      <c r="C153" s="1" t="s">
        <v>1778</v>
      </c>
      <c r="D153" s="1" t="s">
        <v>1622</v>
      </c>
      <c r="E153" s="1" t="s">
        <v>1596</v>
      </c>
    </row>
    <row r="154" spans="1:5" ht="36" customHeight="1">
      <c r="A154" s="1" t="s">
        <v>499</v>
      </c>
      <c r="B154" s="1" t="s">
        <v>1714</v>
      </c>
      <c r="C154" s="1" t="s">
        <v>1779</v>
      </c>
      <c r="D154" s="1" t="s">
        <v>1668</v>
      </c>
      <c r="E154" s="1" t="s">
        <v>1596</v>
      </c>
    </row>
    <row r="155" spans="1:5" ht="36" customHeight="1">
      <c r="A155" s="1" t="s">
        <v>499</v>
      </c>
      <c r="B155" s="1" t="s">
        <v>1714</v>
      </c>
      <c r="C155" s="1" t="s">
        <v>1780</v>
      </c>
      <c r="D155" s="1" t="s">
        <v>1670</v>
      </c>
      <c r="E155" s="1" t="s">
        <v>1596</v>
      </c>
    </row>
    <row r="156" spans="1:5" ht="36" customHeight="1">
      <c r="A156" s="1" t="s">
        <v>499</v>
      </c>
      <c r="B156" s="1" t="s">
        <v>1714</v>
      </c>
      <c r="C156" s="1" t="s">
        <v>1781</v>
      </c>
      <c r="D156" s="1" t="s">
        <v>1672</v>
      </c>
      <c r="E156" s="1" t="s">
        <v>1596</v>
      </c>
    </row>
    <row r="157" spans="1:5" ht="36" customHeight="1">
      <c r="A157" s="1" t="s">
        <v>499</v>
      </c>
      <c r="B157" s="1" t="s">
        <v>1782</v>
      </c>
      <c r="C157" s="1" t="s">
        <v>1594</v>
      </c>
      <c r="D157" s="1" t="s">
        <v>1674</v>
      </c>
      <c r="E157" s="1" t="s">
        <v>1596</v>
      </c>
    </row>
    <row r="158" spans="1:5" ht="36" customHeight="1">
      <c r="A158" s="1" t="s">
        <v>499</v>
      </c>
      <c r="B158" s="1" t="s">
        <v>1782</v>
      </c>
      <c r="C158" s="1" t="s">
        <v>1597</v>
      </c>
      <c r="D158" s="1" t="s">
        <v>1598</v>
      </c>
      <c r="E158" s="1" t="s">
        <v>1596</v>
      </c>
    </row>
    <row r="159" spans="1:5" ht="36" customHeight="1">
      <c r="A159" s="1" t="s">
        <v>499</v>
      </c>
      <c r="B159" s="1" t="s">
        <v>1782</v>
      </c>
      <c r="C159" s="1" t="s">
        <v>1599</v>
      </c>
      <c r="D159" s="1" t="s">
        <v>1600</v>
      </c>
      <c r="E159" s="1" t="s">
        <v>1596</v>
      </c>
    </row>
    <row r="160" spans="1:5" ht="36" customHeight="1">
      <c r="A160" s="1" t="s">
        <v>499</v>
      </c>
      <c r="B160" s="1" t="s">
        <v>1782</v>
      </c>
      <c r="C160" s="1" t="s">
        <v>1601</v>
      </c>
      <c r="D160" s="1" t="s">
        <v>1602</v>
      </c>
      <c r="E160" s="1" t="s">
        <v>1596</v>
      </c>
    </row>
    <row r="161" spans="1:5" ht="36" customHeight="1">
      <c r="A161" s="1" t="s">
        <v>499</v>
      </c>
      <c r="B161" s="1" t="s">
        <v>1782</v>
      </c>
      <c r="C161" s="1" t="s">
        <v>1603</v>
      </c>
      <c r="D161" s="1" t="s">
        <v>1782</v>
      </c>
      <c r="E161" s="1" t="s">
        <v>1596</v>
      </c>
    </row>
    <row r="162" spans="1:5" ht="36" customHeight="1">
      <c r="A162" s="1" t="s">
        <v>499</v>
      </c>
      <c r="B162" s="1" t="s">
        <v>1782</v>
      </c>
      <c r="C162" s="1" t="s">
        <v>1605</v>
      </c>
      <c r="D162" s="1" t="s">
        <v>1676</v>
      </c>
      <c r="E162" s="1" t="s">
        <v>1596</v>
      </c>
    </row>
    <row r="163" spans="1:5" ht="36" customHeight="1">
      <c r="A163" s="1" t="s">
        <v>499</v>
      </c>
      <c r="B163" s="1" t="s">
        <v>1782</v>
      </c>
      <c r="C163" s="1" t="s">
        <v>1677</v>
      </c>
      <c r="D163" s="1" t="s">
        <v>1678</v>
      </c>
      <c r="E163" s="1" t="s">
        <v>1596</v>
      </c>
    </row>
    <row r="164" spans="1:5" ht="36" customHeight="1">
      <c r="A164" s="1" t="s">
        <v>499</v>
      </c>
      <c r="B164" s="1" t="s">
        <v>1782</v>
      </c>
      <c r="C164" s="1" t="s">
        <v>1679</v>
      </c>
      <c r="D164" s="1" t="s">
        <v>1160</v>
      </c>
      <c r="E164" s="1" t="s">
        <v>1596</v>
      </c>
    </row>
    <row r="165" spans="1:5" ht="36" customHeight="1">
      <c r="A165" s="1" t="s">
        <v>499</v>
      </c>
      <c r="B165" s="1" t="s">
        <v>1782</v>
      </c>
      <c r="C165" s="1" t="s">
        <v>1680</v>
      </c>
      <c r="D165" s="1" t="s">
        <v>1681</v>
      </c>
      <c r="E165" s="1" t="s">
        <v>1596</v>
      </c>
    </row>
    <row r="166" spans="1:5" ht="36" customHeight="1">
      <c r="A166" s="1" t="s">
        <v>499</v>
      </c>
      <c r="B166" s="1" t="s">
        <v>1782</v>
      </c>
      <c r="C166" s="1" t="s">
        <v>1682</v>
      </c>
      <c r="D166" s="1" t="s">
        <v>1683</v>
      </c>
      <c r="E166" s="1" t="s">
        <v>1596</v>
      </c>
    </row>
    <row r="167" spans="1:5" ht="36" customHeight="1">
      <c r="A167" s="1" t="s">
        <v>499</v>
      </c>
      <c r="B167" s="1" t="s">
        <v>1782</v>
      </c>
      <c r="C167" s="1" t="s">
        <v>1684</v>
      </c>
      <c r="D167" s="1" t="s">
        <v>1685</v>
      </c>
      <c r="E167" s="1" t="s">
        <v>1596</v>
      </c>
    </row>
    <row r="168" spans="1:5" ht="36" customHeight="1">
      <c r="A168" s="1" t="s">
        <v>499</v>
      </c>
      <c r="B168" s="1" t="s">
        <v>1782</v>
      </c>
      <c r="C168" s="1" t="s">
        <v>1686</v>
      </c>
      <c r="D168" s="1" t="s">
        <v>1687</v>
      </c>
      <c r="E168" s="1" t="s">
        <v>1596</v>
      </c>
    </row>
    <row r="169" spans="1:5" ht="36" customHeight="1">
      <c r="A169" s="1" t="s">
        <v>499</v>
      </c>
      <c r="B169" s="1" t="s">
        <v>1782</v>
      </c>
      <c r="C169" s="1" t="s">
        <v>1607</v>
      </c>
      <c r="D169" s="1" t="s">
        <v>1091</v>
      </c>
      <c r="E169" s="1" t="s">
        <v>1596</v>
      </c>
    </row>
    <row r="170" spans="1:5" ht="36" customHeight="1">
      <c r="A170" s="1" t="s">
        <v>499</v>
      </c>
      <c r="B170" s="1" t="s">
        <v>1782</v>
      </c>
      <c r="C170" s="1" t="s">
        <v>1608</v>
      </c>
      <c r="D170" s="1" t="s">
        <v>1598</v>
      </c>
      <c r="E170" s="1" t="s">
        <v>1596</v>
      </c>
    </row>
    <row r="171" spans="1:5" ht="36" customHeight="1">
      <c r="A171" s="1" t="s">
        <v>499</v>
      </c>
      <c r="B171" s="1" t="s">
        <v>1782</v>
      </c>
      <c r="C171" s="1" t="s">
        <v>1609</v>
      </c>
      <c r="D171" s="1" t="s">
        <v>1783</v>
      </c>
      <c r="E171" s="1" t="s">
        <v>1596</v>
      </c>
    </row>
    <row r="172" spans="1:5" ht="36" customHeight="1">
      <c r="A172" s="1" t="s">
        <v>499</v>
      </c>
      <c r="B172" s="1" t="s">
        <v>1782</v>
      </c>
      <c r="C172" s="1" t="s">
        <v>1717</v>
      </c>
      <c r="D172" s="1" t="s">
        <v>1784</v>
      </c>
      <c r="E172" s="1" t="s">
        <v>1596</v>
      </c>
    </row>
    <row r="173" spans="1:5" ht="48" customHeight="1">
      <c r="A173" s="1" t="s">
        <v>499</v>
      </c>
      <c r="B173" s="1" t="s">
        <v>1782</v>
      </c>
      <c r="C173" s="1" t="s">
        <v>1610</v>
      </c>
      <c r="D173" s="1" t="s">
        <v>1785</v>
      </c>
      <c r="E173" s="1" t="s">
        <v>1786</v>
      </c>
    </row>
    <row r="174" spans="1:5" ht="36" customHeight="1">
      <c r="A174" s="1" t="s">
        <v>499</v>
      </c>
      <c r="B174" s="1" t="s">
        <v>1782</v>
      </c>
      <c r="C174" s="1" t="s">
        <v>1787</v>
      </c>
      <c r="D174" s="1" t="s">
        <v>1788</v>
      </c>
      <c r="E174" s="1" t="s">
        <v>1786</v>
      </c>
    </row>
    <row r="175" spans="1:5" ht="36" customHeight="1">
      <c r="A175" s="1" t="s">
        <v>499</v>
      </c>
      <c r="B175" s="1" t="s">
        <v>1782</v>
      </c>
      <c r="C175" s="1" t="s">
        <v>1720</v>
      </c>
      <c r="D175" s="1" t="s">
        <v>1789</v>
      </c>
      <c r="E175" s="1" t="s">
        <v>1786</v>
      </c>
    </row>
    <row r="176" spans="1:5" ht="36" customHeight="1">
      <c r="A176" s="1" t="s">
        <v>499</v>
      </c>
      <c r="B176" s="1" t="s">
        <v>1782</v>
      </c>
      <c r="C176" s="1" t="s">
        <v>1612</v>
      </c>
      <c r="D176" s="1" t="s">
        <v>1790</v>
      </c>
      <c r="E176" s="1" t="s">
        <v>1596</v>
      </c>
    </row>
    <row r="177" spans="1:5" ht="36" customHeight="1">
      <c r="A177" s="1" t="s">
        <v>499</v>
      </c>
      <c r="B177" s="1" t="s">
        <v>1782</v>
      </c>
      <c r="C177" s="1" t="s">
        <v>1614</v>
      </c>
      <c r="D177" s="1" t="s">
        <v>1622</v>
      </c>
      <c r="E177" s="1" t="s">
        <v>1596</v>
      </c>
    </row>
    <row r="178" spans="1:5" ht="36" customHeight="1">
      <c r="A178" s="1" t="s">
        <v>499</v>
      </c>
      <c r="B178" s="1" t="s">
        <v>1782</v>
      </c>
      <c r="C178" s="1" t="s">
        <v>1791</v>
      </c>
      <c r="D178" s="1" t="s">
        <v>1792</v>
      </c>
      <c r="E178" s="1" t="s">
        <v>1596</v>
      </c>
    </row>
    <row r="179" spans="1:5" ht="36" customHeight="1">
      <c r="A179" s="1" t="s">
        <v>499</v>
      </c>
      <c r="B179" s="1" t="s">
        <v>1782</v>
      </c>
      <c r="C179" s="1" t="s">
        <v>1793</v>
      </c>
      <c r="D179" s="1" t="s">
        <v>1794</v>
      </c>
      <c r="E179" s="1" t="s">
        <v>1786</v>
      </c>
    </row>
    <row r="180" spans="1:5" ht="36" customHeight="1">
      <c r="A180" s="1" t="s">
        <v>499</v>
      </c>
      <c r="B180" s="1" t="s">
        <v>1782</v>
      </c>
      <c r="C180" s="1" t="s">
        <v>1795</v>
      </c>
      <c r="D180" s="1" t="s">
        <v>1796</v>
      </c>
      <c r="E180" s="1" t="s">
        <v>1786</v>
      </c>
    </row>
    <row r="181" spans="1:5" ht="36" customHeight="1">
      <c r="A181" s="1" t="s">
        <v>499</v>
      </c>
      <c r="B181" s="1" t="s">
        <v>1782</v>
      </c>
      <c r="C181" s="1" t="s">
        <v>1619</v>
      </c>
      <c r="D181" s="1" t="s">
        <v>558</v>
      </c>
      <c r="E181" s="1" t="s">
        <v>1596</v>
      </c>
    </row>
    <row r="182" spans="1:5" ht="36" customHeight="1">
      <c r="A182" s="1" t="s">
        <v>499</v>
      </c>
      <c r="B182" s="1" t="s">
        <v>1782</v>
      </c>
      <c r="C182" s="1" t="s">
        <v>1621</v>
      </c>
      <c r="D182" s="1" t="s">
        <v>1797</v>
      </c>
      <c r="E182" s="1" t="s">
        <v>1596</v>
      </c>
    </row>
    <row r="183" spans="1:5" ht="36" customHeight="1">
      <c r="A183" s="1" t="s">
        <v>499</v>
      </c>
      <c r="B183" s="1" t="s">
        <v>1782</v>
      </c>
      <c r="C183" s="1" t="s">
        <v>1722</v>
      </c>
      <c r="D183" s="1" t="s">
        <v>1798</v>
      </c>
      <c r="E183" s="1" t="s">
        <v>1596</v>
      </c>
    </row>
    <row r="184" spans="1:5" ht="63.95" customHeight="1">
      <c r="A184" s="1" t="s">
        <v>499</v>
      </c>
      <c r="B184" s="1" t="s">
        <v>1782</v>
      </c>
      <c r="C184" s="1" t="s">
        <v>1624</v>
      </c>
      <c r="D184" s="1" t="s">
        <v>1799</v>
      </c>
      <c r="E184" s="1" t="s">
        <v>1786</v>
      </c>
    </row>
    <row r="185" spans="1:5" ht="36" customHeight="1">
      <c r="A185" s="1" t="s">
        <v>499</v>
      </c>
      <c r="B185" s="1" t="s">
        <v>1782</v>
      </c>
      <c r="C185" s="1" t="s">
        <v>1800</v>
      </c>
      <c r="D185" s="1" t="s">
        <v>1794</v>
      </c>
      <c r="E185" s="1" t="s">
        <v>1786</v>
      </c>
    </row>
    <row r="186" spans="1:5" ht="36" customHeight="1">
      <c r="A186" s="1" t="s">
        <v>499</v>
      </c>
      <c r="B186" s="1" t="s">
        <v>1782</v>
      </c>
      <c r="C186" s="1" t="s">
        <v>1801</v>
      </c>
      <c r="D186" s="1" t="s">
        <v>1796</v>
      </c>
      <c r="E186" s="1" t="s">
        <v>1786</v>
      </c>
    </row>
    <row r="187" spans="1:5" ht="36" customHeight="1">
      <c r="A187" s="1" t="s">
        <v>499</v>
      </c>
      <c r="B187" s="1" t="s">
        <v>1782</v>
      </c>
      <c r="C187" s="1" t="s">
        <v>1802</v>
      </c>
      <c r="D187" s="1" t="s">
        <v>1803</v>
      </c>
      <c r="E187" s="1" t="s">
        <v>1596</v>
      </c>
    </row>
    <row r="188" spans="1:5" ht="48" customHeight="1">
      <c r="A188" s="1" t="s">
        <v>499</v>
      </c>
      <c r="B188" s="1" t="s">
        <v>1782</v>
      </c>
      <c r="C188" s="1" t="s">
        <v>1632</v>
      </c>
      <c r="D188" s="1" t="s">
        <v>1804</v>
      </c>
      <c r="E188" s="1" t="s">
        <v>1786</v>
      </c>
    </row>
    <row r="189" spans="1:5" ht="36" customHeight="1">
      <c r="A189" s="1" t="s">
        <v>499</v>
      </c>
      <c r="B189" s="1" t="s">
        <v>1782</v>
      </c>
      <c r="C189" s="1" t="s">
        <v>1805</v>
      </c>
      <c r="D189" s="1" t="s">
        <v>1794</v>
      </c>
      <c r="E189" s="1" t="s">
        <v>1786</v>
      </c>
    </row>
    <row r="190" spans="1:5" ht="36" customHeight="1">
      <c r="A190" s="1" t="s">
        <v>499</v>
      </c>
      <c r="B190" s="1" t="s">
        <v>1782</v>
      </c>
      <c r="C190" s="1" t="s">
        <v>1806</v>
      </c>
      <c r="D190" s="1" t="s">
        <v>1796</v>
      </c>
      <c r="E190" s="1" t="s">
        <v>1786</v>
      </c>
    </row>
    <row r="191" spans="1:5" ht="36" customHeight="1">
      <c r="A191" s="1" t="s">
        <v>499</v>
      </c>
      <c r="B191" s="1" t="s">
        <v>1782</v>
      </c>
      <c r="C191" s="1" t="s">
        <v>1638</v>
      </c>
      <c r="D191" s="1" t="s">
        <v>1674</v>
      </c>
      <c r="E191" s="1" t="s">
        <v>1596</v>
      </c>
    </row>
    <row r="192" spans="1:5" ht="36" customHeight="1">
      <c r="A192" s="1" t="s">
        <v>499</v>
      </c>
      <c r="B192" s="1" t="s">
        <v>1782</v>
      </c>
      <c r="C192" s="1" t="s">
        <v>1640</v>
      </c>
      <c r="D192" s="1" t="s">
        <v>1598</v>
      </c>
      <c r="E192" s="1" t="s">
        <v>1596</v>
      </c>
    </row>
    <row r="193" spans="1:5" ht="36" customHeight="1">
      <c r="A193" s="1" t="s">
        <v>499</v>
      </c>
      <c r="B193" s="1" t="s">
        <v>1782</v>
      </c>
      <c r="C193" s="1" t="s">
        <v>1642</v>
      </c>
      <c r="D193" s="1" t="s">
        <v>1600</v>
      </c>
      <c r="E193" s="1" t="s">
        <v>1596</v>
      </c>
    </row>
    <row r="194" spans="1:5" ht="36" customHeight="1">
      <c r="A194" s="1" t="s">
        <v>499</v>
      </c>
      <c r="B194" s="1" t="s">
        <v>1782</v>
      </c>
      <c r="C194" s="1" t="s">
        <v>1647</v>
      </c>
      <c r="D194" s="1" t="s">
        <v>1602</v>
      </c>
      <c r="E194" s="1" t="s">
        <v>1596</v>
      </c>
    </row>
    <row r="195" spans="1:5" ht="36" customHeight="1">
      <c r="A195" s="1" t="s">
        <v>499</v>
      </c>
      <c r="B195" s="1" t="s">
        <v>1782</v>
      </c>
      <c r="C195" s="1" t="s">
        <v>1648</v>
      </c>
      <c r="D195" s="1" t="s">
        <v>1764</v>
      </c>
      <c r="E195" s="1" t="s">
        <v>1596</v>
      </c>
    </row>
    <row r="196" spans="1:5" ht="36" customHeight="1">
      <c r="A196" s="1" t="s">
        <v>499</v>
      </c>
      <c r="B196" s="1" t="s">
        <v>1782</v>
      </c>
      <c r="C196" s="1" t="s">
        <v>1649</v>
      </c>
      <c r="D196" s="1" t="s">
        <v>1676</v>
      </c>
      <c r="E196" s="1" t="s">
        <v>1596</v>
      </c>
    </row>
    <row r="197" spans="1:5" ht="36" customHeight="1">
      <c r="A197" s="1" t="s">
        <v>499</v>
      </c>
      <c r="B197" s="1" t="s">
        <v>1782</v>
      </c>
      <c r="C197" s="1" t="s">
        <v>1651</v>
      </c>
      <c r="D197" s="1" t="s">
        <v>1678</v>
      </c>
      <c r="E197" s="1" t="s">
        <v>1596</v>
      </c>
    </row>
    <row r="198" spans="1:5" ht="36" customHeight="1">
      <c r="A198" s="1" t="s">
        <v>499</v>
      </c>
      <c r="B198" s="1" t="s">
        <v>1782</v>
      </c>
      <c r="C198" s="1" t="s">
        <v>1807</v>
      </c>
      <c r="D198" s="1" t="s">
        <v>1160</v>
      </c>
      <c r="E198" s="1" t="s">
        <v>1596</v>
      </c>
    </row>
    <row r="199" spans="1:5" ht="36" customHeight="1">
      <c r="A199" s="1" t="s">
        <v>499</v>
      </c>
      <c r="B199" s="1" t="s">
        <v>1782</v>
      </c>
      <c r="C199" s="1" t="s">
        <v>1808</v>
      </c>
      <c r="D199" s="1" t="s">
        <v>1681</v>
      </c>
      <c r="E199" s="1" t="s">
        <v>1596</v>
      </c>
    </row>
    <row r="200" spans="1:5" ht="36" customHeight="1">
      <c r="A200" s="1" t="s">
        <v>499</v>
      </c>
      <c r="B200" s="1" t="s">
        <v>1782</v>
      </c>
      <c r="C200" s="1" t="s">
        <v>1809</v>
      </c>
      <c r="D200" s="1" t="s">
        <v>1683</v>
      </c>
      <c r="E200" s="1" t="s">
        <v>1596</v>
      </c>
    </row>
    <row r="201" spans="1:5" ht="36" customHeight="1">
      <c r="A201" s="1" t="s">
        <v>499</v>
      </c>
      <c r="B201" s="1" t="s">
        <v>1782</v>
      </c>
      <c r="C201" s="1" t="s">
        <v>1810</v>
      </c>
      <c r="D201" s="1" t="s">
        <v>1685</v>
      </c>
      <c r="E201" s="1" t="s">
        <v>1596</v>
      </c>
    </row>
    <row r="202" spans="1:5" ht="36" customHeight="1">
      <c r="A202" s="1" t="s">
        <v>499</v>
      </c>
      <c r="B202" s="1" t="s">
        <v>1782</v>
      </c>
      <c r="C202" s="1" t="s">
        <v>1696</v>
      </c>
      <c r="D202" s="1" t="s">
        <v>1687</v>
      </c>
      <c r="E202" s="1" t="s">
        <v>1596</v>
      </c>
    </row>
    <row r="203" spans="1:5" ht="36" customHeight="1">
      <c r="A203" s="1" t="s">
        <v>499</v>
      </c>
      <c r="B203" s="1" t="s">
        <v>1782</v>
      </c>
      <c r="C203" s="1" t="s">
        <v>1653</v>
      </c>
      <c r="D203" s="1" t="s">
        <v>1091</v>
      </c>
      <c r="E203" s="1" t="s">
        <v>1596</v>
      </c>
    </row>
    <row r="204" spans="1:5" ht="36" customHeight="1">
      <c r="A204" s="1" t="s">
        <v>499</v>
      </c>
      <c r="B204" s="1" t="s">
        <v>1782</v>
      </c>
      <c r="C204" s="1" t="s">
        <v>1655</v>
      </c>
      <c r="D204" s="1" t="s">
        <v>1598</v>
      </c>
      <c r="E204" s="1" t="s">
        <v>1596</v>
      </c>
    </row>
    <row r="205" spans="1:5" ht="36" customHeight="1">
      <c r="A205" s="1" t="s">
        <v>499</v>
      </c>
      <c r="B205" s="1" t="s">
        <v>1782</v>
      </c>
      <c r="C205" s="1" t="s">
        <v>1662</v>
      </c>
      <c r="D205" s="1" t="s">
        <v>1783</v>
      </c>
      <c r="E205" s="1" t="s">
        <v>1596</v>
      </c>
    </row>
    <row r="206" spans="1:5" ht="36" customHeight="1">
      <c r="A206" s="1" t="s">
        <v>499</v>
      </c>
      <c r="B206" s="1" t="s">
        <v>1782</v>
      </c>
      <c r="C206" s="1" t="s">
        <v>1728</v>
      </c>
      <c r="D206" s="1" t="s">
        <v>1811</v>
      </c>
      <c r="E206" s="1" t="s">
        <v>1596</v>
      </c>
    </row>
    <row r="207" spans="1:5" ht="48" customHeight="1">
      <c r="A207" s="1" t="s">
        <v>499</v>
      </c>
      <c r="B207" s="1" t="s">
        <v>1782</v>
      </c>
      <c r="C207" s="1" t="s">
        <v>1664</v>
      </c>
      <c r="D207" s="1" t="s">
        <v>1812</v>
      </c>
      <c r="E207" s="1" t="s">
        <v>1786</v>
      </c>
    </row>
    <row r="208" spans="1:5" ht="36" customHeight="1">
      <c r="A208" s="1" t="s">
        <v>499</v>
      </c>
      <c r="B208" s="1" t="s">
        <v>1782</v>
      </c>
      <c r="C208" s="1" t="s">
        <v>1813</v>
      </c>
      <c r="D208" s="1" t="s">
        <v>1814</v>
      </c>
      <c r="E208" s="1" t="s">
        <v>1786</v>
      </c>
    </row>
    <row r="209" spans="1:5" ht="36" customHeight="1">
      <c r="A209" s="1" t="s">
        <v>499</v>
      </c>
      <c r="B209" s="1" t="s">
        <v>1782</v>
      </c>
      <c r="C209" s="1" t="s">
        <v>1815</v>
      </c>
      <c r="D209" s="1" t="s">
        <v>1796</v>
      </c>
      <c r="E209" s="1" t="s">
        <v>1786</v>
      </c>
    </row>
    <row r="210" spans="1:5" ht="36" customHeight="1">
      <c r="A210" s="1" t="s">
        <v>499</v>
      </c>
      <c r="B210" s="1" t="s">
        <v>1782</v>
      </c>
      <c r="C210" s="1" t="s">
        <v>1816</v>
      </c>
      <c r="D210" s="1" t="s">
        <v>1817</v>
      </c>
      <c r="E210" s="1" t="s">
        <v>1596</v>
      </c>
    </row>
    <row r="211" spans="1:5" ht="36" customHeight="1">
      <c r="A211" s="1" t="s">
        <v>499</v>
      </c>
      <c r="B211" s="1" t="s">
        <v>1782</v>
      </c>
      <c r="C211" s="1" t="s">
        <v>1701</v>
      </c>
      <c r="D211" s="1" t="s">
        <v>1818</v>
      </c>
      <c r="E211" s="1" t="s">
        <v>1596</v>
      </c>
    </row>
    <row r="212" spans="1:5" ht="36" customHeight="1">
      <c r="A212" s="1" t="s">
        <v>499</v>
      </c>
      <c r="B212" s="1" t="s">
        <v>1782</v>
      </c>
      <c r="C212" s="1" t="s">
        <v>1730</v>
      </c>
      <c r="D212" s="1" t="s">
        <v>443</v>
      </c>
      <c r="E212" s="1" t="s">
        <v>1596</v>
      </c>
    </row>
    <row r="213" spans="1:5" ht="48" customHeight="1">
      <c r="A213" s="1" t="s">
        <v>499</v>
      </c>
      <c r="B213" s="1" t="s">
        <v>1782</v>
      </c>
      <c r="C213" s="1" t="s">
        <v>1732</v>
      </c>
      <c r="D213" s="1" t="s">
        <v>1819</v>
      </c>
      <c r="E213" s="1" t="s">
        <v>1786</v>
      </c>
    </row>
    <row r="214" spans="1:5" ht="36" customHeight="1">
      <c r="A214" s="1" t="s">
        <v>499</v>
      </c>
      <c r="B214" s="1" t="s">
        <v>1782</v>
      </c>
      <c r="C214" s="1" t="s">
        <v>1820</v>
      </c>
      <c r="D214" s="1" t="s">
        <v>1814</v>
      </c>
      <c r="E214" s="1" t="s">
        <v>1786</v>
      </c>
    </row>
    <row r="215" spans="1:5" ht="36" customHeight="1">
      <c r="A215" s="1" t="s">
        <v>499</v>
      </c>
      <c r="B215" s="1" t="s">
        <v>1782</v>
      </c>
      <c r="C215" s="1" t="s">
        <v>1821</v>
      </c>
      <c r="D215" s="1" t="s">
        <v>1796</v>
      </c>
      <c r="E215" s="1" t="s">
        <v>1786</v>
      </c>
    </row>
    <row r="216" spans="1:5" ht="36" customHeight="1">
      <c r="A216" s="1" t="s">
        <v>499</v>
      </c>
      <c r="B216" s="1" t="s">
        <v>1782</v>
      </c>
      <c r="C216" s="1" t="s">
        <v>1822</v>
      </c>
      <c r="D216" s="1" t="s">
        <v>1823</v>
      </c>
      <c r="E216" s="1" t="s">
        <v>1596</v>
      </c>
    </row>
    <row r="217" spans="1:5" ht="48" customHeight="1">
      <c r="A217" s="1" t="s">
        <v>499</v>
      </c>
      <c r="B217" s="1" t="s">
        <v>1782</v>
      </c>
      <c r="C217" s="1" t="s">
        <v>1824</v>
      </c>
      <c r="D217" s="1" t="s">
        <v>1825</v>
      </c>
      <c r="E217" s="1" t="s">
        <v>1786</v>
      </c>
    </row>
    <row r="218" spans="1:5" ht="36" customHeight="1">
      <c r="A218" s="1" t="s">
        <v>499</v>
      </c>
      <c r="B218" s="1" t="s">
        <v>1782</v>
      </c>
      <c r="C218" s="1" t="s">
        <v>1826</v>
      </c>
      <c r="D218" s="1" t="s">
        <v>1814</v>
      </c>
      <c r="E218" s="1" t="s">
        <v>1786</v>
      </c>
    </row>
    <row r="219" spans="1:5" ht="36" customHeight="1">
      <c r="A219" s="1" t="s">
        <v>499</v>
      </c>
      <c r="B219" s="1" t="s">
        <v>1782</v>
      </c>
      <c r="C219" s="1" t="s">
        <v>1827</v>
      </c>
      <c r="D219" s="1" t="s">
        <v>1796</v>
      </c>
      <c r="E219" s="1" t="s">
        <v>1786</v>
      </c>
    </row>
    <row r="220" spans="1:5" ht="36" customHeight="1">
      <c r="A220" s="1" t="s">
        <v>499</v>
      </c>
      <c r="B220" s="1" t="s">
        <v>1782</v>
      </c>
      <c r="C220" s="1" t="s">
        <v>1706</v>
      </c>
      <c r="D220" s="1" t="s">
        <v>1828</v>
      </c>
      <c r="E220" s="1" t="s">
        <v>1596</v>
      </c>
    </row>
    <row r="221" spans="1:5" ht="36" customHeight="1">
      <c r="A221" s="1" t="s">
        <v>499</v>
      </c>
      <c r="B221" s="1" t="s">
        <v>1782</v>
      </c>
      <c r="C221" s="1" t="s">
        <v>1708</v>
      </c>
      <c r="D221" s="1" t="s">
        <v>1598</v>
      </c>
      <c r="E221" s="1" t="s">
        <v>1596</v>
      </c>
    </row>
    <row r="222" spans="1:5" ht="36" customHeight="1">
      <c r="A222" s="1" t="s">
        <v>499</v>
      </c>
      <c r="B222" s="1" t="s">
        <v>1782</v>
      </c>
      <c r="C222" s="1" t="s">
        <v>1710</v>
      </c>
      <c r="D222" s="1" t="s">
        <v>1600</v>
      </c>
      <c r="E222" s="1" t="s">
        <v>1596</v>
      </c>
    </row>
    <row r="223" spans="1:5" ht="36" customHeight="1">
      <c r="A223" s="1" t="s">
        <v>499</v>
      </c>
      <c r="B223" s="1" t="s">
        <v>1782</v>
      </c>
      <c r="C223" s="1" t="s">
        <v>1829</v>
      </c>
      <c r="D223" s="1" t="s">
        <v>1602</v>
      </c>
      <c r="E223" s="1" t="s">
        <v>1596</v>
      </c>
    </row>
    <row r="224" spans="1:5" ht="36" customHeight="1">
      <c r="A224" s="1" t="s">
        <v>499</v>
      </c>
      <c r="B224" s="1" t="s">
        <v>1782</v>
      </c>
      <c r="C224" s="1" t="s">
        <v>1830</v>
      </c>
      <c r="D224" s="1" t="s">
        <v>1831</v>
      </c>
      <c r="E224" s="1" t="s">
        <v>1596</v>
      </c>
    </row>
    <row r="225" spans="1:5" ht="36" customHeight="1">
      <c r="A225" s="1" t="s">
        <v>499</v>
      </c>
      <c r="B225" s="1" t="s">
        <v>1782</v>
      </c>
      <c r="C225" s="1" t="s">
        <v>1832</v>
      </c>
      <c r="D225" s="1" t="s">
        <v>1676</v>
      </c>
      <c r="E225" s="1" t="s">
        <v>1596</v>
      </c>
    </row>
    <row r="226" spans="1:5" ht="36" customHeight="1">
      <c r="A226" s="1" t="s">
        <v>499</v>
      </c>
      <c r="B226" s="1" t="s">
        <v>1782</v>
      </c>
      <c r="C226" s="1" t="s">
        <v>1739</v>
      </c>
      <c r="D226" s="1" t="s">
        <v>1678</v>
      </c>
      <c r="E226" s="1" t="s">
        <v>1596</v>
      </c>
    </row>
    <row r="227" spans="1:5" ht="36" customHeight="1">
      <c r="A227" s="1" t="s">
        <v>499</v>
      </c>
      <c r="B227" s="1" t="s">
        <v>1782</v>
      </c>
      <c r="C227" s="1" t="s">
        <v>1833</v>
      </c>
      <c r="D227" s="1" t="s">
        <v>1160</v>
      </c>
      <c r="E227" s="1" t="s">
        <v>1596</v>
      </c>
    </row>
    <row r="228" spans="1:5" ht="36" customHeight="1">
      <c r="A228" s="1" t="s">
        <v>499</v>
      </c>
      <c r="B228" s="1" t="s">
        <v>1782</v>
      </c>
      <c r="C228" s="1" t="s">
        <v>1834</v>
      </c>
      <c r="D228" s="1" t="s">
        <v>1681</v>
      </c>
      <c r="E228" s="1" t="s">
        <v>1596</v>
      </c>
    </row>
    <row r="229" spans="1:5" ht="36" customHeight="1">
      <c r="A229" s="1" t="s">
        <v>499</v>
      </c>
      <c r="B229" s="1" t="s">
        <v>1782</v>
      </c>
      <c r="C229" s="1" t="s">
        <v>1835</v>
      </c>
      <c r="D229" s="1" t="s">
        <v>1683</v>
      </c>
      <c r="E229" s="1" t="s">
        <v>1596</v>
      </c>
    </row>
    <row r="230" spans="1:5" ht="36" customHeight="1">
      <c r="A230" s="1" t="s">
        <v>499</v>
      </c>
      <c r="B230" s="1" t="s">
        <v>1782</v>
      </c>
      <c r="C230" s="1" t="s">
        <v>1836</v>
      </c>
      <c r="D230" s="1" t="s">
        <v>1685</v>
      </c>
      <c r="E230" s="1" t="s">
        <v>1596</v>
      </c>
    </row>
    <row r="231" spans="1:5" ht="36" customHeight="1">
      <c r="A231" s="1" t="s">
        <v>499</v>
      </c>
      <c r="B231" s="1" t="s">
        <v>1782</v>
      </c>
      <c r="C231" s="1" t="s">
        <v>1837</v>
      </c>
      <c r="D231" s="1" t="s">
        <v>1687</v>
      </c>
      <c r="E231" s="1" t="s">
        <v>1596</v>
      </c>
    </row>
    <row r="232" spans="1:5" ht="36" customHeight="1">
      <c r="A232" s="1" t="s">
        <v>499</v>
      </c>
      <c r="B232" s="1" t="s">
        <v>1782</v>
      </c>
      <c r="C232" s="1" t="s">
        <v>1838</v>
      </c>
      <c r="D232" s="1" t="s">
        <v>1091</v>
      </c>
      <c r="E232" s="1" t="s">
        <v>1596</v>
      </c>
    </row>
    <row r="233" spans="1:5" ht="36" customHeight="1">
      <c r="A233" s="1" t="s">
        <v>499</v>
      </c>
      <c r="B233" s="1" t="s">
        <v>1782</v>
      </c>
      <c r="C233" s="1" t="s">
        <v>1839</v>
      </c>
      <c r="D233" s="1" t="s">
        <v>1598</v>
      </c>
      <c r="E233" s="1" t="s">
        <v>1596</v>
      </c>
    </row>
    <row r="234" spans="1:5" ht="36" customHeight="1">
      <c r="A234" s="1" t="s">
        <v>499</v>
      </c>
      <c r="B234" s="1" t="s">
        <v>1782</v>
      </c>
      <c r="C234" s="1" t="s">
        <v>1711</v>
      </c>
      <c r="D234" s="1" t="s">
        <v>1783</v>
      </c>
      <c r="E234" s="1" t="s">
        <v>1596</v>
      </c>
    </row>
    <row r="235" spans="1:5" ht="36" customHeight="1">
      <c r="A235" s="1" t="s">
        <v>499</v>
      </c>
      <c r="B235" s="1" t="s">
        <v>1782</v>
      </c>
      <c r="C235" s="1" t="s">
        <v>1840</v>
      </c>
      <c r="D235" s="1" t="s">
        <v>1841</v>
      </c>
      <c r="E235" s="1" t="s">
        <v>1596</v>
      </c>
    </row>
    <row r="236" spans="1:5" ht="48" customHeight="1">
      <c r="A236" s="1" t="s">
        <v>499</v>
      </c>
      <c r="B236" s="1" t="s">
        <v>1782</v>
      </c>
      <c r="C236" s="1" t="s">
        <v>1741</v>
      </c>
      <c r="D236" s="1" t="s">
        <v>1819</v>
      </c>
      <c r="E236" s="1" t="s">
        <v>1786</v>
      </c>
    </row>
    <row r="237" spans="1:5" ht="36" customHeight="1">
      <c r="A237" s="1" t="s">
        <v>499</v>
      </c>
      <c r="B237" s="1" t="s">
        <v>1782</v>
      </c>
      <c r="C237" s="1" t="s">
        <v>1842</v>
      </c>
      <c r="D237" s="1" t="s">
        <v>1814</v>
      </c>
      <c r="E237" s="1" t="s">
        <v>1786</v>
      </c>
    </row>
    <row r="238" spans="1:5" ht="36" customHeight="1">
      <c r="A238" s="1" t="s">
        <v>499</v>
      </c>
      <c r="B238" s="1" t="s">
        <v>1782</v>
      </c>
      <c r="C238" s="1" t="s">
        <v>1743</v>
      </c>
      <c r="D238" s="1" t="s">
        <v>1796</v>
      </c>
      <c r="E238" s="1" t="s">
        <v>1786</v>
      </c>
    </row>
    <row r="239" spans="1:5" ht="36" customHeight="1">
      <c r="A239" s="1" t="s">
        <v>499</v>
      </c>
      <c r="B239" s="1" t="s">
        <v>1782</v>
      </c>
      <c r="C239" s="1" t="s">
        <v>1843</v>
      </c>
      <c r="D239" s="1" t="s">
        <v>1668</v>
      </c>
      <c r="E239" s="1" t="s">
        <v>1596</v>
      </c>
    </row>
    <row r="240" spans="1:5" ht="36" customHeight="1">
      <c r="A240" s="1" t="s">
        <v>499</v>
      </c>
      <c r="B240" s="1" t="s">
        <v>1782</v>
      </c>
      <c r="C240" s="1" t="s">
        <v>1844</v>
      </c>
      <c r="D240" s="1" t="s">
        <v>1670</v>
      </c>
      <c r="E240" s="1" t="s">
        <v>1596</v>
      </c>
    </row>
    <row r="241" spans="1:5" ht="36" customHeight="1">
      <c r="A241" s="1" t="s">
        <v>499</v>
      </c>
      <c r="B241" s="1" t="s">
        <v>1782</v>
      </c>
      <c r="C241" s="1" t="s">
        <v>1845</v>
      </c>
      <c r="D241" s="1" t="s">
        <v>1672</v>
      </c>
      <c r="E241" s="1" t="s">
        <v>1596</v>
      </c>
    </row>
    <row r="242" spans="1:5" ht="36" customHeight="1">
      <c r="A242" s="1" t="s">
        <v>499</v>
      </c>
      <c r="B242" s="1" t="s">
        <v>1782</v>
      </c>
      <c r="C242" s="1" t="s">
        <v>1846</v>
      </c>
      <c r="D242" s="1" t="s">
        <v>1828</v>
      </c>
      <c r="E242" s="1" t="s">
        <v>1596</v>
      </c>
    </row>
    <row r="243" spans="1:5" ht="36" customHeight="1">
      <c r="A243" s="1" t="s">
        <v>499</v>
      </c>
      <c r="B243" s="1" t="s">
        <v>1782</v>
      </c>
      <c r="C243" s="1" t="s">
        <v>1847</v>
      </c>
      <c r="D243" s="1" t="s">
        <v>1598</v>
      </c>
      <c r="E243" s="1" t="s">
        <v>1596</v>
      </c>
    </row>
    <row r="244" spans="1:5" ht="36" customHeight="1">
      <c r="A244" s="1" t="s">
        <v>499</v>
      </c>
      <c r="B244" s="1" t="s">
        <v>1782</v>
      </c>
      <c r="C244" s="1" t="s">
        <v>1848</v>
      </c>
      <c r="D244" s="1" t="s">
        <v>1849</v>
      </c>
      <c r="E244" s="1" t="s">
        <v>1596</v>
      </c>
    </row>
    <row r="245" spans="1:5" ht="36" customHeight="1">
      <c r="A245" s="1" t="s">
        <v>499</v>
      </c>
      <c r="B245" s="1" t="s">
        <v>1782</v>
      </c>
      <c r="C245" s="1" t="s">
        <v>1850</v>
      </c>
      <c r="D245" s="1" t="s">
        <v>1602</v>
      </c>
      <c r="E245" s="1" t="s">
        <v>1596</v>
      </c>
    </row>
    <row r="246" spans="1:5" ht="36" customHeight="1">
      <c r="A246" s="1" t="s">
        <v>499</v>
      </c>
      <c r="B246" s="1" t="s">
        <v>1782</v>
      </c>
      <c r="C246" s="1" t="s">
        <v>1851</v>
      </c>
      <c r="D246" s="1" t="s">
        <v>1852</v>
      </c>
      <c r="E246" s="1" t="s">
        <v>1596</v>
      </c>
    </row>
    <row r="247" spans="1:5" ht="36" customHeight="1">
      <c r="A247" s="1" t="s">
        <v>499</v>
      </c>
      <c r="B247" s="1" t="s">
        <v>1782</v>
      </c>
      <c r="C247" s="1" t="s">
        <v>1745</v>
      </c>
      <c r="D247" s="1" t="s">
        <v>1676</v>
      </c>
      <c r="E247" s="1" t="s">
        <v>1596</v>
      </c>
    </row>
    <row r="248" spans="1:5" ht="36" customHeight="1">
      <c r="A248" s="1" t="s">
        <v>499</v>
      </c>
      <c r="B248" s="1" t="s">
        <v>1782</v>
      </c>
      <c r="C248" s="1" t="s">
        <v>1748</v>
      </c>
      <c r="D248" s="1" t="s">
        <v>1678</v>
      </c>
      <c r="E248" s="1" t="s">
        <v>1596</v>
      </c>
    </row>
    <row r="249" spans="1:5" ht="36" customHeight="1">
      <c r="A249" s="1" t="s">
        <v>499</v>
      </c>
      <c r="B249" s="1" t="s">
        <v>1782</v>
      </c>
      <c r="C249" s="1" t="s">
        <v>1853</v>
      </c>
      <c r="D249" s="1" t="s">
        <v>1160</v>
      </c>
      <c r="E249" s="1" t="s">
        <v>1596</v>
      </c>
    </row>
    <row r="250" spans="1:5" ht="36" customHeight="1">
      <c r="A250" s="1" t="s">
        <v>499</v>
      </c>
      <c r="B250" s="1" t="s">
        <v>1782</v>
      </c>
      <c r="C250" s="1" t="s">
        <v>1854</v>
      </c>
      <c r="D250" s="1" t="s">
        <v>1681</v>
      </c>
      <c r="E250" s="1" t="s">
        <v>1596</v>
      </c>
    </row>
    <row r="251" spans="1:5" ht="36" customHeight="1">
      <c r="A251" s="1" t="s">
        <v>499</v>
      </c>
      <c r="B251" s="1" t="s">
        <v>1782</v>
      </c>
      <c r="C251" s="1" t="s">
        <v>1855</v>
      </c>
      <c r="D251" s="1" t="s">
        <v>1683</v>
      </c>
      <c r="E251" s="1" t="s">
        <v>1596</v>
      </c>
    </row>
    <row r="252" spans="1:5" ht="36" customHeight="1">
      <c r="A252" s="1" t="s">
        <v>499</v>
      </c>
      <c r="B252" s="1" t="s">
        <v>1782</v>
      </c>
      <c r="C252" s="1" t="s">
        <v>1856</v>
      </c>
      <c r="D252" s="1" t="s">
        <v>1685</v>
      </c>
      <c r="E252" s="1" t="s">
        <v>1596</v>
      </c>
    </row>
    <row r="253" spans="1:5" ht="36" customHeight="1">
      <c r="A253" s="1" t="s">
        <v>499</v>
      </c>
      <c r="B253" s="1" t="s">
        <v>1782</v>
      </c>
      <c r="C253" s="1" t="s">
        <v>1857</v>
      </c>
      <c r="D253" s="1" t="s">
        <v>1687</v>
      </c>
      <c r="E253" s="1" t="s">
        <v>1596</v>
      </c>
    </row>
    <row r="254" spans="1:5" ht="36" customHeight="1">
      <c r="A254" s="1" t="s">
        <v>499</v>
      </c>
      <c r="B254" s="1" t="s">
        <v>1782</v>
      </c>
      <c r="C254" s="1" t="s">
        <v>1750</v>
      </c>
      <c r="D254" s="1" t="s">
        <v>1091</v>
      </c>
      <c r="E254" s="1" t="s">
        <v>1596</v>
      </c>
    </row>
    <row r="255" spans="1:5" ht="36" customHeight="1">
      <c r="A255" s="1" t="s">
        <v>499</v>
      </c>
      <c r="B255" s="1" t="s">
        <v>1782</v>
      </c>
      <c r="C255" s="1" t="s">
        <v>1752</v>
      </c>
      <c r="D255" s="1" t="s">
        <v>1598</v>
      </c>
      <c r="E255" s="1" t="s">
        <v>1596</v>
      </c>
    </row>
    <row r="256" spans="1:5" ht="36" customHeight="1">
      <c r="A256" s="1" t="s">
        <v>499</v>
      </c>
      <c r="B256" s="1" t="s">
        <v>1782</v>
      </c>
      <c r="C256" s="1" t="s">
        <v>1858</v>
      </c>
      <c r="D256" s="1" t="s">
        <v>1783</v>
      </c>
      <c r="E256" s="1" t="s">
        <v>1596</v>
      </c>
    </row>
    <row r="257" spans="1:5" ht="36" customHeight="1">
      <c r="A257" s="1" t="s">
        <v>499</v>
      </c>
      <c r="B257" s="1" t="s">
        <v>1782</v>
      </c>
      <c r="C257" s="1" t="s">
        <v>1859</v>
      </c>
      <c r="D257" s="1" t="s">
        <v>1860</v>
      </c>
      <c r="E257" s="1" t="s">
        <v>1596</v>
      </c>
    </row>
    <row r="258" spans="1:5" ht="96" customHeight="1">
      <c r="A258" s="1" t="s">
        <v>499</v>
      </c>
      <c r="B258" s="1" t="s">
        <v>1782</v>
      </c>
      <c r="C258" s="1" t="s">
        <v>1861</v>
      </c>
      <c r="D258" s="1" t="s">
        <v>1862</v>
      </c>
      <c r="E258" s="1" t="s">
        <v>1786</v>
      </c>
    </row>
    <row r="259" spans="1:5" ht="36" customHeight="1">
      <c r="A259" s="1" t="s">
        <v>499</v>
      </c>
      <c r="B259" s="1" t="s">
        <v>1782</v>
      </c>
      <c r="C259" s="1" t="s">
        <v>1863</v>
      </c>
      <c r="D259" s="1" t="s">
        <v>1864</v>
      </c>
      <c r="E259" s="1" t="s">
        <v>1786</v>
      </c>
    </row>
    <row r="260" spans="1:5" ht="36" customHeight="1">
      <c r="A260" s="1" t="s">
        <v>499</v>
      </c>
      <c r="B260" s="1" t="s">
        <v>1782</v>
      </c>
      <c r="C260" s="1" t="s">
        <v>1865</v>
      </c>
      <c r="D260" s="1" t="s">
        <v>1796</v>
      </c>
      <c r="E260" s="1" t="s">
        <v>1786</v>
      </c>
    </row>
    <row r="261" spans="1:5" ht="36" customHeight="1">
      <c r="A261" s="1" t="s">
        <v>499</v>
      </c>
      <c r="B261" s="1" t="s">
        <v>1782</v>
      </c>
      <c r="C261" s="1" t="s">
        <v>1866</v>
      </c>
      <c r="D261" s="1" t="s">
        <v>1867</v>
      </c>
      <c r="E261" s="1" t="s">
        <v>1596</v>
      </c>
    </row>
    <row r="262" spans="1:5" ht="36" customHeight="1">
      <c r="A262" s="1" t="s">
        <v>499</v>
      </c>
      <c r="B262" s="1" t="s">
        <v>1782</v>
      </c>
      <c r="C262" s="1" t="s">
        <v>1868</v>
      </c>
      <c r="D262" s="1" t="s">
        <v>1869</v>
      </c>
      <c r="E262" s="1" t="s">
        <v>1596</v>
      </c>
    </row>
    <row r="263" spans="1:5" ht="36" customHeight="1">
      <c r="A263" s="1" t="s">
        <v>499</v>
      </c>
      <c r="B263" s="1" t="s">
        <v>1782</v>
      </c>
      <c r="C263" s="1" t="s">
        <v>1870</v>
      </c>
      <c r="D263" s="1" t="s">
        <v>1668</v>
      </c>
      <c r="E263" s="1" t="s">
        <v>1596</v>
      </c>
    </row>
    <row r="264" spans="1:5" ht="36" customHeight="1">
      <c r="A264" s="1" t="s">
        <v>499</v>
      </c>
      <c r="B264" s="1" t="s">
        <v>1782</v>
      </c>
      <c r="C264" s="1" t="s">
        <v>1871</v>
      </c>
      <c r="D264" s="1" t="s">
        <v>1670</v>
      </c>
      <c r="E264" s="1" t="s">
        <v>1596</v>
      </c>
    </row>
    <row r="265" spans="1:5" ht="36" customHeight="1">
      <c r="A265" s="1" t="s">
        <v>499</v>
      </c>
      <c r="B265" s="1" t="s">
        <v>1782</v>
      </c>
      <c r="C265" s="1" t="s">
        <v>1872</v>
      </c>
      <c r="D265" s="1" t="s">
        <v>1672</v>
      </c>
      <c r="E265" s="1" t="s">
        <v>1596</v>
      </c>
    </row>
    <row r="266" spans="1:5" ht="36" customHeight="1">
      <c r="A266" s="1" t="s">
        <v>499</v>
      </c>
      <c r="B266" s="1" t="s">
        <v>1873</v>
      </c>
      <c r="C266" s="1" t="s">
        <v>1594</v>
      </c>
      <c r="D266" s="1" t="s">
        <v>1674</v>
      </c>
      <c r="E266" s="1" t="s">
        <v>1596</v>
      </c>
    </row>
    <row r="267" spans="1:5" ht="36" customHeight="1">
      <c r="A267" s="1" t="s">
        <v>499</v>
      </c>
      <c r="B267" s="1" t="s">
        <v>1873</v>
      </c>
      <c r="C267" s="1" t="s">
        <v>1597</v>
      </c>
      <c r="D267" s="1" t="s">
        <v>1598</v>
      </c>
      <c r="E267" s="1" t="s">
        <v>1596</v>
      </c>
    </row>
    <row r="268" spans="1:5" ht="36" customHeight="1">
      <c r="A268" s="1" t="s">
        <v>499</v>
      </c>
      <c r="B268" s="1" t="s">
        <v>1873</v>
      </c>
      <c r="C268" s="1" t="s">
        <v>1599</v>
      </c>
      <c r="D268" s="1" t="s">
        <v>1600</v>
      </c>
      <c r="E268" s="1" t="s">
        <v>1596</v>
      </c>
    </row>
    <row r="269" spans="1:5" ht="36" customHeight="1">
      <c r="A269" s="1" t="s">
        <v>499</v>
      </c>
      <c r="B269" s="1" t="s">
        <v>1873</v>
      </c>
      <c r="C269" s="1" t="s">
        <v>1601</v>
      </c>
      <c r="D269" s="1" t="s">
        <v>1602</v>
      </c>
      <c r="E269" s="1" t="s">
        <v>1596</v>
      </c>
    </row>
    <row r="270" spans="1:5" ht="36" customHeight="1">
      <c r="A270" s="1" t="s">
        <v>499</v>
      </c>
      <c r="B270" s="1" t="s">
        <v>1873</v>
      </c>
      <c r="C270" s="1" t="s">
        <v>1603</v>
      </c>
      <c r="D270" s="1" t="s">
        <v>1874</v>
      </c>
      <c r="E270" s="1" t="s">
        <v>1596</v>
      </c>
    </row>
    <row r="271" spans="1:5" ht="36" customHeight="1">
      <c r="A271" s="1" t="s">
        <v>499</v>
      </c>
      <c r="B271" s="1" t="s">
        <v>1873</v>
      </c>
      <c r="C271" s="1" t="s">
        <v>1605</v>
      </c>
      <c r="D271" s="1" t="s">
        <v>1676</v>
      </c>
      <c r="E271" s="1" t="s">
        <v>1596</v>
      </c>
    </row>
    <row r="272" spans="1:5" ht="36" customHeight="1">
      <c r="A272" s="1" t="s">
        <v>499</v>
      </c>
      <c r="B272" s="1" t="s">
        <v>1873</v>
      </c>
      <c r="C272" s="1" t="s">
        <v>1677</v>
      </c>
      <c r="D272" s="1" t="s">
        <v>1678</v>
      </c>
      <c r="E272" s="1" t="s">
        <v>1596</v>
      </c>
    </row>
    <row r="273" spans="1:5" ht="36" customHeight="1">
      <c r="A273" s="1" t="s">
        <v>499</v>
      </c>
      <c r="B273" s="1" t="s">
        <v>1873</v>
      </c>
      <c r="C273" s="1" t="s">
        <v>1679</v>
      </c>
      <c r="D273" s="1" t="s">
        <v>1160</v>
      </c>
      <c r="E273" s="1" t="s">
        <v>1596</v>
      </c>
    </row>
    <row r="274" spans="1:5" ht="36" customHeight="1">
      <c r="A274" s="1" t="s">
        <v>499</v>
      </c>
      <c r="B274" s="1" t="s">
        <v>1873</v>
      </c>
      <c r="C274" s="1" t="s">
        <v>1680</v>
      </c>
      <c r="D274" s="1" t="s">
        <v>1681</v>
      </c>
      <c r="E274" s="1" t="s">
        <v>1596</v>
      </c>
    </row>
    <row r="275" spans="1:5" ht="36" customHeight="1">
      <c r="A275" s="1" t="s">
        <v>499</v>
      </c>
      <c r="B275" s="1" t="s">
        <v>1873</v>
      </c>
      <c r="C275" s="1" t="s">
        <v>1682</v>
      </c>
      <c r="D275" s="1" t="s">
        <v>1683</v>
      </c>
      <c r="E275" s="1" t="s">
        <v>1596</v>
      </c>
    </row>
    <row r="276" spans="1:5" ht="36" customHeight="1">
      <c r="A276" s="1" t="s">
        <v>499</v>
      </c>
      <c r="B276" s="1" t="s">
        <v>1873</v>
      </c>
      <c r="C276" s="1" t="s">
        <v>1684</v>
      </c>
      <c r="D276" s="1" t="s">
        <v>1685</v>
      </c>
      <c r="E276" s="1" t="s">
        <v>1596</v>
      </c>
    </row>
    <row r="277" spans="1:5" ht="36" customHeight="1">
      <c r="A277" s="1" t="s">
        <v>499</v>
      </c>
      <c r="B277" s="1" t="s">
        <v>1873</v>
      </c>
      <c r="C277" s="1" t="s">
        <v>1686</v>
      </c>
      <c r="D277" s="1" t="s">
        <v>1687</v>
      </c>
      <c r="E277" s="1" t="s">
        <v>1596</v>
      </c>
    </row>
    <row r="278" spans="1:5" ht="36" customHeight="1">
      <c r="A278" s="1" t="s">
        <v>499</v>
      </c>
      <c r="B278" s="1" t="s">
        <v>1873</v>
      </c>
      <c r="C278" s="1" t="s">
        <v>1607</v>
      </c>
      <c r="D278" s="1" t="s">
        <v>1091</v>
      </c>
      <c r="E278" s="1" t="s">
        <v>1596</v>
      </c>
    </row>
    <row r="279" spans="1:5" ht="36" customHeight="1">
      <c r="A279" s="1" t="s">
        <v>499</v>
      </c>
      <c r="B279" s="1" t="s">
        <v>1873</v>
      </c>
      <c r="C279" s="1" t="s">
        <v>1608</v>
      </c>
      <c r="D279" s="1" t="s">
        <v>1598</v>
      </c>
      <c r="E279" s="1" t="s">
        <v>1596</v>
      </c>
    </row>
    <row r="280" spans="1:5" ht="36" customHeight="1">
      <c r="A280" s="1" t="s">
        <v>499</v>
      </c>
      <c r="B280" s="1" t="s">
        <v>1873</v>
      </c>
      <c r="C280" s="1" t="s">
        <v>1609</v>
      </c>
      <c r="D280" s="1" t="s">
        <v>1875</v>
      </c>
      <c r="E280" s="1" t="s">
        <v>1596</v>
      </c>
    </row>
    <row r="281" spans="1:5" ht="36" customHeight="1">
      <c r="A281" s="1" t="s">
        <v>499</v>
      </c>
      <c r="B281" s="1" t="s">
        <v>1873</v>
      </c>
      <c r="C281" s="1" t="s">
        <v>1717</v>
      </c>
      <c r="D281" s="1" t="s">
        <v>578</v>
      </c>
      <c r="E281" s="1" t="s">
        <v>1596</v>
      </c>
    </row>
    <row r="282" spans="1:5" ht="36" customHeight="1">
      <c r="A282" s="1" t="s">
        <v>499</v>
      </c>
      <c r="B282" s="1" t="s">
        <v>1873</v>
      </c>
      <c r="C282" s="1" t="s">
        <v>1610</v>
      </c>
      <c r="D282" s="1" t="s">
        <v>1876</v>
      </c>
      <c r="E282" s="1" t="s">
        <v>1596</v>
      </c>
    </row>
    <row r="283" spans="1:5" ht="36" customHeight="1">
      <c r="A283" s="1" t="s">
        <v>499</v>
      </c>
      <c r="B283" s="1" t="s">
        <v>1873</v>
      </c>
      <c r="C283" s="1" t="s">
        <v>1877</v>
      </c>
      <c r="D283" s="1" t="s">
        <v>1878</v>
      </c>
      <c r="E283" s="1" t="s">
        <v>1596</v>
      </c>
    </row>
    <row r="284" spans="1:5" ht="36" customHeight="1">
      <c r="A284" s="1" t="s">
        <v>499</v>
      </c>
      <c r="B284" s="1" t="s">
        <v>1873</v>
      </c>
      <c r="C284" s="1" t="s">
        <v>1879</v>
      </c>
      <c r="D284" s="1" t="s">
        <v>1880</v>
      </c>
      <c r="E284" s="1" t="s">
        <v>1596</v>
      </c>
    </row>
    <row r="285" spans="1:5" ht="36" customHeight="1">
      <c r="A285" s="1" t="s">
        <v>499</v>
      </c>
      <c r="B285" s="1" t="s">
        <v>1873</v>
      </c>
      <c r="C285" s="1" t="s">
        <v>1881</v>
      </c>
      <c r="D285" s="1" t="s">
        <v>1882</v>
      </c>
      <c r="E285" s="1" t="s">
        <v>1596</v>
      </c>
    </row>
    <row r="286" spans="1:5" ht="36" customHeight="1">
      <c r="A286" s="1" t="s">
        <v>499</v>
      </c>
      <c r="B286" s="1" t="s">
        <v>1873</v>
      </c>
      <c r="C286" s="1" t="s">
        <v>1612</v>
      </c>
      <c r="D286" s="1" t="s">
        <v>1690</v>
      </c>
      <c r="E286" s="1" t="s">
        <v>1596</v>
      </c>
    </row>
    <row r="287" spans="1:5" ht="36" customHeight="1">
      <c r="A287" s="1" t="s">
        <v>499</v>
      </c>
      <c r="B287" s="1" t="s">
        <v>1873</v>
      </c>
      <c r="C287" s="1" t="s">
        <v>1883</v>
      </c>
      <c r="D287" s="1" t="s">
        <v>1884</v>
      </c>
      <c r="E287" s="1" t="s">
        <v>1596</v>
      </c>
    </row>
    <row r="288" spans="1:5" ht="36" customHeight="1">
      <c r="A288" s="1" t="s">
        <v>499</v>
      </c>
      <c r="B288" s="1" t="s">
        <v>1873</v>
      </c>
      <c r="C288" s="1" t="s">
        <v>1791</v>
      </c>
      <c r="D288" s="1" t="s">
        <v>585</v>
      </c>
      <c r="E288" s="1" t="s">
        <v>1596</v>
      </c>
    </row>
    <row r="289" spans="1:5" ht="36" customHeight="1">
      <c r="A289" s="1" t="s">
        <v>499</v>
      </c>
      <c r="B289" s="1" t="s">
        <v>1873</v>
      </c>
      <c r="C289" s="1" t="s">
        <v>1617</v>
      </c>
      <c r="D289" s="1" t="s">
        <v>1885</v>
      </c>
      <c r="E289" s="1" t="s">
        <v>1596</v>
      </c>
    </row>
    <row r="290" spans="1:5" ht="36" customHeight="1">
      <c r="A290" s="1" t="s">
        <v>499</v>
      </c>
      <c r="B290" s="1" t="s">
        <v>1873</v>
      </c>
      <c r="C290" s="1" t="s">
        <v>1886</v>
      </c>
      <c r="D290" s="1" t="s">
        <v>1887</v>
      </c>
      <c r="E290" s="1" t="s">
        <v>1596</v>
      </c>
    </row>
    <row r="291" spans="1:5" ht="36" customHeight="1">
      <c r="A291" s="1" t="s">
        <v>499</v>
      </c>
      <c r="B291" s="1" t="s">
        <v>1873</v>
      </c>
      <c r="C291" s="1" t="s">
        <v>1888</v>
      </c>
      <c r="D291" s="1" t="s">
        <v>1889</v>
      </c>
      <c r="E291" s="1" t="s">
        <v>1596</v>
      </c>
    </row>
    <row r="292" spans="1:5" ht="36" customHeight="1">
      <c r="A292" s="1" t="s">
        <v>499</v>
      </c>
      <c r="B292" s="1" t="s">
        <v>1873</v>
      </c>
      <c r="C292" s="1" t="s">
        <v>1890</v>
      </c>
      <c r="D292" s="1" t="s">
        <v>1889</v>
      </c>
      <c r="E292" s="1" t="s">
        <v>1596</v>
      </c>
    </row>
    <row r="293" spans="1:5" ht="36" customHeight="1">
      <c r="A293" s="1" t="s">
        <v>499</v>
      </c>
      <c r="B293" s="1" t="s">
        <v>1873</v>
      </c>
      <c r="C293" s="1" t="s">
        <v>1619</v>
      </c>
      <c r="D293" s="1" t="s">
        <v>1690</v>
      </c>
      <c r="E293" s="1" t="s">
        <v>1596</v>
      </c>
    </row>
    <row r="294" spans="1:5" ht="36" customHeight="1">
      <c r="A294" s="1" t="s">
        <v>499</v>
      </c>
      <c r="B294" s="1" t="s">
        <v>1873</v>
      </c>
      <c r="C294" s="1" t="s">
        <v>1621</v>
      </c>
      <c r="D294" s="1" t="s">
        <v>1691</v>
      </c>
      <c r="E294" s="1" t="s">
        <v>1596</v>
      </c>
    </row>
    <row r="295" spans="1:5" ht="36" customHeight="1">
      <c r="A295" s="1" t="s">
        <v>499</v>
      </c>
      <c r="B295" s="1" t="s">
        <v>1873</v>
      </c>
      <c r="C295" s="1" t="s">
        <v>1891</v>
      </c>
      <c r="D295" s="1" t="s">
        <v>1892</v>
      </c>
      <c r="E295" s="1" t="s">
        <v>1596</v>
      </c>
    </row>
    <row r="296" spans="1:5" ht="36" customHeight="1">
      <c r="A296" s="1" t="s">
        <v>499</v>
      </c>
      <c r="B296" s="1" t="s">
        <v>1873</v>
      </c>
      <c r="C296" s="1" t="s">
        <v>1722</v>
      </c>
      <c r="D296" s="1" t="s">
        <v>587</v>
      </c>
      <c r="E296" s="1" t="s">
        <v>1596</v>
      </c>
    </row>
    <row r="297" spans="1:5" ht="36" customHeight="1">
      <c r="A297" s="1" t="s">
        <v>499</v>
      </c>
      <c r="B297" s="1" t="s">
        <v>1873</v>
      </c>
      <c r="C297" s="1" t="s">
        <v>1624</v>
      </c>
      <c r="D297" s="1" t="s">
        <v>1893</v>
      </c>
      <c r="E297" s="1" t="s">
        <v>1596</v>
      </c>
    </row>
    <row r="298" spans="1:5" ht="36" customHeight="1">
      <c r="A298" s="1" t="s">
        <v>499</v>
      </c>
      <c r="B298" s="1" t="s">
        <v>1873</v>
      </c>
      <c r="C298" s="1" t="s">
        <v>1894</v>
      </c>
      <c r="D298" s="1" t="s">
        <v>1895</v>
      </c>
      <c r="E298" s="1" t="s">
        <v>1596</v>
      </c>
    </row>
    <row r="299" spans="1:5" ht="36" customHeight="1">
      <c r="A299" s="1" t="s">
        <v>499</v>
      </c>
      <c r="B299" s="1" t="s">
        <v>1873</v>
      </c>
      <c r="C299" s="1" t="s">
        <v>1896</v>
      </c>
      <c r="D299" s="1" t="s">
        <v>1897</v>
      </c>
      <c r="E299" s="1" t="s">
        <v>1596</v>
      </c>
    </row>
    <row r="300" spans="1:5" ht="36" customHeight="1">
      <c r="A300" s="1" t="s">
        <v>499</v>
      </c>
      <c r="B300" s="1" t="s">
        <v>1873</v>
      </c>
      <c r="C300" s="1" t="s">
        <v>1898</v>
      </c>
      <c r="D300" s="1" t="s">
        <v>1897</v>
      </c>
      <c r="E300" s="1" t="s">
        <v>1596</v>
      </c>
    </row>
    <row r="301" spans="1:5" ht="36" customHeight="1">
      <c r="A301" s="1" t="s">
        <v>499</v>
      </c>
      <c r="B301" s="1" t="s">
        <v>1873</v>
      </c>
      <c r="C301" s="1" t="s">
        <v>1626</v>
      </c>
      <c r="D301" s="1" t="s">
        <v>1690</v>
      </c>
      <c r="E301" s="1" t="s">
        <v>1596</v>
      </c>
    </row>
    <row r="302" spans="1:5" ht="36" customHeight="1">
      <c r="A302" s="1" t="s">
        <v>499</v>
      </c>
      <c r="B302" s="1" t="s">
        <v>1873</v>
      </c>
      <c r="C302" s="1" t="s">
        <v>1628</v>
      </c>
      <c r="D302" s="1" t="s">
        <v>1899</v>
      </c>
      <c r="E302" s="1" t="s">
        <v>1596</v>
      </c>
    </row>
    <row r="303" spans="1:5" ht="36" customHeight="1">
      <c r="A303" s="1" t="s">
        <v>499</v>
      </c>
      <c r="B303" s="1" t="s">
        <v>1873</v>
      </c>
      <c r="C303" s="1" t="s">
        <v>1900</v>
      </c>
      <c r="D303" s="1" t="s">
        <v>1892</v>
      </c>
      <c r="E303" s="1" t="s">
        <v>1596</v>
      </c>
    </row>
    <row r="304" spans="1:5" ht="36" customHeight="1">
      <c r="A304" s="1" t="s">
        <v>499</v>
      </c>
      <c r="B304" s="1" t="s">
        <v>1873</v>
      </c>
      <c r="C304" s="1" t="s">
        <v>1802</v>
      </c>
      <c r="D304" s="1" t="s">
        <v>590</v>
      </c>
      <c r="E304" s="1" t="s">
        <v>1596</v>
      </c>
    </row>
    <row r="305" spans="1:5" ht="36" customHeight="1">
      <c r="A305" s="1" t="s">
        <v>499</v>
      </c>
      <c r="B305" s="1" t="s">
        <v>1873</v>
      </c>
      <c r="C305" s="1" t="s">
        <v>1632</v>
      </c>
      <c r="D305" s="1" t="s">
        <v>1901</v>
      </c>
      <c r="E305" s="1" t="s">
        <v>1596</v>
      </c>
    </row>
    <row r="306" spans="1:5" ht="36" customHeight="1">
      <c r="A306" s="1" t="s">
        <v>499</v>
      </c>
      <c r="B306" s="1" t="s">
        <v>1873</v>
      </c>
      <c r="C306" s="1" t="s">
        <v>1902</v>
      </c>
      <c r="D306" s="1" t="s">
        <v>1903</v>
      </c>
      <c r="E306" s="1" t="s">
        <v>1596</v>
      </c>
    </row>
    <row r="307" spans="1:5" ht="36" customHeight="1">
      <c r="A307" s="1" t="s">
        <v>499</v>
      </c>
      <c r="B307" s="1" t="s">
        <v>1873</v>
      </c>
      <c r="C307" s="1" t="s">
        <v>1904</v>
      </c>
      <c r="D307" s="1" t="s">
        <v>1897</v>
      </c>
      <c r="E307" s="1" t="s">
        <v>1596</v>
      </c>
    </row>
    <row r="308" spans="1:5" ht="36" customHeight="1">
      <c r="A308" s="1" t="s">
        <v>499</v>
      </c>
      <c r="B308" s="1" t="s">
        <v>1873</v>
      </c>
      <c r="C308" s="1" t="s">
        <v>1905</v>
      </c>
      <c r="D308" s="1" t="s">
        <v>1906</v>
      </c>
      <c r="E308" s="1" t="s">
        <v>1596</v>
      </c>
    </row>
    <row r="309" spans="1:5" ht="36" customHeight="1">
      <c r="A309" s="1" t="s">
        <v>499</v>
      </c>
      <c r="B309" s="1" t="s">
        <v>1873</v>
      </c>
      <c r="C309" s="1" t="s">
        <v>1907</v>
      </c>
      <c r="D309" s="1" t="s">
        <v>1884</v>
      </c>
      <c r="E309" s="1" t="s">
        <v>1596</v>
      </c>
    </row>
    <row r="310" spans="1:5" ht="36" customHeight="1">
      <c r="A310" s="1" t="s">
        <v>499</v>
      </c>
      <c r="B310" s="1" t="s">
        <v>1873</v>
      </c>
      <c r="C310" s="1" t="s">
        <v>1724</v>
      </c>
      <c r="D310" s="1" t="s">
        <v>592</v>
      </c>
      <c r="E310" s="1" t="s">
        <v>1596</v>
      </c>
    </row>
    <row r="311" spans="1:5" ht="36" customHeight="1">
      <c r="A311" s="1" t="s">
        <v>499</v>
      </c>
      <c r="B311" s="1" t="s">
        <v>1873</v>
      </c>
      <c r="C311" s="1" t="s">
        <v>1638</v>
      </c>
      <c r="D311" s="1" t="s">
        <v>1895</v>
      </c>
      <c r="E311" s="1" t="s">
        <v>1596</v>
      </c>
    </row>
    <row r="312" spans="1:5" ht="36" customHeight="1">
      <c r="A312" s="1" t="s">
        <v>499</v>
      </c>
      <c r="B312" s="1" t="s">
        <v>1873</v>
      </c>
      <c r="C312" s="1" t="s">
        <v>1908</v>
      </c>
      <c r="D312" s="1" t="s">
        <v>1903</v>
      </c>
      <c r="E312" s="1" t="s">
        <v>1596</v>
      </c>
    </row>
    <row r="313" spans="1:5" ht="36" customHeight="1">
      <c r="A313" s="1" t="s">
        <v>499</v>
      </c>
      <c r="B313" s="1" t="s">
        <v>1873</v>
      </c>
      <c r="C313" s="1" t="s">
        <v>1909</v>
      </c>
      <c r="D313" s="1" t="s">
        <v>1910</v>
      </c>
      <c r="E313" s="1" t="s">
        <v>1596</v>
      </c>
    </row>
    <row r="314" spans="1:5" ht="36" customHeight="1">
      <c r="A314" s="1" t="s">
        <v>499</v>
      </c>
      <c r="B314" s="1" t="s">
        <v>1873</v>
      </c>
      <c r="C314" s="1" t="s">
        <v>1911</v>
      </c>
      <c r="D314" s="1" t="s">
        <v>1897</v>
      </c>
      <c r="E314" s="1" t="s">
        <v>1596</v>
      </c>
    </row>
    <row r="315" spans="1:5" ht="36" customHeight="1">
      <c r="A315" s="1" t="s">
        <v>499</v>
      </c>
      <c r="B315" s="1" t="s">
        <v>1873</v>
      </c>
      <c r="C315" s="1" t="s">
        <v>1912</v>
      </c>
      <c r="D315" s="1" t="s">
        <v>1892</v>
      </c>
      <c r="E315" s="1" t="s">
        <v>1596</v>
      </c>
    </row>
    <row r="316" spans="1:5" ht="36" customHeight="1">
      <c r="A316" s="1" t="s">
        <v>499</v>
      </c>
      <c r="B316" s="1" t="s">
        <v>1873</v>
      </c>
      <c r="C316" s="1" t="s">
        <v>1913</v>
      </c>
      <c r="D316" s="1" t="s">
        <v>594</v>
      </c>
      <c r="E316" s="1" t="s">
        <v>1596</v>
      </c>
    </row>
    <row r="317" spans="1:5" ht="36" customHeight="1">
      <c r="A317" s="1" t="s">
        <v>499</v>
      </c>
      <c r="B317" s="1" t="s">
        <v>1873</v>
      </c>
      <c r="C317" s="1" t="s">
        <v>1645</v>
      </c>
      <c r="D317" s="1" t="s">
        <v>1893</v>
      </c>
      <c r="E317" s="1" t="s">
        <v>1596</v>
      </c>
    </row>
    <row r="318" spans="1:5" ht="36" customHeight="1">
      <c r="A318" s="1" t="s">
        <v>499</v>
      </c>
      <c r="B318" s="1" t="s">
        <v>1873</v>
      </c>
      <c r="C318" s="1" t="s">
        <v>1914</v>
      </c>
      <c r="D318" s="1" t="s">
        <v>1915</v>
      </c>
      <c r="E318" s="1" t="s">
        <v>1596</v>
      </c>
    </row>
    <row r="319" spans="1:5" ht="36" customHeight="1">
      <c r="A319" s="1" t="s">
        <v>499</v>
      </c>
      <c r="B319" s="1" t="s">
        <v>1873</v>
      </c>
      <c r="C319" s="1" t="s">
        <v>1916</v>
      </c>
      <c r="D319" s="1" t="s">
        <v>1917</v>
      </c>
      <c r="E319" s="1" t="s">
        <v>1596</v>
      </c>
    </row>
    <row r="320" spans="1:5" ht="36" customHeight="1">
      <c r="A320" s="1" t="s">
        <v>499</v>
      </c>
      <c r="B320" s="1" t="s">
        <v>1873</v>
      </c>
      <c r="C320" s="1" t="s">
        <v>1918</v>
      </c>
      <c r="D320" s="1" t="s">
        <v>1919</v>
      </c>
      <c r="E320" s="1" t="s">
        <v>1596</v>
      </c>
    </row>
    <row r="321" spans="1:5" ht="36" customHeight="1">
      <c r="A321" s="1" t="s">
        <v>499</v>
      </c>
      <c r="B321" s="1" t="s">
        <v>1873</v>
      </c>
      <c r="C321" s="1" t="s">
        <v>1920</v>
      </c>
      <c r="D321" s="1" t="s">
        <v>1884</v>
      </c>
      <c r="E321" s="1" t="s">
        <v>1596</v>
      </c>
    </row>
    <row r="322" spans="1:5" ht="36" customHeight="1">
      <c r="A322" s="1" t="s">
        <v>499</v>
      </c>
      <c r="B322" s="1" t="s">
        <v>1873</v>
      </c>
      <c r="C322" s="1" t="s">
        <v>1726</v>
      </c>
      <c r="D322" s="1" t="s">
        <v>596</v>
      </c>
      <c r="E322" s="1" t="s">
        <v>1596</v>
      </c>
    </row>
    <row r="323" spans="1:5" ht="36" customHeight="1">
      <c r="A323" s="1" t="s">
        <v>499</v>
      </c>
      <c r="B323" s="1" t="s">
        <v>1873</v>
      </c>
      <c r="C323" s="1" t="s">
        <v>1651</v>
      </c>
      <c r="D323" s="1" t="s">
        <v>1901</v>
      </c>
      <c r="E323" s="1" t="s">
        <v>1596</v>
      </c>
    </row>
    <row r="324" spans="1:5" ht="36" customHeight="1">
      <c r="A324" s="1" t="s">
        <v>499</v>
      </c>
      <c r="B324" s="1" t="s">
        <v>1873</v>
      </c>
      <c r="C324" s="1" t="s">
        <v>1807</v>
      </c>
      <c r="D324" s="1" t="s">
        <v>1895</v>
      </c>
      <c r="E324" s="1" t="s">
        <v>1596</v>
      </c>
    </row>
    <row r="325" spans="1:5" ht="36" customHeight="1">
      <c r="A325" s="1" t="s">
        <v>499</v>
      </c>
      <c r="B325" s="1" t="s">
        <v>1873</v>
      </c>
      <c r="C325" s="1" t="s">
        <v>1808</v>
      </c>
      <c r="D325" s="1" t="s">
        <v>1921</v>
      </c>
      <c r="E325" s="1" t="s">
        <v>1596</v>
      </c>
    </row>
    <row r="326" spans="1:5" ht="36" customHeight="1">
      <c r="A326" s="1" t="s">
        <v>499</v>
      </c>
      <c r="B326" s="1" t="s">
        <v>1873</v>
      </c>
      <c r="C326" s="1" t="s">
        <v>1809</v>
      </c>
      <c r="D326" s="1" t="s">
        <v>1922</v>
      </c>
      <c r="E326" s="1" t="s">
        <v>1596</v>
      </c>
    </row>
    <row r="327" spans="1:5" ht="36" customHeight="1">
      <c r="A327" s="1" t="s">
        <v>499</v>
      </c>
      <c r="B327" s="1" t="s">
        <v>1873</v>
      </c>
      <c r="C327" s="1" t="s">
        <v>1655</v>
      </c>
      <c r="D327" s="1" t="s">
        <v>1923</v>
      </c>
      <c r="E327" s="1" t="s">
        <v>1596</v>
      </c>
    </row>
    <row r="328" spans="1:5" ht="36" customHeight="1">
      <c r="A328" s="1" t="s">
        <v>499</v>
      </c>
      <c r="B328" s="1" t="s">
        <v>1873</v>
      </c>
      <c r="C328" s="1" t="s">
        <v>1924</v>
      </c>
      <c r="D328" s="1" t="s">
        <v>1892</v>
      </c>
      <c r="E328" s="1" t="s">
        <v>1596</v>
      </c>
    </row>
    <row r="329" spans="1:5" ht="36" customHeight="1">
      <c r="A329" s="1" t="s">
        <v>499</v>
      </c>
      <c r="B329" s="1" t="s">
        <v>1873</v>
      </c>
      <c r="C329" s="1" t="s">
        <v>1925</v>
      </c>
      <c r="D329" s="1" t="s">
        <v>598</v>
      </c>
      <c r="E329" s="1" t="s">
        <v>1596</v>
      </c>
    </row>
    <row r="330" spans="1:5" ht="36" customHeight="1">
      <c r="A330" s="1" t="s">
        <v>499</v>
      </c>
      <c r="B330" s="1" t="s">
        <v>1873</v>
      </c>
      <c r="C330" s="1" t="s">
        <v>1658</v>
      </c>
      <c r="D330" s="1" t="s">
        <v>1893</v>
      </c>
      <c r="E330" s="1" t="s">
        <v>1596</v>
      </c>
    </row>
    <row r="331" spans="1:5" ht="36" customHeight="1">
      <c r="A331" s="1" t="s">
        <v>499</v>
      </c>
      <c r="B331" s="1" t="s">
        <v>1873</v>
      </c>
      <c r="C331" s="1" t="s">
        <v>1926</v>
      </c>
      <c r="D331" s="1" t="s">
        <v>1895</v>
      </c>
      <c r="E331" s="1" t="s">
        <v>1596</v>
      </c>
    </row>
    <row r="332" spans="1:5" ht="36" customHeight="1">
      <c r="A332" s="1" t="s">
        <v>499</v>
      </c>
      <c r="B332" s="1" t="s">
        <v>1873</v>
      </c>
      <c r="C332" s="1" t="s">
        <v>1927</v>
      </c>
      <c r="D332" s="1" t="s">
        <v>1901</v>
      </c>
      <c r="E332" s="1" t="s">
        <v>1596</v>
      </c>
    </row>
    <row r="333" spans="1:5" ht="36" customHeight="1">
      <c r="A333" s="1" t="s">
        <v>499</v>
      </c>
      <c r="B333" s="1" t="s">
        <v>1873</v>
      </c>
      <c r="C333" s="1" t="s">
        <v>1928</v>
      </c>
      <c r="D333" s="1" t="s">
        <v>1901</v>
      </c>
      <c r="E333" s="1" t="s">
        <v>1596</v>
      </c>
    </row>
    <row r="334" spans="1:5" ht="36" customHeight="1">
      <c r="A334" s="1" t="s">
        <v>499</v>
      </c>
      <c r="B334" s="1" t="s">
        <v>1873</v>
      </c>
      <c r="C334" s="1" t="s">
        <v>1660</v>
      </c>
      <c r="D334" s="1" t="s">
        <v>549</v>
      </c>
      <c r="E334" s="1" t="s">
        <v>1596</v>
      </c>
    </row>
    <row r="335" spans="1:5" ht="36" customHeight="1">
      <c r="A335" s="1" t="s">
        <v>499</v>
      </c>
      <c r="B335" s="1" t="s">
        <v>1873</v>
      </c>
      <c r="C335" s="1" t="s">
        <v>1661</v>
      </c>
      <c r="D335" s="1" t="s">
        <v>1691</v>
      </c>
      <c r="E335" s="1" t="s">
        <v>1596</v>
      </c>
    </row>
    <row r="336" spans="1:5" ht="36" customHeight="1">
      <c r="A336" s="1" t="s">
        <v>499</v>
      </c>
      <c r="B336" s="1" t="s">
        <v>1873</v>
      </c>
      <c r="C336" s="1" t="s">
        <v>1929</v>
      </c>
      <c r="D336" s="1" t="s">
        <v>1892</v>
      </c>
      <c r="E336" s="1" t="s">
        <v>1596</v>
      </c>
    </row>
    <row r="337" spans="1:5" ht="36" customHeight="1">
      <c r="A337" s="1" t="s">
        <v>499</v>
      </c>
      <c r="B337" s="1" t="s">
        <v>1873</v>
      </c>
      <c r="C337" s="1" t="s">
        <v>1728</v>
      </c>
      <c r="D337" s="1" t="s">
        <v>600</v>
      </c>
      <c r="E337" s="1" t="s">
        <v>1596</v>
      </c>
    </row>
    <row r="338" spans="1:5" ht="36" customHeight="1">
      <c r="A338" s="1" t="s">
        <v>499</v>
      </c>
      <c r="B338" s="1" t="s">
        <v>1873</v>
      </c>
      <c r="C338" s="1" t="s">
        <v>1664</v>
      </c>
      <c r="D338" s="1" t="s">
        <v>1901</v>
      </c>
      <c r="E338" s="1" t="s">
        <v>1596</v>
      </c>
    </row>
    <row r="339" spans="1:5" ht="36" customHeight="1">
      <c r="A339" s="1" t="s">
        <v>499</v>
      </c>
      <c r="B339" s="1" t="s">
        <v>1873</v>
      </c>
      <c r="C339" s="1" t="s">
        <v>1930</v>
      </c>
      <c r="D339" s="1" t="s">
        <v>1895</v>
      </c>
      <c r="E339" s="1" t="s">
        <v>1596</v>
      </c>
    </row>
    <row r="340" spans="1:5" ht="36" customHeight="1">
      <c r="A340" s="1" t="s">
        <v>499</v>
      </c>
      <c r="B340" s="1" t="s">
        <v>1873</v>
      </c>
      <c r="C340" s="1" t="s">
        <v>1931</v>
      </c>
      <c r="D340" s="1" t="s">
        <v>1895</v>
      </c>
      <c r="E340" s="1" t="s">
        <v>1596</v>
      </c>
    </row>
    <row r="341" spans="1:5" ht="36" customHeight="1">
      <c r="A341" s="1" t="s">
        <v>499</v>
      </c>
      <c r="B341" s="1" t="s">
        <v>1873</v>
      </c>
      <c r="C341" s="1" t="s">
        <v>1932</v>
      </c>
      <c r="D341" s="1" t="s">
        <v>1895</v>
      </c>
      <c r="E341" s="1" t="s">
        <v>1596</v>
      </c>
    </row>
    <row r="342" spans="1:5" ht="36" customHeight="1">
      <c r="A342" s="1" t="s">
        <v>499</v>
      </c>
      <c r="B342" s="1" t="s">
        <v>1873</v>
      </c>
      <c r="C342" s="1" t="s">
        <v>1933</v>
      </c>
      <c r="D342" s="1" t="s">
        <v>1884</v>
      </c>
      <c r="E342" s="1" t="s">
        <v>1596</v>
      </c>
    </row>
    <row r="343" spans="1:5" ht="36" customHeight="1">
      <c r="A343" s="1" t="s">
        <v>499</v>
      </c>
      <c r="B343" s="1" t="s">
        <v>1873</v>
      </c>
      <c r="C343" s="1" t="s">
        <v>1816</v>
      </c>
      <c r="D343" s="1" t="s">
        <v>602</v>
      </c>
      <c r="E343" s="1" t="s">
        <v>1596</v>
      </c>
    </row>
    <row r="344" spans="1:5" ht="36" customHeight="1">
      <c r="A344" s="1" t="s">
        <v>499</v>
      </c>
      <c r="B344" s="1" t="s">
        <v>1873</v>
      </c>
      <c r="C344" s="1" t="s">
        <v>1701</v>
      </c>
      <c r="D344" s="1" t="s">
        <v>1901</v>
      </c>
      <c r="E344" s="1" t="s">
        <v>1596</v>
      </c>
    </row>
    <row r="345" spans="1:5" ht="36" customHeight="1">
      <c r="A345" s="1" t="s">
        <v>499</v>
      </c>
      <c r="B345" s="1" t="s">
        <v>1873</v>
      </c>
      <c r="C345" s="1" t="s">
        <v>1934</v>
      </c>
      <c r="D345" s="1" t="s">
        <v>1895</v>
      </c>
      <c r="E345" s="1" t="s">
        <v>1596</v>
      </c>
    </row>
    <row r="346" spans="1:5" ht="36" customHeight="1">
      <c r="A346" s="1" t="s">
        <v>499</v>
      </c>
      <c r="B346" s="1" t="s">
        <v>1873</v>
      </c>
      <c r="C346" s="1" t="s">
        <v>1935</v>
      </c>
      <c r="D346" s="1" t="s">
        <v>1897</v>
      </c>
      <c r="E346" s="1" t="s">
        <v>1596</v>
      </c>
    </row>
    <row r="347" spans="1:5" ht="36" customHeight="1">
      <c r="A347" s="1" t="s">
        <v>499</v>
      </c>
      <c r="B347" s="1" t="s">
        <v>1873</v>
      </c>
      <c r="C347" s="1" t="s">
        <v>1936</v>
      </c>
      <c r="D347" s="1" t="s">
        <v>1897</v>
      </c>
      <c r="E347" s="1" t="s">
        <v>1596</v>
      </c>
    </row>
    <row r="348" spans="1:5" ht="36" customHeight="1">
      <c r="A348" s="1" t="s">
        <v>499</v>
      </c>
      <c r="B348" s="1" t="s">
        <v>1873</v>
      </c>
      <c r="C348" s="1" t="s">
        <v>1703</v>
      </c>
      <c r="D348" s="1" t="s">
        <v>1937</v>
      </c>
      <c r="E348" s="1" t="s">
        <v>1596</v>
      </c>
    </row>
    <row r="349" spans="1:5" ht="36" customHeight="1">
      <c r="A349" s="1" t="s">
        <v>499</v>
      </c>
      <c r="B349" s="1" t="s">
        <v>1873</v>
      </c>
      <c r="C349" s="1" t="s">
        <v>1938</v>
      </c>
      <c r="D349" s="1" t="s">
        <v>1892</v>
      </c>
      <c r="E349" s="1" t="s">
        <v>1596</v>
      </c>
    </row>
    <row r="350" spans="1:5" ht="36" customHeight="1">
      <c r="A350" s="1" t="s">
        <v>499</v>
      </c>
      <c r="B350" s="1" t="s">
        <v>1873</v>
      </c>
      <c r="C350" s="1" t="s">
        <v>1730</v>
      </c>
      <c r="D350" s="1" t="s">
        <v>604</v>
      </c>
      <c r="E350" s="1" t="s">
        <v>1596</v>
      </c>
    </row>
    <row r="351" spans="1:5" ht="36" customHeight="1">
      <c r="A351" s="1" t="s">
        <v>499</v>
      </c>
      <c r="B351" s="1" t="s">
        <v>1873</v>
      </c>
      <c r="C351" s="1" t="s">
        <v>1732</v>
      </c>
      <c r="D351" s="1" t="s">
        <v>1901</v>
      </c>
      <c r="E351" s="1" t="s">
        <v>1596</v>
      </c>
    </row>
    <row r="352" spans="1:5" ht="36" customHeight="1">
      <c r="A352" s="1" t="s">
        <v>499</v>
      </c>
      <c r="B352" s="1" t="s">
        <v>1873</v>
      </c>
      <c r="C352" s="1" t="s">
        <v>1939</v>
      </c>
      <c r="D352" s="1" t="s">
        <v>1895</v>
      </c>
      <c r="E352" s="1" t="s">
        <v>1596</v>
      </c>
    </row>
    <row r="353" spans="1:5" ht="36" customHeight="1">
      <c r="A353" s="1" t="s">
        <v>499</v>
      </c>
      <c r="B353" s="1" t="s">
        <v>1873</v>
      </c>
      <c r="C353" s="1" t="s">
        <v>1940</v>
      </c>
      <c r="D353" s="1" t="s">
        <v>1941</v>
      </c>
      <c r="E353" s="1" t="s">
        <v>1942</v>
      </c>
    </row>
    <row r="354" spans="1:5" ht="36" customHeight="1">
      <c r="A354" s="1" t="s">
        <v>499</v>
      </c>
      <c r="B354" s="1" t="s">
        <v>1873</v>
      </c>
      <c r="C354" s="1" t="s">
        <v>1943</v>
      </c>
      <c r="D354" s="1" t="s">
        <v>1944</v>
      </c>
      <c r="E354" s="1" t="s">
        <v>1942</v>
      </c>
    </row>
    <row r="355" spans="1:5" ht="36" customHeight="1">
      <c r="A355" s="1" t="s">
        <v>499</v>
      </c>
      <c r="B355" s="1" t="s">
        <v>1873</v>
      </c>
      <c r="C355" s="1" t="s">
        <v>1945</v>
      </c>
      <c r="D355" s="1" t="s">
        <v>1690</v>
      </c>
      <c r="E355" s="1" t="s">
        <v>1596</v>
      </c>
    </row>
    <row r="356" spans="1:5" ht="36" customHeight="1">
      <c r="A356" s="1" t="s">
        <v>499</v>
      </c>
      <c r="B356" s="1" t="s">
        <v>1873</v>
      </c>
      <c r="C356" s="1" t="s">
        <v>1946</v>
      </c>
      <c r="D356" s="1" t="s">
        <v>1923</v>
      </c>
      <c r="E356" s="1" t="s">
        <v>1596</v>
      </c>
    </row>
    <row r="357" spans="1:5" ht="36" customHeight="1">
      <c r="A357" s="1" t="s">
        <v>499</v>
      </c>
      <c r="B357" s="1" t="s">
        <v>1873</v>
      </c>
      <c r="C357" s="1" t="s">
        <v>1947</v>
      </c>
      <c r="D357" s="1" t="s">
        <v>1892</v>
      </c>
      <c r="E357" s="1" t="s">
        <v>1596</v>
      </c>
    </row>
    <row r="358" spans="1:5" ht="36" customHeight="1">
      <c r="A358" s="1" t="s">
        <v>499</v>
      </c>
      <c r="B358" s="1" t="s">
        <v>1873</v>
      </c>
      <c r="C358" s="1" t="s">
        <v>1948</v>
      </c>
      <c r="D358" s="1" t="s">
        <v>1668</v>
      </c>
      <c r="E358" s="1" t="s">
        <v>1596</v>
      </c>
    </row>
    <row r="359" spans="1:5" ht="36" customHeight="1">
      <c r="A359" s="1" t="s">
        <v>499</v>
      </c>
      <c r="B359" s="1" t="s">
        <v>1873</v>
      </c>
      <c r="C359" s="1" t="s">
        <v>1949</v>
      </c>
      <c r="D359" s="1" t="s">
        <v>1670</v>
      </c>
      <c r="E359" s="1" t="s">
        <v>1596</v>
      </c>
    </row>
    <row r="360" spans="1:5" ht="36" customHeight="1">
      <c r="A360" s="1" t="s">
        <v>499</v>
      </c>
      <c r="B360" s="1" t="s">
        <v>1873</v>
      </c>
      <c r="C360" s="1" t="s">
        <v>1950</v>
      </c>
      <c r="D360" s="1" t="s">
        <v>1672</v>
      </c>
      <c r="E360" s="1" t="s">
        <v>1596</v>
      </c>
    </row>
    <row r="361" spans="1:5" ht="36" customHeight="1">
      <c r="A361" s="1" t="s">
        <v>499</v>
      </c>
      <c r="B361" s="1" t="s">
        <v>1951</v>
      </c>
      <c r="C361" s="1" t="s">
        <v>1594</v>
      </c>
      <c r="D361" s="1" t="s">
        <v>1952</v>
      </c>
      <c r="E361" s="1" t="s">
        <v>1596</v>
      </c>
    </row>
    <row r="362" spans="1:5" ht="36" customHeight="1">
      <c r="A362" s="1" t="s">
        <v>499</v>
      </c>
      <c r="B362" s="1" t="s">
        <v>1951</v>
      </c>
      <c r="C362" s="1" t="s">
        <v>1597</v>
      </c>
      <c r="D362" s="1" t="s">
        <v>1598</v>
      </c>
      <c r="E362" s="1" t="s">
        <v>1596</v>
      </c>
    </row>
    <row r="363" spans="1:5" ht="36" customHeight="1">
      <c r="A363" s="1" t="s">
        <v>499</v>
      </c>
      <c r="B363" s="1" t="s">
        <v>1951</v>
      </c>
      <c r="C363" s="1" t="s">
        <v>1599</v>
      </c>
      <c r="D363" s="1" t="s">
        <v>1953</v>
      </c>
      <c r="E363" s="1" t="s">
        <v>1596</v>
      </c>
    </row>
    <row r="364" spans="1:5" ht="36" customHeight="1">
      <c r="A364" s="1" t="s">
        <v>499</v>
      </c>
      <c r="B364" s="1" t="s">
        <v>1951</v>
      </c>
      <c r="C364" s="1" t="s">
        <v>1601</v>
      </c>
      <c r="D364" s="1" t="s">
        <v>1602</v>
      </c>
      <c r="E364" s="1" t="s">
        <v>1596</v>
      </c>
    </row>
    <row r="365" spans="1:5" ht="36" customHeight="1">
      <c r="A365" s="1" t="s">
        <v>499</v>
      </c>
      <c r="B365" s="1" t="s">
        <v>1951</v>
      </c>
      <c r="C365" s="1" t="s">
        <v>1603</v>
      </c>
      <c r="D365" s="1" t="s">
        <v>1951</v>
      </c>
      <c r="E365" s="1" t="s">
        <v>1596</v>
      </c>
    </row>
    <row r="366" spans="1:5" ht="36" customHeight="1">
      <c r="A366" s="1" t="s">
        <v>499</v>
      </c>
      <c r="B366" s="1" t="s">
        <v>1951</v>
      </c>
      <c r="C366" s="1" t="s">
        <v>1605</v>
      </c>
      <c r="D366" s="1" t="s">
        <v>1676</v>
      </c>
      <c r="E366" s="1" t="s">
        <v>1596</v>
      </c>
    </row>
    <row r="367" spans="1:5" ht="36" customHeight="1">
      <c r="A367" s="1" t="s">
        <v>499</v>
      </c>
      <c r="B367" s="1" t="s">
        <v>1951</v>
      </c>
      <c r="C367" s="1" t="s">
        <v>1677</v>
      </c>
      <c r="D367" s="1" t="s">
        <v>1678</v>
      </c>
      <c r="E367" s="1" t="s">
        <v>1596</v>
      </c>
    </row>
    <row r="368" spans="1:5" ht="36" customHeight="1">
      <c r="A368" s="1" t="s">
        <v>499</v>
      </c>
      <c r="B368" s="1" t="s">
        <v>1951</v>
      </c>
      <c r="C368" s="1" t="s">
        <v>1679</v>
      </c>
      <c r="D368" s="1" t="s">
        <v>1160</v>
      </c>
      <c r="E368" s="1" t="s">
        <v>1596</v>
      </c>
    </row>
    <row r="369" spans="1:5" ht="36" customHeight="1">
      <c r="A369" s="1" t="s">
        <v>499</v>
      </c>
      <c r="B369" s="1" t="s">
        <v>1951</v>
      </c>
      <c r="C369" s="1" t="s">
        <v>1680</v>
      </c>
      <c r="D369" s="1" t="s">
        <v>1681</v>
      </c>
      <c r="E369" s="1" t="s">
        <v>1596</v>
      </c>
    </row>
    <row r="370" spans="1:5" ht="36" customHeight="1">
      <c r="A370" s="1" t="s">
        <v>499</v>
      </c>
      <c r="B370" s="1" t="s">
        <v>1951</v>
      </c>
      <c r="C370" s="1" t="s">
        <v>1682</v>
      </c>
      <c r="D370" s="1" t="s">
        <v>1683</v>
      </c>
      <c r="E370" s="1" t="s">
        <v>1596</v>
      </c>
    </row>
    <row r="371" spans="1:5" ht="36" customHeight="1">
      <c r="A371" s="1" t="s">
        <v>499</v>
      </c>
      <c r="B371" s="1" t="s">
        <v>1951</v>
      </c>
      <c r="C371" s="1" t="s">
        <v>1684</v>
      </c>
      <c r="D371" s="1" t="s">
        <v>1685</v>
      </c>
      <c r="E371" s="1" t="s">
        <v>1596</v>
      </c>
    </row>
    <row r="372" spans="1:5" ht="36" customHeight="1">
      <c r="A372" s="1" t="s">
        <v>499</v>
      </c>
      <c r="B372" s="1" t="s">
        <v>1951</v>
      </c>
      <c r="C372" s="1" t="s">
        <v>1686</v>
      </c>
      <c r="D372" s="1" t="s">
        <v>1687</v>
      </c>
      <c r="E372" s="1" t="s">
        <v>1596</v>
      </c>
    </row>
    <row r="373" spans="1:5" ht="36" customHeight="1">
      <c r="A373" s="1" t="s">
        <v>499</v>
      </c>
      <c r="B373" s="1" t="s">
        <v>1951</v>
      </c>
      <c r="C373" s="1" t="s">
        <v>1607</v>
      </c>
      <c r="D373" s="1" t="s">
        <v>1091</v>
      </c>
      <c r="E373" s="1" t="s">
        <v>1596</v>
      </c>
    </row>
    <row r="374" spans="1:5" ht="36" customHeight="1">
      <c r="A374" s="1" t="s">
        <v>499</v>
      </c>
      <c r="B374" s="1" t="s">
        <v>1951</v>
      </c>
      <c r="C374" s="1" t="s">
        <v>1608</v>
      </c>
      <c r="D374" s="1" t="s">
        <v>1598</v>
      </c>
      <c r="E374" s="1" t="s">
        <v>1596</v>
      </c>
    </row>
    <row r="375" spans="1:5" ht="36" customHeight="1">
      <c r="A375" s="1" t="s">
        <v>499</v>
      </c>
      <c r="B375" s="1" t="s">
        <v>1951</v>
      </c>
      <c r="C375" s="1" t="s">
        <v>1954</v>
      </c>
      <c r="D375" s="1" t="s">
        <v>1955</v>
      </c>
      <c r="E375" s="1" t="s">
        <v>1596</v>
      </c>
    </row>
    <row r="376" spans="1:5" ht="36" customHeight="1">
      <c r="A376" s="1" t="s">
        <v>499</v>
      </c>
      <c r="B376" s="1" t="s">
        <v>1951</v>
      </c>
      <c r="C376" s="1" t="s">
        <v>1956</v>
      </c>
      <c r="D376" s="1" t="s">
        <v>1957</v>
      </c>
      <c r="E376" s="1" t="s">
        <v>1596</v>
      </c>
    </row>
    <row r="377" spans="1:5" ht="36" customHeight="1">
      <c r="A377" s="1" t="s">
        <v>499</v>
      </c>
      <c r="B377" s="1" t="s">
        <v>1951</v>
      </c>
      <c r="C377" s="1" t="s">
        <v>1958</v>
      </c>
      <c r="D377" s="1" t="s">
        <v>1959</v>
      </c>
      <c r="E377" s="1" t="s">
        <v>1596</v>
      </c>
    </row>
    <row r="378" spans="1:5" ht="48" customHeight="1">
      <c r="A378" s="1" t="s">
        <v>499</v>
      </c>
      <c r="B378" s="1" t="s">
        <v>1951</v>
      </c>
      <c r="C378" s="1" t="s">
        <v>1960</v>
      </c>
      <c r="D378" s="1" t="s">
        <v>1961</v>
      </c>
      <c r="E378" s="1" t="s">
        <v>1596</v>
      </c>
    </row>
    <row r="379" spans="1:5" ht="36" customHeight="1">
      <c r="A379" s="1" t="s">
        <v>499</v>
      </c>
      <c r="B379" s="1" t="s">
        <v>1951</v>
      </c>
      <c r="C379" s="1" t="s">
        <v>1962</v>
      </c>
      <c r="D379" s="1" t="s">
        <v>1963</v>
      </c>
      <c r="E379" s="1" t="s">
        <v>1596</v>
      </c>
    </row>
    <row r="380" spans="1:5" ht="36" customHeight="1">
      <c r="A380" s="1" t="s">
        <v>499</v>
      </c>
      <c r="B380" s="1" t="s">
        <v>1951</v>
      </c>
      <c r="C380" s="1" t="s">
        <v>1964</v>
      </c>
      <c r="D380" s="1" t="s">
        <v>1965</v>
      </c>
      <c r="E380" s="1" t="s">
        <v>1596</v>
      </c>
    </row>
    <row r="381" spans="1:5" ht="36" customHeight="1">
      <c r="A381" s="1" t="s">
        <v>499</v>
      </c>
      <c r="B381" s="1" t="s">
        <v>1951</v>
      </c>
      <c r="C381" s="1" t="s">
        <v>1966</v>
      </c>
      <c r="D381" s="1" t="s">
        <v>1869</v>
      </c>
      <c r="E381" s="1" t="s">
        <v>1596</v>
      </c>
    </row>
    <row r="382" spans="1:5" ht="36" customHeight="1">
      <c r="A382" s="1" t="s">
        <v>499</v>
      </c>
      <c r="B382" s="1" t="s">
        <v>1951</v>
      </c>
      <c r="C382" s="1" t="s">
        <v>1717</v>
      </c>
      <c r="D382" s="1" t="s">
        <v>1967</v>
      </c>
      <c r="E382" s="1" t="s">
        <v>1596</v>
      </c>
    </row>
    <row r="383" spans="1:5" ht="36" customHeight="1">
      <c r="A383" s="1" t="s">
        <v>499</v>
      </c>
      <c r="B383" s="1" t="s">
        <v>1951</v>
      </c>
      <c r="C383" s="1" t="s">
        <v>1791</v>
      </c>
      <c r="D383" s="1" t="s">
        <v>1968</v>
      </c>
      <c r="E383" s="1" t="s">
        <v>1596</v>
      </c>
    </row>
    <row r="384" spans="1:5" ht="36" customHeight="1">
      <c r="A384" s="1" t="s">
        <v>499</v>
      </c>
      <c r="B384" s="1" t="s">
        <v>1951</v>
      </c>
      <c r="C384" s="1" t="s">
        <v>1617</v>
      </c>
      <c r="D384" s="1" t="s">
        <v>1969</v>
      </c>
      <c r="E384" s="1" t="s">
        <v>1596</v>
      </c>
    </row>
    <row r="385" spans="1:5" ht="36" customHeight="1">
      <c r="A385" s="1" t="s">
        <v>499</v>
      </c>
      <c r="B385" s="1" t="s">
        <v>1951</v>
      </c>
      <c r="C385" s="1" t="s">
        <v>1619</v>
      </c>
      <c r="D385" s="1" t="s">
        <v>1965</v>
      </c>
      <c r="E385" s="1" t="s">
        <v>1596</v>
      </c>
    </row>
    <row r="386" spans="1:5" ht="36" customHeight="1">
      <c r="A386" s="1" t="s">
        <v>499</v>
      </c>
      <c r="B386" s="1" t="s">
        <v>1951</v>
      </c>
      <c r="C386" s="1" t="s">
        <v>1621</v>
      </c>
      <c r="D386" s="1" t="s">
        <v>1869</v>
      </c>
      <c r="E386" s="1" t="s">
        <v>1596</v>
      </c>
    </row>
    <row r="387" spans="1:5" ht="36" customHeight="1">
      <c r="A387" s="1" t="s">
        <v>499</v>
      </c>
      <c r="B387" s="1" t="s">
        <v>1951</v>
      </c>
      <c r="C387" s="1" t="s">
        <v>1623</v>
      </c>
      <c r="D387" s="1" t="s">
        <v>1970</v>
      </c>
      <c r="E387" s="1" t="s">
        <v>1596</v>
      </c>
    </row>
    <row r="388" spans="1:5" ht="36" customHeight="1">
      <c r="A388" s="1" t="s">
        <v>499</v>
      </c>
      <c r="B388" s="1" t="s">
        <v>1951</v>
      </c>
      <c r="C388" s="1" t="s">
        <v>1722</v>
      </c>
      <c r="D388" s="1" t="s">
        <v>1971</v>
      </c>
      <c r="E388" s="1" t="s">
        <v>1596</v>
      </c>
    </row>
    <row r="389" spans="1:5" ht="36" customHeight="1">
      <c r="A389" s="1" t="s">
        <v>499</v>
      </c>
      <c r="B389" s="1" t="s">
        <v>1951</v>
      </c>
      <c r="C389" s="1" t="s">
        <v>1624</v>
      </c>
      <c r="D389" s="1" t="s">
        <v>1972</v>
      </c>
      <c r="E389" s="1" t="s">
        <v>1596</v>
      </c>
    </row>
    <row r="390" spans="1:5" ht="36" customHeight="1">
      <c r="A390" s="1" t="s">
        <v>499</v>
      </c>
      <c r="B390" s="1" t="s">
        <v>1951</v>
      </c>
      <c r="C390" s="1" t="s">
        <v>1626</v>
      </c>
      <c r="D390" s="1" t="s">
        <v>1973</v>
      </c>
      <c r="E390" s="1" t="s">
        <v>1596</v>
      </c>
    </row>
    <row r="391" spans="1:5" ht="36" customHeight="1">
      <c r="A391" s="1" t="s">
        <v>499</v>
      </c>
      <c r="B391" s="1" t="s">
        <v>1951</v>
      </c>
      <c r="C391" s="1" t="s">
        <v>1632</v>
      </c>
      <c r="D391" s="1" t="s">
        <v>1974</v>
      </c>
      <c r="E391" s="1" t="s">
        <v>1596</v>
      </c>
    </row>
    <row r="392" spans="1:5" ht="36" customHeight="1">
      <c r="A392" s="1" t="s">
        <v>499</v>
      </c>
      <c r="B392" s="1" t="s">
        <v>1951</v>
      </c>
      <c r="C392" s="1" t="s">
        <v>1638</v>
      </c>
      <c r="D392" s="1" t="s">
        <v>1975</v>
      </c>
      <c r="E392" s="1" t="s">
        <v>1596</v>
      </c>
    </row>
    <row r="393" spans="1:5" ht="36" customHeight="1">
      <c r="A393" s="1" t="s">
        <v>499</v>
      </c>
      <c r="B393" s="1" t="s">
        <v>1951</v>
      </c>
      <c r="C393" s="1" t="s">
        <v>1645</v>
      </c>
      <c r="D393" s="1" t="s">
        <v>1976</v>
      </c>
      <c r="E393" s="1" t="s">
        <v>1596</v>
      </c>
    </row>
    <row r="394" spans="1:5" ht="36" customHeight="1">
      <c r="A394" s="1" t="s">
        <v>499</v>
      </c>
      <c r="B394" s="1" t="s">
        <v>1951</v>
      </c>
      <c r="C394" s="1" t="s">
        <v>1651</v>
      </c>
      <c r="D394" s="1" t="s">
        <v>1977</v>
      </c>
      <c r="E394" s="1" t="s">
        <v>1596</v>
      </c>
    </row>
    <row r="395" spans="1:5" ht="36" customHeight="1">
      <c r="A395" s="1" t="s">
        <v>499</v>
      </c>
      <c r="B395" s="1" t="s">
        <v>1951</v>
      </c>
      <c r="C395" s="1" t="s">
        <v>1658</v>
      </c>
      <c r="D395" s="1" t="s">
        <v>1978</v>
      </c>
      <c r="E395" s="1" t="s">
        <v>1596</v>
      </c>
    </row>
    <row r="396" spans="1:5" ht="36" customHeight="1">
      <c r="A396" s="1" t="s">
        <v>499</v>
      </c>
      <c r="B396" s="1" t="s">
        <v>1951</v>
      </c>
      <c r="C396" s="1" t="s">
        <v>1730</v>
      </c>
      <c r="D396" s="1" t="s">
        <v>1979</v>
      </c>
      <c r="E396" s="1" t="s">
        <v>1596</v>
      </c>
    </row>
    <row r="397" spans="1:5" ht="36" customHeight="1">
      <c r="A397" s="1" t="s">
        <v>499</v>
      </c>
      <c r="B397" s="1" t="s">
        <v>1951</v>
      </c>
      <c r="C397" s="1" t="s">
        <v>1980</v>
      </c>
      <c r="D397" s="1" t="s">
        <v>1981</v>
      </c>
      <c r="E397" s="1" t="s">
        <v>1596</v>
      </c>
    </row>
    <row r="398" spans="1:5" ht="36" customHeight="1">
      <c r="A398" s="1" t="s">
        <v>499</v>
      </c>
      <c r="B398" s="1" t="s">
        <v>1951</v>
      </c>
      <c r="C398" s="1" t="s">
        <v>1982</v>
      </c>
      <c r="D398" s="1" t="s">
        <v>1983</v>
      </c>
      <c r="E398" s="1" t="s">
        <v>1596</v>
      </c>
    </row>
    <row r="399" spans="1:5" ht="36" customHeight="1">
      <c r="A399" s="1" t="s">
        <v>499</v>
      </c>
      <c r="B399" s="1" t="s">
        <v>1951</v>
      </c>
      <c r="C399" s="1" t="s">
        <v>1984</v>
      </c>
      <c r="D399" s="1" t="s">
        <v>1903</v>
      </c>
      <c r="E399" s="1" t="s">
        <v>1596</v>
      </c>
    </row>
    <row r="400" spans="1:5" ht="36" customHeight="1">
      <c r="A400" s="1" t="s">
        <v>499</v>
      </c>
      <c r="B400" s="1" t="s">
        <v>1951</v>
      </c>
      <c r="C400" s="1" t="s">
        <v>1985</v>
      </c>
      <c r="D400" s="1" t="s">
        <v>1986</v>
      </c>
      <c r="E400" s="1" t="s">
        <v>1596</v>
      </c>
    </row>
    <row r="401" spans="1:5" ht="36" customHeight="1">
      <c r="A401" s="1" t="s">
        <v>499</v>
      </c>
      <c r="B401" s="1" t="s">
        <v>1951</v>
      </c>
      <c r="C401" s="1" t="s">
        <v>1987</v>
      </c>
      <c r="D401" s="1" t="s">
        <v>1988</v>
      </c>
      <c r="E401" s="1" t="s">
        <v>1596</v>
      </c>
    </row>
    <row r="402" spans="1:5" ht="36" customHeight="1">
      <c r="A402" s="1" t="s">
        <v>499</v>
      </c>
      <c r="B402" s="1" t="s">
        <v>1951</v>
      </c>
      <c r="C402" s="1" t="s">
        <v>1711</v>
      </c>
      <c r="D402" s="1" t="s">
        <v>1989</v>
      </c>
      <c r="E402" s="1" t="s">
        <v>1596</v>
      </c>
    </row>
    <row r="403" spans="1:5" ht="36" customHeight="1">
      <c r="A403" s="1" t="s">
        <v>499</v>
      </c>
      <c r="B403" s="1" t="s">
        <v>1951</v>
      </c>
      <c r="C403" s="1" t="s">
        <v>1840</v>
      </c>
      <c r="D403" s="1" t="s">
        <v>1990</v>
      </c>
      <c r="E403" s="1" t="s">
        <v>1596</v>
      </c>
    </row>
    <row r="404" spans="1:5" ht="36" customHeight="1">
      <c r="A404" s="1" t="s">
        <v>499</v>
      </c>
      <c r="B404" s="1" t="s">
        <v>1951</v>
      </c>
      <c r="C404" s="1" t="s">
        <v>1741</v>
      </c>
      <c r="D404" s="1" t="s">
        <v>1983</v>
      </c>
      <c r="E404" s="1" t="s">
        <v>1596</v>
      </c>
    </row>
    <row r="405" spans="1:5" ht="36" customHeight="1">
      <c r="A405" s="1" t="s">
        <v>499</v>
      </c>
      <c r="B405" s="1" t="s">
        <v>1951</v>
      </c>
      <c r="C405" s="1" t="s">
        <v>1712</v>
      </c>
      <c r="D405" s="1" t="s">
        <v>1903</v>
      </c>
      <c r="E405" s="1" t="s">
        <v>1596</v>
      </c>
    </row>
    <row r="406" spans="1:5" ht="36" customHeight="1">
      <c r="A406" s="1" t="s">
        <v>499</v>
      </c>
      <c r="B406" s="1" t="s">
        <v>1951</v>
      </c>
      <c r="C406" s="1" t="s">
        <v>1991</v>
      </c>
      <c r="D406" s="1" t="s">
        <v>1986</v>
      </c>
      <c r="E406" s="1" t="s">
        <v>1596</v>
      </c>
    </row>
    <row r="407" spans="1:5" ht="36" customHeight="1">
      <c r="A407" s="1" t="s">
        <v>499</v>
      </c>
      <c r="B407" s="1" t="s">
        <v>1951</v>
      </c>
      <c r="C407" s="1" t="s">
        <v>1992</v>
      </c>
      <c r="D407" s="1" t="s">
        <v>1988</v>
      </c>
      <c r="E407" s="1" t="s">
        <v>1596</v>
      </c>
    </row>
    <row r="408" spans="1:5" ht="36" customHeight="1">
      <c r="A408" s="1" t="s">
        <v>499</v>
      </c>
      <c r="B408" s="1" t="s">
        <v>1951</v>
      </c>
      <c r="C408" s="1" t="s">
        <v>1993</v>
      </c>
      <c r="D408" s="1" t="s">
        <v>1994</v>
      </c>
      <c r="E408" s="1" t="s">
        <v>1596</v>
      </c>
    </row>
    <row r="409" spans="1:5" ht="36" customHeight="1">
      <c r="A409" s="1" t="s">
        <v>499</v>
      </c>
      <c r="B409" s="1" t="s">
        <v>1951</v>
      </c>
      <c r="C409" s="1" t="s">
        <v>1995</v>
      </c>
      <c r="D409" s="1" t="s">
        <v>1983</v>
      </c>
      <c r="E409" s="1" t="s">
        <v>1596</v>
      </c>
    </row>
    <row r="410" spans="1:5" ht="36" customHeight="1">
      <c r="A410" s="1" t="s">
        <v>499</v>
      </c>
      <c r="B410" s="1" t="s">
        <v>1951</v>
      </c>
      <c r="C410" s="1" t="s">
        <v>1844</v>
      </c>
      <c r="D410" s="1" t="s">
        <v>1903</v>
      </c>
      <c r="E410" s="1" t="s">
        <v>1596</v>
      </c>
    </row>
    <row r="411" spans="1:5" ht="36" customHeight="1">
      <c r="A411" s="1" t="s">
        <v>499</v>
      </c>
      <c r="B411" s="1" t="s">
        <v>1951</v>
      </c>
      <c r="C411" s="1" t="s">
        <v>1996</v>
      </c>
      <c r="D411" s="1" t="s">
        <v>1997</v>
      </c>
      <c r="E411" s="1" t="s">
        <v>1596</v>
      </c>
    </row>
    <row r="412" spans="1:5" ht="36" customHeight="1">
      <c r="A412" s="1" t="s">
        <v>499</v>
      </c>
      <c r="B412" s="1" t="s">
        <v>1951</v>
      </c>
      <c r="C412" s="1" t="s">
        <v>1998</v>
      </c>
      <c r="D412" s="1" t="s">
        <v>1999</v>
      </c>
      <c r="E412" s="1" t="s">
        <v>1596</v>
      </c>
    </row>
    <row r="413" spans="1:5" ht="36" customHeight="1">
      <c r="A413" s="1" t="s">
        <v>499</v>
      </c>
      <c r="B413" s="1" t="s">
        <v>1951</v>
      </c>
      <c r="C413" s="1" t="s">
        <v>2000</v>
      </c>
      <c r="D413" s="1" t="s">
        <v>2001</v>
      </c>
      <c r="E413" s="1" t="s">
        <v>1596</v>
      </c>
    </row>
    <row r="414" spans="1:5" ht="36" customHeight="1">
      <c r="A414" s="1" t="s">
        <v>499</v>
      </c>
      <c r="B414" s="1" t="s">
        <v>1951</v>
      </c>
      <c r="C414" s="1" t="s">
        <v>2002</v>
      </c>
      <c r="D414" s="1" t="s">
        <v>2003</v>
      </c>
      <c r="E414" s="1" t="s">
        <v>1596</v>
      </c>
    </row>
    <row r="415" spans="1:5" ht="36" customHeight="1">
      <c r="A415" s="1" t="s">
        <v>499</v>
      </c>
      <c r="B415" s="1" t="s">
        <v>1951</v>
      </c>
      <c r="C415" s="1" t="s">
        <v>1846</v>
      </c>
      <c r="D415" s="1" t="s">
        <v>2004</v>
      </c>
      <c r="E415" s="1" t="s">
        <v>1596</v>
      </c>
    </row>
    <row r="416" spans="1:5" ht="36" customHeight="1">
      <c r="A416" s="1" t="s">
        <v>499</v>
      </c>
      <c r="B416" s="1" t="s">
        <v>1951</v>
      </c>
      <c r="C416" s="1" t="s">
        <v>1847</v>
      </c>
      <c r="D416" s="1" t="s">
        <v>2005</v>
      </c>
      <c r="E416" s="1" t="s">
        <v>1596</v>
      </c>
    </row>
    <row r="417" spans="1:5" ht="36" customHeight="1">
      <c r="A417" s="1" t="s">
        <v>499</v>
      </c>
      <c r="B417" s="1" t="s">
        <v>1951</v>
      </c>
      <c r="C417" s="1" t="s">
        <v>1848</v>
      </c>
      <c r="D417" s="1" t="s">
        <v>1691</v>
      </c>
      <c r="E417" s="1" t="s">
        <v>1596</v>
      </c>
    </row>
    <row r="418" spans="1:5" ht="36" customHeight="1">
      <c r="A418" s="1" t="s">
        <v>499</v>
      </c>
      <c r="B418" s="1" t="s">
        <v>1951</v>
      </c>
      <c r="C418" s="1" t="s">
        <v>2006</v>
      </c>
      <c r="D418" s="1" t="s">
        <v>2007</v>
      </c>
      <c r="E418" s="1" t="s">
        <v>1596</v>
      </c>
    </row>
    <row r="419" spans="1:5" ht="36" customHeight="1">
      <c r="A419" s="1" t="s">
        <v>499</v>
      </c>
      <c r="B419" s="1" t="s">
        <v>1951</v>
      </c>
      <c r="C419" s="1" t="s">
        <v>2008</v>
      </c>
      <c r="D419" s="1" t="s">
        <v>2009</v>
      </c>
      <c r="E419" s="1" t="s">
        <v>1596</v>
      </c>
    </row>
    <row r="420" spans="1:5" ht="36" customHeight="1">
      <c r="A420" s="1" t="s">
        <v>499</v>
      </c>
      <c r="B420" s="1" t="s">
        <v>1951</v>
      </c>
      <c r="C420" s="1" t="s">
        <v>1850</v>
      </c>
      <c r="D420" s="1" t="s">
        <v>558</v>
      </c>
      <c r="E420" s="1" t="s">
        <v>1596</v>
      </c>
    </row>
    <row r="421" spans="1:5" ht="36" customHeight="1">
      <c r="A421" s="1" t="s">
        <v>499</v>
      </c>
      <c r="B421" s="1" t="s">
        <v>1951</v>
      </c>
      <c r="C421" s="1" t="s">
        <v>1746</v>
      </c>
      <c r="D421" s="1" t="s">
        <v>2010</v>
      </c>
      <c r="E421" s="1" t="s">
        <v>1596</v>
      </c>
    </row>
    <row r="422" spans="1:5" ht="48" customHeight="1">
      <c r="A422" s="1" t="s">
        <v>499</v>
      </c>
      <c r="B422" s="1" t="s">
        <v>1951</v>
      </c>
      <c r="C422" s="1" t="s">
        <v>1748</v>
      </c>
      <c r="D422" s="1" t="s">
        <v>2011</v>
      </c>
      <c r="E422" s="1" t="s">
        <v>1596</v>
      </c>
    </row>
    <row r="423" spans="1:5" ht="36" customHeight="1">
      <c r="A423" s="1" t="s">
        <v>499</v>
      </c>
      <c r="B423" s="1" t="s">
        <v>1951</v>
      </c>
      <c r="C423" s="1" t="s">
        <v>1750</v>
      </c>
      <c r="D423" s="1" t="s">
        <v>2012</v>
      </c>
      <c r="E423" s="1" t="s">
        <v>1596</v>
      </c>
    </row>
    <row r="424" spans="1:5" ht="36" customHeight="1">
      <c r="A424" s="1" t="s">
        <v>499</v>
      </c>
      <c r="B424" s="1" t="s">
        <v>1951</v>
      </c>
      <c r="C424" s="1" t="s">
        <v>1753</v>
      </c>
      <c r="D424" s="1" t="s">
        <v>2013</v>
      </c>
      <c r="E424" s="1" t="s">
        <v>1596</v>
      </c>
    </row>
    <row r="425" spans="1:5" ht="36" customHeight="1">
      <c r="A425" s="1" t="s">
        <v>499</v>
      </c>
      <c r="B425" s="1" t="s">
        <v>1951</v>
      </c>
      <c r="C425" s="1" t="s">
        <v>2014</v>
      </c>
      <c r="D425" s="1" t="s">
        <v>2015</v>
      </c>
      <c r="E425" s="1" t="s">
        <v>1596</v>
      </c>
    </row>
    <row r="426" spans="1:5" ht="36" customHeight="1">
      <c r="A426" s="1" t="s">
        <v>499</v>
      </c>
      <c r="B426" s="1" t="s">
        <v>1951</v>
      </c>
      <c r="C426" s="1" t="s">
        <v>2016</v>
      </c>
      <c r="D426" s="1" t="s">
        <v>558</v>
      </c>
      <c r="E426" s="1" t="s">
        <v>1596</v>
      </c>
    </row>
    <row r="427" spans="1:5" ht="36" customHeight="1">
      <c r="A427" s="1" t="s">
        <v>499</v>
      </c>
      <c r="B427" s="1" t="s">
        <v>1951</v>
      </c>
      <c r="C427" s="1" t="s">
        <v>1859</v>
      </c>
      <c r="D427" s="1" t="s">
        <v>2013</v>
      </c>
      <c r="E427" s="1" t="s">
        <v>1596</v>
      </c>
    </row>
    <row r="428" spans="1:5" ht="36" customHeight="1">
      <c r="A428" s="1" t="s">
        <v>499</v>
      </c>
      <c r="B428" s="1" t="s">
        <v>1951</v>
      </c>
      <c r="C428" s="1" t="s">
        <v>1861</v>
      </c>
      <c r="D428" s="1" t="s">
        <v>2017</v>
      </c>
      <c r="E428" s="1" t="s">
        <v>1596</v>
      </c>
    </row>
    <row r="429" spans="1:5" ht="36" customHeight="1">
      <c r="A429" s="1" t="s">
        <v>499</v>
      </c>
      <c r="B429" s="1" t="s">
        <v>1951</v>
      </c>
      <c r="C429" s="1" t="s">
        <v>1866</v>
      </c>
      <c r="D429" s="1" t="s">
        <v>558</v>
      </c>
      <c r="E429" s="1" t="s">
        <v>1596</v>
      </c>
    </row>
    <row r="430" spans="1:5" ht="36" customHeight="1">
      <c r="A430" s="1" t="s">
        <v>499</v>
      </c>
      <c r="B430" s="1" t="s">
        <v>1951</v>
      </c>
      <c r="C430" s="1" t="s">
        <v>2018</v>
      </c>
      <c r="D430" s="1" t="s">
        <v>2013</v>
      </c>
      <c r="E430" s="1" t="s">
        <v>1596</v>
      </c>
    </row>
    <row r="431" spans="1:5" ht="36" customHeight="1">
      <c r="A431" s="1" t="s">
        <v>499</v>
      </c>
      <c r="B431" s="1" t="s">
        <v>1951</v>
      </c>
      <c r="C431" s="1" t="s">
        <v>2019</v>
      </c>
      <c r="D431" s="1" t="s">
        <v>2020</v>
      </c>
      <c r="E431" s="1" t="s">
        <v>1596</v>
      </c>
    </row>
    <row r="432" spans="1:5" ht="36" customHeight="1">
      <c r="A432" s="1" t="s">
        <v>499</v>
      </c>
      <c r="B432" s="1" t="s">
        <v>1951</v>
      </c>
      <c r="C432" s="1" t="s">
        <v>2021</v>
      </c>
      <c r="D432" s="1" t="s">
        <v>558</v>
      </c>
      <c r="E432" s="1" t="s">
        <v>1596</v>
      </c>
    </row>
    <row r="433" spans="1:5" ht="36" customHeight="1">
      <c r="A433" s="1" t="s">
        <v>499</v>
      </c>
      <c r="B433" s="1" t="s">
        <v>1951</v>
      </c>
      <c r="C433" s="1" t="s">
        <v>2022</v>
      </c>
      <c r="D433" s="1" t="s">
        <v>2013</v>
      </c>
      <c r="E433" s="1" t="s">
        <v>1596</v>
      </c>
    </row>
    <row r="434" spans="1:5" ht="48" customHeight="1">
      <c r="A434" s="1" t="s">
        <v>499</v>
      </c>
      <c r="B434" s="1" t="s">
        <v>1951</v>
      </c>
      <c r="C434" s="1" t="s">
        <v>2023</v>
      </c>
      <c r="D434" s="1" t="s">
        <v>2024</v>
      </c>
      <c r="E434" s="1" t="s">
        <v>1596</v>
      </c>
    </row>
    <row r="435" spans="1:5" ht="36" customHeight="1">
      <c r="A435" s="1" t="s">
        <v>499</v>
      </c>
      <c r="B435" s="1" t="s">
        <v>1951</v>
      </c>
      <c r="C435" s="1" t="s">
        <v>2025</v>
      </c>
      <c r="D435" s="1" t="s">
        <v>558</v>
      </c>
      <c r="E435" s="1" t="s">
        <v>1596</v>
      </c>
    </row>
    <row r="436" spans="1:5" ht="36" customHeight="1">
      <c r="A436" s="1" t="s">
        <v>499</v>
      </c>
      <c r="B436" s="1" t="s">
        <v>1951</v>
      </c>
      <c r="C436" s="1" t="s">
        <v>2026</v>
      </c>
      <c r="D436" s="1" t="s">
        <v>2027</v>
      </c>
      <c r="E436" s="1" t="s">
        <v>1596</v>
      </c>
    </row>
    <row r="437" spans="1:5" ht="36" customHeight="1">
      <c r="A437" s="1" t="s">
        <v>499</v>
      </c>
      <c r="B437" s="1" t="s">
        <v>1951</v>
      </c>
      <c r="C437" s="1" t="s">
        <v>2028</v>
      </c>
      <c r="D437" s="1" t="s">
        <v>1983</v>
      </c>
      <c r="E437" s="1" t="s">
        <v>1596</v>
      </c>
    </row>
    <row r="438" spans="1:5" ht="36" customHeight="1">
      <c r="A438" s="1" t="s">
        <v>499</v>
      </c>
      <c r="B438" s="1" t="s">
        <v>1951</v>
      </c>
      <c r="C438" s="1" t="s">
        <v>2029</v>
      </c>
      <c r="D438" s="1" t="s">
        <v>1903</v>
      </c>
      <c r="E438" s="1" t="s">
        <v>1596</v>
      </c>
    </row>
    <row r="439" spans="1:5" ht="36" customHeight="1">
      <c r="A439" s="1" t="s">
        <v>499</v>
      </c>
      <c r="B439" s="1" t="s">
        <v>1951</v>
      </c>
      <c r="C439" s="1" t="s">
        <v>2030</v>
      </c>
      <c r="D439" s="1" t="s">
        <v>2031</v>
      </c>
      <c r="E439" s="1" t="s">
        <v>1596</v>
      </c>
    </row>
    <row r="440" spans="1:5" ht="36" customHeight="1">
      <c r="A440" s="1" t="s">
        <v>499</v>
      </c>
      <c r="B440" s="1" t="s">
        <v>1951</v>
      </c>
      <c r="C440" s="1" t="s">
        <v>2032</v>
      </c>
      <c r="D440" s="1" t="s">
        <v>2005</v>
      </c>
      <c r="E440" s="1" t="s">
        <v>1596</v>
      </c>
    </row>
    <row r="441" spans="1:5" ht="36" customHeight="1">
      <c r="A441" s="1" t="s">
        <v>499</v>
      </c>
      <c r="B441" s="1" t="s">
        <v>1951</v>
      </c>
      <c r="C441" s="1" t="s">
        <v>2033</v>
      </c>
      <c r="D441" s="1" t="s">
        <v>1668</v>
      </c>
      <c r="E441" s="1" t="s">
        <v>1596</v>
      </c>
    </row>
    <row r="442" spans="1:5" ht="36" customHeight="1">
      <c r="A442" s="1" t="s">
        <v>499</v>
      </c>
      <c r="B442" s="1" t="s">
        <v>1951</v>
      </c>
      <c r="C442" s="1" t="s">
        <v>2034</v>
      </c>
      <c r="D442" s="1" t="s">
        <v>1670</v>
      </c>
      <c r="E442" s="1" t="s">
        <v>1596</v>
      </c>
    </row>
    <row r="443" spans="1:5" ht="36" customHeight="1">
      <c r="A443" s="1" t="s">
        <v>499</v>
      </c>
      <c r="B443" s="1" t="s">
        <v>1951</v>
      </c>
      <c r="C443" s="1" t="s">
        <v>2035</v>
      </c>
      <c r="D443" s="1" t="s">
        <v>1672</v>
      </c>
      <c r="E443" s="1" t="s">
        <v>1596</v>
      </c>
    </row>
    <row r="444" spans="1:5" ht="36" customHeight="1">
      <c r="A444" s="1" t="s">
        <v>499</v>
      </c>
      <c r="B444" s="1" t="s">
        <v>2036</v>
      </c>
      <c r="C444" s="1" t="s">
        <v>2037</v>
      </c>
      <c r="D444" s="1" t="s">
        <v>2038</v>
      </c>
      <c r="E444" s="1" t="s">
        <v>1596</v>
      </c>
    </row>
    <row r="445" spans="1:5" ht="36" customHeight="1">
      <c r="A445" s="1" t="s">
        <v>1580</v>
      </c>
      <c r="B445" s="1" t="s">
        <v>2039</v>
      </c>
      <c r="C445" s="1" t="s">
        <v>1594</v>
      </c>
      <c r="D445" s="1" t="s">
        <v>1828</v>
      </c>
      <c r="E445" s="1" t="s">
        <v>1596</v>
      </c>
    </row>
    <row r="446" spans="1:5" ht="36" customHeight="1">
      <c r="A446" s="1" t="s">
        <v>1580</v>
      </c>
      <c r="B446" s="1" t="s">
        <v>2039</v>
      </c>
      <c r="C446" s="1" t="s">
        <v>1597</v>
      </c>
      <c r="D446" s="1" t="s">
        <v>1598</v>
      </c>
      <c r="E446" s="1" t="s">
        <v>1596</v>
      </c>
    </row>
    <row r="447" spans="1:5" ht="36" customHeight="1">
      <c r="A447" s="1" t="s">
        <v>1580</v>
      </c>
      <c r="B447" s="1" t="s">
        <v>2039</v>
      </c>
      <c r="C447" s="1" t="s">
        <v>1599</v>
      </c>
      <c r="D447" s="1" t="s">
        <v>1600</v>
      </c>
      <c r="E447" s="1" t="s">
        <v>1596</v>
      </c>
    </row>
    <row r="448" spans="1:5" ht="36" customHeight="1">
      <c r="A448" s="1" t="s">
        <v>1580</v>
      </c>
      <c r="B448" s="1" t="s">
        <v>2039</v>
      </c>
      <c r="C448" s="1" t="s">
        <v>1601</v>
      </c>
      <c r="D448" s="1" t="s">
        <v>1602</v>
      </c>
      <c r="E448" s="1" t="s">
        <v>1596</v>
      </c>
    </row>
    <row r="449" spans="1:5" ht="36" customHeight="1">
      <c r="A449" s="1" t="s">
        <v>1580</v>
      </c>
      <c r="B449" s="1" t="s">
        <v>2039</v>
      </c>
      <c r="C449" s="1" t="s">
        <v>1603</v>
      </c>
      <c r="D449" s="1" t="s">
        <v>2039</v>
      </c>
      <c r="E449" s="1" t="s">
        <v>1596</v>
      </c>
    </row>
    <row r="450" spans="1:5" ht="36" customHeight="1">
      <c r="A450" s="1" t="s">
        <v>1580</v>
      </c>
      <c r="B450" s="1" t="s">
        <v>2039</v>
      </c>
      <c r="C450" s="1" t="s">
        <v>1605</v>
      </c>
      <c r="D450" s="1" t="s">
        <v>1606</v>
      </c>
      <c r="E450" s="1" t="s">
        <v>1596</v>
      </c>
    </row>
    <row r="451" spans="1:5" ht="36" customHeight="1">
      <c r="A451" s="1" t="s">
        <v>1580</v>
      </c>
      <c r="B451" s="1" t="s">
        <v>2039</v>
      </c>
      <c r="C451" s="1" t="s">
        <v>1607</v>
      </c>
      <c r="D451" s="1" t="s">
        <v>1091</v>
      </c>
      <c r="E451" s="1" t="s">
        <v>1596</v>
      </c>
    </row>
    <row r="452" spans="1:5" ht="36" customHeight="1">
      <c r="A452" s="1" t="s">
        <v>1580</v>
      </c>
      <c r="B452" s="1" t="s">
        <v>2039</v>
      </c>
      <c r="C452" s="1" t="s">
        <v>1608</v>
      </c>
      <c r="D452" s="1" t="s">
        <v>1598</v>
      </c>
      <c r="E452" s="1" t="s">
        <v>1596</v>
      </c>
    </row>
    <row r="453" spans="1:5" ht="36" customHeight="1">
      <c r="A453" s="1" t="s">
        <v>1580</v>
      </c>
      <c r="B453" s="1" t="s">
        <v>2039</v>
      </c>
      <c r="C453" s="1" t="s">
        <v>1610</v>
      </c>
      <c r="D453" s="1" t="s">
        <v>2040</v>
      </c>
      <c r="E453" s="1" t="s">
        <v>1596</v>
      </c>
    </row>
    <row r="454" spans="1:5" ht="36" customHeight="1">
      <c r="A454" s="1" t="s">
        <v>1580</v>
      </c>
      <c r="B454" s="1" t="s">
        <v>2039</v>
      </c>
      <c r="C454" s="1" t="s">
        <v>1612</v>
      </c>
      <c r="D454" s="1" t="s">
        <v>2041</v>
      </c>
      <c r="E454" s="1" t="s">
        <v>1596</v>
      </c>
    </row>
    <row r="455" spans="1:5" ht="36" customHeight="1">
      <c r="A455" s="1" t="s">
        <v>1580</v>
      </c>
      <c r="B455" s="1" t="s">
        <v>2039</v>
      </c>
      <c r="C455" s="1" t="s">
        <v>1614</v>
      </c>
      <c r="D455" s="1" t="s">
        <v>1622</v>
      </c>
      <c r="E455" s="1" t="s">
        <v>1596</v>
      </c>
    </row>
    <row r="456" spans="1:5" ht="36" customHeight="1">
      <c r="A456" s="1" t="s">
        <v>1580</v>
      </c>
      <c r="B456" s="1" t="s">
        <v>2039</v>
      </c>
      <c r="C456" s="1" t="s">
        <v>1616</v>
      </c>
      <c r="D456" s="1" t="s">
        <v>2042</v>
      </c>
      <c r="E456" s="1" t="s">
        <v>1596</v>
      </c>
    </row>
    <row r="457" spans="1:5" ht="36" customHeight="1">
      <c r="A457" s="1" t="s">
        <v>1580</v>
      </c>
      <c r="B457" s="1" t="s">
        <v>2039</v>
      </c>
      <c r="C457" s="1" t="s">
        <v>1617</v>
      </c>
      <c r="D457" s="1" t="s">
        <v>2043</v>
      </c>
      <c r="E457" s="1" t="s">
        <v>1596</v>
      </c>
    </row>
    <row r="458" spans="1:5" ht="36" customHeight="1">
      <c r="A458" s="1" t="s">
        <v>1580</v>
      </c>
      <c r="B458" s="1" t="s">
        <v>2039</v>
      </c>
      <c r="C458" s="1" t="s">
        <v>1619</v>
      </c>
      <c r="D458" s="1" t="s">
        <v>2044</v>
      </c>
      <c r="E458" s="1" t="s">
        <v>1596</v>
      </c>
    </row>
    <row r="459" spans="1:5" ht="36" customHeight="1">
      <c r="A459" s="1" t="s">
        <v>1580</v>
      </c>
      <c r="B459" s="1" t="s">
        <v>2039</v>
      </c>
      <c r="C459" s="1" t="s">
        <v>1623</v>
      </c>
      <c r="D459" s="1" t="s">
        <v>1823</v>
      </c>
      <c r="E459" s="1" t="s">
        <v>1596</v>
      </c>
    </row>
    <row r="460" spans="1:5" ht="36" customHeight="1">
      <c r="A460" s="1" t="s">
        <v>1580</v>
      </c>
      <c r="B460" s="1" t="s">
        <v>2039</v>
      </c>
      <c r="C460" s="1" t="s">
        <v>1624</v>
      </c>
      <c r="D460" s="1" t="s">
        <v>2045</v>
      </c>
      <c r="E460" s="1" t="s">
        <v>1596</v>
      </c>
    </row>
    <row r="461" spans="1:5" ht="36" customHeight="1">
      <c r="A461" s="1" t="s">
        <v>1580</v>
      </c>
      <c r="B461" s="1" t="s">
        <v>2039</v>
      </c>
      <c r="C461" s="1" t="s">
        <v>2046</v>
      </c>
      <c r="D461" s="1" t="s">
        <v>2047</v>
      </c>
      <c r="E461" s="1" t="s">
        <v>1596</v>
      </c>
    </row>
    <row r="462" spans="1:5" ht="36" customHeight="1">
      <c r="A462" s="1" t="s">
        <v>1580</v>
      </c>
      <c r="B462" s="1" t="s">
        <v>2039</v>
      </c>
      <c r="C462" s="1" t="s">
        <v>1626</v>
      </c>
      <c r="D462" s="1" t="s">
        <v>2048</v>
      </c>
      <c r="E462" s="1" t="s">
        <v>1596</v>
      </c>
    </row>
    <row r="463" spans="1:5" ht="36" customHeight="1">
      <c r="A463" s="1" t="s">
        <v>1580</v>
      </c>
      <c r="B463" s="1" t="s">
        <v>2039</v>
      </c>
      <c r="C463" s="1" t="s">
        <v>1628</v>
      </c>
      <c r="D463" s="1" t="s">
        <v>1691</v>
      </c>
      <c r="E463" s="1" t="s">
        <v>1596</v>
      </c>
    </row>
    <row r="464" spans="1:5" ht="36" customHeight="1">
      <c r="A464" s="1" t="s">
        <v>1580</v>
      </c>
      <c r="B464" s="1" t="s">
        <v>2039</v>
      </c>
      <c r="C464" s="1" t="s">
        <v>1630</v>
      </c>
      <c r="D464" s="1" t="s">
        <v>2049</v>
      </c>
      <c r="E464" s="1" t="s">
        <v>1596</v>
      </c>
    </row>
    <row r="465" spans="1:5" ht="36" customHeight="1">
      <c r="A465" s="1" t="s">
        <v>1580</v>
      </c>
      <c r="B465" s="1" t="s">
        <v>2039</v>
      </c>
      <c r="C465" s="1" t="s">
        <v>1632</v>
      </c>
      <c r="D465" s="1" t="s">
        <v>2050</v>
      </c>
      <c r="E465" s="1" t="s">
        <v>1596</v>
      </c>
    </row>
    <row r="466" spans="1:5" ht="36" customHeight="1">
      <c r="A466" s="1" t="s">
        <v>1580</v>
      </c>
      <c r="B466" s="1" t="s">
        <v>2039</v>
      </c>
      <c r="C466" s="1" t="s">
        <v>1634</v>
      </c>
      <c r="D466" s="1" t="s">
        <v>2051</v>
      </c>
      <c r="E466" s="1" t="s">
        <v>1596</v>
      </c>
    </row>
    <row r="467" spans="1:5" ht="36" customHeight="1">
      <c r="A467" s="1" t="s">
        <v>1580</v>
      </c>
      <c r="B467" s="1" t="s">
        <v>2039</v>
      </c>
      <c r="C467" s="1" t="s">
        <v>1635</v>
      </c>
      <c r="D467" s="1" t="s">
        <v>1622</v>
      </c>
      <c r="E467" s="1" t="s">
        <v>1596</v>
      </c>
    </row>
    <row r="468" spans="1:5" ht="36" customHeight="1">
      <c r="A468" s="1" t="s">
        <v>1580</v>
      </c>
      <c r="B468" s="1" t="s">
        <v>2039</v>
      </c>
      <c r="C468" s="1" t="s">
        <v>1636</v>
      </c>
      <c r="D468" s="1" t="s">
        <v>2052</v>
      </c>
      <c r="E468" s="1" t="s">
        <v>1596</v>
      </c>
    </row>
    <row r="469" spans="1:5" ht="36" customHeight="1">
      <c r="A469" s="1" t="s">
        <v>1580</v>
      </c>
      <c r="B469" s="1" t="s">
        <v>2039</v>
      </c>
      <c r="C469" s="1" t="s">
        <v>1638</v>
      </c>
      <c r="D469" s="1" t="s">
        <v>2053</v>
      </c>
      <c r="E469" s="1" t="s">
        <v>1596</v>
      </c>
    </row>
    <row r="470" spans="1:5" ht="36" customHeight="1">
      <c r="A470" s="1" t="s">
        <v>1580</v>
      </c>
      <c r="B470" s="1" t="s">
        <v>2039</v>
      </c>
      <c r="C470" s="1" t="s">
        <v>1640</v>
      </c>
      <c r="D470" s="1" t="s">
        <v>1823</v>
      </c>
      <c r="E470" s="1" t="s">
        <v>1596</v>
      </c>
    </row>
    <row r="471" spans="1:5" ht="36" customHeight="1">
      <c r="A471" s="1" t="s">
        <v>1580</v>
      </c>
      <c r="B471" s="1" t="s">
        <v>2039</v>
      </c>
      <c r="C471" s="1" t="s">
        <v>1642</v>
      </c>
      <c r="D471" s="1" t="s">
        <v>1691</v>
      </c>
      <c r="E471" s="1" t="s">
        <v>1596</v>
      </c>
    </row>
    <row r="472" spans="1:5" ht="36" customHeight="1">
      <c r="A472" s="1" t="s">
        <v>1580</v>
      </c>
      <c r="B472" s="1" t="s">
        <v>2039</v>
      </c>
      <c r="C472" s="1" t="s">
        <v>1643</v>
      </c>
      <c r="D472" s="1" t="s">
        <v>2054</v>
      </c>
      <c r="E472" s="1" t="s">
        <v>1596</v>
      </c>
    </row>
    <row r="473" spans="1:5" ht="36" customHeight="1">
      <c r="A473" s="1" t="s">
        <v>1580</v>
      </c>
      <c r="B473" s="1" t="s">
        <v>2039</v>
      </c>
      <c r="C473" s="1" t="s">
        <v>1645</v>
      </c>
      <c r="D473" s="1" t="s">
        <v>2055</v>
      </c>
      <c r="E473" s="1" t="s">
        <v>1596</v>
      </c>
    </row>
    <row r="474" spans="1:5" ht="36" customHeight="1">
      <c r="A474" s="1" t="s">
        <v>1580</v>
      </c>
      <c r="B474" s="1" t="s">
        <v>2039</v>
      </c>
      <c r="C474" s="1" t="s">
        <v>1647</v>
      </c>
      <c r="D474" s="1" t="s">
        <v>1423</v>
      </c>
      <c r="E474" s="1" t="s">
        <v>1596</v>
      </c>
    </row>
    <row r="475" spans="1:5" ht="36" customHeight="1">
      <c r="A475" s="1" t="s">
        <v>1580</v>
      </c>
      <c r="B475" s="1" t="s">
        <v>2039</v>
      </c>
      <c r="C475" s="1" t="s">
        <v>1648</v>
      </c>
      <c r="D475" s="1" t="s">
        <v>1622</v>
      </c>
      <c r="E475" s="1" t="s">
        <v>1596</v>
      </c>
    </row>
    <row r="476" spans="1:5" ht="36" customHeight="1">
      <c r="A476" s="1" t="s">
        <v>1580</v>
      </c>
      <c r="B476" s="1" t="s">
        <v>2039</v>
      </c>
      <c r="C476" s="1" t="s">
        <v>2056</v>
      </c>
      <c r="D476" s="1" t="s">
        <v>1668</v>
      </c>
      <c r="E476" s="1" t="s">
        <v>1596</v>
      </c>
    </row>
    <row r="477" spans="1:5" ht="36" customHeight="1">
      <c r="A477" s="1" t="s">
        <v>1580</v>
      </c>
      <c r="B477" s="1" t="s">
        <v>2039</v>
      </c>
      <c r="C477" s="1" t="s">
        <v>2057</v>
      </c>
      <c r="D477" s="1" t="s">
        <v>1670</v>
      </c>
      <c r="E477" s="1" t="s">
        <v>1596</v>
      </c>
    </row>
    <row r="478" spans="1:5" ht="36" customHeight="1">
      <c r="A478" s="1" t="s">
        <v>1580</v>
      </c>
      <c r="B478" s="1" t="s">
        <v>2039</v>
      </c>
      <c r="C478" s="1" t="s">
        <v>2058</v>
      </c>
      <c r="D478" s="1" t="s">
        <v>1672</v>
      </c>
      <c r="E478" s="1" t="s">
        <v>1596</v>
      </c>
    </row>
    <row r="479" spans="1:5" ht="36" customHeight="1">
      <c r="A479" s="1" t="s">
        <v>1580</v>
      </c>
      <c r="B479" s="1" t="s">
        <v>359</v>
      </c>
      <c r="C479" s="1" t="s">
        <v>1594</v>
      </c>
      <c r="D479" s="1" t="s">
        <v>1828</v>
      </c>
      <c r="E479" s="1" t="s">
        <v>1596</v>
      </c>
    </row>
    <row r="480" spans="1:5" ht="36" customHeight="1">
      <c r="A480" s="1" t="s">
        <v>1580</v>
      </c>
      <c r="B480" s="1" t="s">
        <v>359</v>
      </c>
      <c r="C480" s="1" t="s">
        <v>1597</v>
      </c>
      <c r="D480" s="1" t="s">
        <v>1598</v>
      </c>
      <c r="E480" s="1" t="s">
        <v>1596</v>
      </c>
    </row>
    <row r="481" spans="1:5" ht="36" customHeight="1">
      <c r="A481" s="1" t="s">
        <v>1580</v>
      </c>
      <c r="B481" s="1" t="s">
        <v>359</v>
      </c>
      <c r="C481" s="1" t="s">
        <v>1599</v>
      </c>
      <c r="D481" s="1" t="s">
        <v>1600</v>
      </c>
      <c r="E481" s="1" t="s">
        <v>1596</v>
      </c>
    </row>
    <row r="482" spans="1:5" ht="36" customHeight="1">
      <c r="A482" s="1" t="s">
        <v>1580</v>
      </c>
      <c r="B482" s="1" t="s">
        <v>359</v>
      </c>
      <c r="C482" s="1" t="s">
        <v>1601</v>
      </c>
      <c r="D482" s="1" t="s">
        <v>1602</v>
      </c>
      <c r="E482" s="1" t="s">
        <v>1596</v>
      </c>
    </row>
    <row r="483" spans="1:5" ht="36" customHeight="1">
      <c r="A483" s="1" t="s">
        <v>1580</v>
      </c>
      <c r="B483" s="1" t="s">
        <v>359</v>
      </c>
      <c r="C483" s="1" t="s">
        <v>1603</v>
      </c>
      <c r="D483" s="1" t="s">
        <v>359</v>
      </c>
      <c r="E483" s="1" t="s">
        <v>1596</v>
      </c>
    </row>
    <row r="484" spans="1:5" ht="36" customHeight="1">
      <c r="A484" s="1" t="s">
        <v>1580</v>
      </c>
      <c r="B484" s="1" t="s">
        <v>359</v>
      </c>
      <c r="C484" s="1" t="s">
        <v>1605</v>
      </c>
      <c r="D484" s="1" t="s">
        <v>1606</v>
      </c>
      <c r="E484" s="1" t="s">
        <v>1596</v>
      </c>
    </row>
    <row r="485" spans="1:5" ht="36" customHeight="1">
      <c r="A485" s="1" t="s">
        <v>1580</v>
      </c>
      <c r="B485" s="1" t="s">
        <v>359</v>
      </c>
      <c r="C485" s="1" t="s">
        <v>1607</v>
      </c>
      <c r="D485" s="1" t="s">
        <v>1091</v>
      </c>
      <c r="E485" s="1" t="s">
        <v>1596</v>
      </c>
    </row>
    <row r="486" spans="1:5" ht="36" customHeight="1">
      <c r="A486" s="1" t="s">
        <v>1580</v>
      </c>
      <c r="B486" s="1" t="s">
        <v>359</v>
      </c>
      <c r="C486" s="1" t="s">
        <v>1608</v>
      </c>
      <c r="D486" s="1" t="s">
        <v>1598</v>
      </c>
      <c r="E486" s="1" t="s">
        <v>1596</v>
      </c>
    </row>
    <row r="487" spans="1:5" ht="36" customHeight="1">
      <c r="A487" s="1" t="s">
        <v>1580</v>
      </c>
      <c r="B487" s="1" t="s">
        <v>359</v>
      </c>
      <c r="C487" s="1" t="s">
        <v>1609</v>
      </c>
      <c r="D487" s="1" t="s">
        <v>2059</v>
      </c>
      <c r="E487" s="1" t="s">
        <v>1596</v>
      </c>
    </row>
    <row r="488" spans="1:5" ht="36" customHeight="1">
      <c r="A488" s="1" t="s">
        <v>1580</v>
      </c>
      <c r="B488" s="1" t="s">
        <v>359</v>
      </c>
      <c r="C488" s="1" t="s">
        <v>1610</v>
      </c>
      <c r="D488" s="1" t="s">
        <v>2060</v>
      </c>
      <c r="E488" s="1" t="s">
        <v>1596</v>
      </c>
    </row>
    <row r="489" spans="1:5" ht="36" customHeight="1">
      <c r="A489" s="1" t="s">
        <v>1580</v>
      </c>
      <c r="B489" s="1" t="s">
        <v>359</v>
      </c>
      <c r="C489" s="1" t="s">
        <v>1612</v>
      </c>
      <c r="D489" s="1" t="s">
        <v>2041</v>
      </c>
      <c r="E489" s="1" t="s">
        <v>1596</v>
      </c>
    </row>
    <row r="490" spans="1:5" ht="36" customHeight="1">
      <c r="A490" s="1" t="s">
        <v>1580</v>
      </c>
      <c r="B490" s="1" t="s">
        <v>359</v>
      </c>
      <c r="C490" s="1" t="s">
        <v>1614</v>
      </c>
      <c r="D490" s="1" t="s">
        <v>1622</v>
      </c>
      <c r="E490" s="1" t="s">
        <v>1596</v>
      </c>
    </row>
    <row r="491" spans="1:5" ht="36" customHeight="1">
      <c r="A491" s="1" t="s">
        <v>1580</v>
      </c>
      <c r="B491" s="1" t="s">
        <v>359</v>
      </c>
      <c r="C491" s="1" t="s">
        <v>1616</v>
      </c>
      <c r="D491" s="1" t="s">
        <v>1792</v>
      </c>
      <c r="E491" s="1" t="s">
        <v>1596</v>
      </c>
    </row>
    <row r="492" spans="1:5" ht="48" customHeight="1">
      <c r="A492" s="1" t="s">
        <v>1580</v>
      </c>
      <c r="B492" s="1" t="s">
        <v>359</v>
      </c>
      <c r="C492" s="1" t="s">
        <v>1617</v>
      </c>
      <c r="D492" s="1" t="s">
        <v>2061</v>
      </c>
      <c r="E492" s="1" t="s">
        <v>1596</v>
      </c>
    </row>
    <row r="493" spans="1:5" ht="36" customHeight="1">
      <c r="A493" s="1" t="s">
        <v>1580</v>
      </c>
      <c r="B493" s="1" t="s">
        <v>359</v>
      </c>
      <c r="C493" s="1" t="s">
        <v>1619</v>
      </c>
      <c r="D493" s="1" t="s">
        <v>1792</v>
      </c>
      <c r="E493" s="1" t="s">
        <v>1596</v>
      </c>
    </row>
    <row r="494" spans="1:5" ht="36" customHeight="1">
      <c r="A494" s="1" t="s">
        <v>1580</v>
      </c>
      <c r="B494" s="1" t="s">
        <v>359</v>
      </c>
      <c r="C494" s="1" t="s">
        <v>1621</v>
      </c>
      <c r="D494" s="1" t="s">
        <v>1622</v>
      </c>
      <c r="E494" s="1" t="s">
        <v>1596</v>
      </c>
    </row>
    <row r="495" spans="1:5" ht="36" customHeight="1">
      <c r="A495" s="1" t="s">
        <v>1580</v>
      </c>
      <c r="B495" s="1" t="s">
        <v>359</v>
      </c>
      <c r="C495" s="1" t="s">
        <v>1623</v>
      </c>
      <c r="D495" s="1" t="s">
        <v>1792</v>
      </c>
      <c r="E495" s="1" t="s">
        <v>1596</v>
      </c>
    </row>
    <row r="496" spans="1:5" ht="36" customHeight="1">
      <c r="A496" s="1" t="s">
        <v>1580</v>
      </c>
      <c r="B496" s="1" t="s">
        <v>359</v>
      </c>
      <c r="C496" s="1" t="s">
        <v>1624</v>
      </c>
      <c r="D496" s="1" t="s">
        <v>1633</v>
      </c>
      <c r="E496" s="1" t="s">
        <v>1596</v>
      </c>
    </row>
    <row r="497" spans="1:5" ht="36" customHeight="1">
      <c r="A497" s="1" t="s">
        <v>1580</v>
      </c>
      <c r="B497" s="1" t="s">
        <v>359</v>
      </c>
      <c r="C497" s="1" t="s">
        <v>1626</v>
      </c>
      <c r="D497" s="1" t="s">
        <v>1792</v>
      </c>
      <c r="E497" s="1" t="s">
        <v>1596</v>
      </c>
    </row>
    <row r="498" spans="1:5" ht="36" customHeight="1">
      <c r="A498" s="1" t="s">
        <v>1580</v>
      </c>
      <c r="B498" s="1" t="s">
        <v>359</v>
      </c>
      <c r="C498" s="1" t="s">
        <v>1628</v>
      </c>
      <c r="D498" s="1" t="s">
        <v>1622</v>
      </c>
      <c r="E498" s="1" t="s">
        <v>1596</v>
      </c>
    </row>
    <row r="499" spans="1:5" ht="48" customHeight="1">
      <c r="A499" s="1" t="s">
        <v>1580</v>
      </c>
      <c r="B499" s="1" t="s">
        <v>359</v>
      </c>
      <c r="C499" s="1" t="s">
        <v>1632</v>
      </c>
      <c r="D499" s="1" t="s">
        <v>2062</v>
      </c>
      <c r="E499" s="1" t="s">
        <v>1596</v>
      </c>
    </row>
    <row r="500" spans="1:5" ht="36" customHeight="1">
      <c r="A500" s="1" t="s">
        <v>1580</v>
      </c>
      <c r="B500" s="1" t="s">
        <v>359</v>
      </c>
      <c r="C500" s="1" t="s">
        <v>1634</v>
      </c>
      <c r="D500" s="1" t="s">
        <v>1792</v>
      </c>
      <c r="E500" s="1" t="s">
        <v>1596</v>
      </c>
    </row>
    <row r="501" spans="1:5" ht="36" customHeight="1">
      <c r="A501" s="1" t="s">
        <v>1580</v>
      </c>
      <c r="B501" s="1" t="s">
        <v>359</v>
      </c>
      <c r="C501" s="1" t="s">
        <v>1636</v>
      </c>
      <c r="D501" s="1" t="s">
        <v>2063</v>
      </c>
      <c r="E501" s="1" t="s">
        <v>1596</v>
      </c>
    </row>
    <row r="502" spans="1:5" ht="36" customHeight="1">
      <c r="A502" s="1" t="s">
        <v>1580</v>
      </c>
      <c r="B502" s="1" t="s">
        <v>359</v>
      </c>
      <c r="C502" s="1" t="s">
        <v>1638</v>
      </c>
      <c r="D502" s="1" t="s">
        <v>2064</v>
      </c>
      <c r="E502" s="1" t="s">
        <v>1596</v>
      </c>
    </row>
    <row r="503" spans="1:5" ht="36" customHeight="1">
      <c r="A503" s="1" t="s">
        <v>1580</v>
      </c>
      <c r="B503" s="1" t="s">
        <v>359</v>
      </c>
      <c r="C503" s="1" t="s">
        <v>1640</v>
      </c>
      <c r="D503" s="1" t="s">
        <v>2065</v>
      </c>
      <c r="E503" s="1" t="s">
        <v>1596</v>
      </c>
    </row>
    <row r="504" spans="1:5" ht="36" customHeight="1">
      <c r="A504" s="1" t="s">
        <v>1580</v>
      </c>
      <c r="B504" s="1" t="s">
        <v>359</v>
      </c>
      <c r="C504" s="1" t="s">
        <v>1642</v>
      </c>
      <c r="D504" s="1" t="s">
        <v>1622</v>
      </c>
      <c r="E504" s="1" t="s">
        <v>1596</v>
      </c>
    </row>
    <row r="505" spans="1:5" ht="48" customHeight="1">
      <c r="A505" s="1" t="s">
        <v>1580</v>
      </c>
      <c r="B505" s="1" t="s">
        <v>359</v>
      </c>
      <c r="C505" s="1" t="s">
        <v>1645</v>
      </c>
      <c r="D505" s="1" t="s">
        <v>2066</v>
      </c>
      <c r="E505" s="1" t="s">
        <v>1596</v>
      </c>
    </row>
    <row r="506" spans="1:5" ht="36" customHeight="1">
      <c r="A506" s="1" t="s">
        <v>1580</v>
      </c>
      <c r="B506" s="1" t="s">
        <v>359</v>
      </c>
      <c r="C506" s="1" t="s">
        <v>1647</v>
      </c>
      <c r="D506" s="1" t="s">
        <v>2067</v>
      </c>
      <c r="E506" s="1" t="s">
        <v>1596</v>
      </c>
    </row>
    <row r="507" spans="1:5" ht="36" customHeight="1">
      <c r="A507" s="1" t="s">
        <v>1580</v>
      </c>
      <c r="B507" s="1" t="s">
        <v>359</v>
      </c>
      <c r="C507" s="1" t="s">
        <v>1648</v>
      </c>
      <c r="D507" s="1" t="s">
        <v>1622</v>
      </c>
      <c r="E507" s="1" t="s">
        <v>1596</v>
      </c>
    </row>
    <row r="508" spans="1:5" ht="36" customHeight="1">
      <c r="A508" s="1" t="s">
        <v>1580</v>
      </c>
      <c r="B508" s="1" t="s">
        <v>359</v>
      </c>
      <c r="C508" s="1" t="s">
        <v>1651</v>
      </c>
      <c r="D508" s="1" t="s">
        <v>2068</v>
      </c>
      <c r="E508" s="1" t="s">
        <v>1596</v>
      </c>
    </row>
    <row r="509" spans="1:5" ht="36" customHeight="1">
      <c r="A509" s="1" t="s">
        <v>1580</v>
      </c>
      <c r="B509" s="1" t="s">
        <v>359</v>
      </c>
      <c r="C509" s="1" t="s">
        <v>1653</v>
      </c>
      <c r="D509" s="1" t="s">
        <v>2069</v>
      </c>
      <c r="E509" s="1" t="s">
        <v>1596</v>
      </c>
    </row>
    <row r="510" spans="1:5" ht="36" customHeight="1">
      <c r="A510" s="1" t="s">
        <v>1580</v>
      </c>
      <c r="B510" s="1" t="s">
        <v>359</v>
      </c>
      <c r="C510" s="1" t="s">
        <v>1655</v>
      </c>
      <c r="D510" s="1" t="s">
        <v>1622</v>
      </c>
      <c r="E510" s="1" t="s">
        <v>1596</v>
      </c>
    </row>
    <row r="511" spans="1:5" ht="36" customHeight="1">
      <c r="A511" s="1" t="s">
        <v>1580</v>
      </c>
      <c r="B511" s="1" t="s">
        <v>359</v>
      </c>
      <c r="C511" s="1" t="s">
        <v>1658</v>
      </c>
      <c r="D511" s="1" t="s">
        <v>2070</v>
      </c>
      <c r="E511" s="1" t="s">
        <v>1596</v>
      </c>
    </row>
    <row r="512" spans="1:5" ht="36" customHeight="1">
      <c r="A512" s="1" t="s">
        <v>1580</v>
      </c>
      <c r="B512" s="1" t="s">
        <v>359</v>
      </c>
      <c r="C512" s="1" t="s">
        <v>1660</v>
      </c>
      <c r="D512" s="1" t="s">
        <v>2071</v>
      </c>
      <c r="E512" s="1" t="s">
        <v>1596</v>
      </c>
    </row>
    <row r="513" spans="1:5" ht="36" customHeight="1">
      <c r="A513" s="1" t="s">
        <v>1580</v>
      </c>
      <c r="B513" s="1" t="s">
        <v>359</v>
      </c>
      <c r="C513" s="1" t="s">
        <v>1661</v>
      </c>
      <c r="D513" s="1" t="s">
        <v>1622</v>
      </c>
      <c r="E513" s="1" t="s">
        <v>1596</v>
      </c>
    </row>
    <row r="514" spans="1:5" ht="36" customHeight="1">
      <c r="A514" s="1" t="s">
        <v>1580</v>
      </c>
      <c r="B514" s="1" t="s">
        <v>359</v>
      </c>
      <c r="C514" s="1" t="s">
        <v>1664</v>
      </c>
      <c r="D514" s="1" t="s">
        <v>2072</v>
      </c>
      <c r="E514" s="1" t="s">
        <v>1596</v>
      </c>
    </row>
    <row r="515" spans="1:5" ht="36" customHeight="1">
      <c r="A515" s="1" t="s">
        <v>1580</v>
      </c>
      <c r="B515" s="1" t="s">
        <v>359</v>
      </c>
      <c r="C515" s="1" t="s">
        <v>1665</v>
      </c>
      <c r="D515" s="1" t="s">
        <v>2071</v>
      </c>
      <c r="E515" s="1" t="s">
        <v>1596</v>
      </c>
    </row>
    <row r="516" spans="1:5" ht="36" customHeight="1">
      <c r="A516" s="1" t="s">
        <v>1580</v>
      </c>
      <c r="B516" s="1" t="s">
        <v>359</v>
      </c>
      <c r="C516" s="1" t="s">
        <v>1666</v>
      </c>
      <c r="D516" s="1" t="s">
        <v>1622</v>
      </c>
      <c r="E516" s="1" t="s">
        <v>1596</v>
      </c>
    </row>
    <row r="517" spans="1:5" ht="36" customHeight="1">
      <c r="A517" s="1" t="s">
        <v>1580</v>
      </c>
      <c r="B517" s="1" t="s">
        <v>359</v>
      </c>
      <c r="C517" s="1" t="s">
        <v>1701</v>
      </c>
      <c r="D517" s="1" t="s">
        <v>2073</v>
      </c>
      <c r="E517" s="1" t="s">
        <v>1596</v>
      </c>
    </row>
    <row r="518" spans="1:5" ht="36" customHeight="1">
      <c r="A518" s="1" t="s">
        <v>1580</v>
      </c>
      <c r="B518" s="1" t="s">
        <v>359</v>
      </c>
      <c r="C518" s="1" t="s">
        <v>1703</v>
      </c>
      <c r="D518" s="1" t="s">
        <v>558</v>
      </c>
      <c r="E518" s="1" t="s">
        <v>1596</v>
      </c>
    </row>
    <row r="519" spans="1:5" ht="36" customHeight="1">
      <c r="A519" s="1" t="s">
        <v>1580</v>
      </c>
      <c r="B519" s="1" t="s">
        <v>359</v>
      </c>
      <c r="C519" s="1" t="s">
        <v>1704</v>
      </c>
      <c r="D519" s="1" t="s">
        <v>1622</v>
      </c>
      <c r="E519" s="1" t="s">
        <v>1596</v>
      </c>
    </row>
    <row r="520" spans="1:5" ht="36" customHeight="1">
      <c r="A520" s="1" t="s">
        <v>1580</v>
      </c>
      <c r="B520" s="1" t="s">
        <v>359</v>
      </c>
      <c r="C520" s="1" t="s">
        <v>1667</v>
      </c>
      <c r="D520" s="1" t="s">
        <v>1668</v>
      </c>
      <c r="E520" s="1" t="s">
        <v>1596</v>
      </c>
    </row>
    <row r="521" spans="1:5" ht="36" customHeight="1">
      <c r="A521" s="1" t="s">
        <v>1580</v>
      </c>
      <c r="B521" s="1" t="s">
        <v>359</v>
      </c>
      <c r="C521" s="1" t="s">
        <v>1669</v>
      </c>
      <c r="D521" s="1" t="s">
        <v>1670</v>
      </c>
      <c r="E521" s="1" t="s">
        <v>1596</v>
      </c>
    </row>
    <row r="522" spans="1:5" ht="36" customHeight="1">
      <c r="A522" s="1" t="s">
        <v>1580</v>
      </c>
      <c r="B522" s="1" t="s">
        <v>359</v>
      </c>
      <c r="C522" s="1" t="s">
        <v>1671</v>
      </c>
      <c r="D522" s="1" t="s">
        <v>1672</v>
      </c>
      <c r="E522" s="1" t="s">
        <v>1596</v>
      </c>
    </row>
    <row r="523" spans="1:5" ht="36" customHeight="1">
      <c r="A523" s="1" t="s">
        <v>1580</v>
      </c>
      <c r="B523" s="1" t="s">
        <v>2074</v>
      </c>
      <c r="C523" s="1" t="s">
        <v>1594</v>
      </c>
      <c r="D523" s="1" t="s">
        <v>1828</v>
      </c>
      <c r="E523" s="1" t="s">
        <v>1596</v>
      </c>
    </row>
    <row r="524" spans="1:5" ht="36" customHeight="1">
      <c r="A524" s="1" t="s">
        <v>1580</v>
      </c>
      <c r="B524" s="1" t="s">
        <v>2074</v>
      </c>
      <c r="C524" s="1" t="s">
        <v>1597</v>
      </c>
      <c r="D524" s="1" t="s">
        <v>1598</v>
      </c>
      <c r="E524" s="1" t="s">
        <v>1596</v>
      </c>
    </row>
    <row r="525" spans="1:5" ht="36" customHeight="1">
      <c r="A525" s="1" t="s">
        <v>1580</v>
      </c>
      <c r="B525" s="1" t="s">
        <v>2074</v>
      </c>
      <c r="C525" s="1" t="s">
        <v>1599</v>
      </c>
      <c r="D525" s="1" t="s">
        <v>1600</v>
      </c>
      <c r="E525" s="1" t="s">
        <v>1596</v>
      </c>
    </row>
    <row r="526" spans="1:5" ht="36" customHeight="1">
      <c r="A526" s="1" t="s">
        <v>1580</v>
      </c>
      <c r="B526" s="1" t="s">
        <v>2074</v>
      </c>
      <c r="C526" s="1" t="s">
        <v>1601</v>
      </c>
      <c r="D526" s="1" t="s">
        <v>1602</v>
      </c>
      <c r="E526" s="1" t="s">
        <v>1596</v>
      </c>
    </row>
    <row r="527" spans="1:5" ht="36" customHeight="1">
      <c r="A527" s="1" t="s">
        <v>1580</v>
      </c>
      <c r="B527" s="1" t="s">
        <v>2074</v>
      </c>
      <c r="C527" s="1" t="s">
        <v>1603</v>
      </c>
      <c r="D527" s="1" t="s">
        <v>2074</v>
      </c>
      <c r="E527" s="1" t="s">
        <v>1596</v>
      </c>
    </row>
    <row r="528" spans="1:5" ht="36" customHeight="1">
      <c r="A528" s="1" t="s">
        <v>1580</v>
      </c>
      <c r="B528" s="1" t="s">
        <v>2074</v>
      </c>
      <c r="C528" s="1" t="s">
        <v>1605</v>
      </c>
      <c r="D528" s="1" t="s">
        <v>1676</v>
      </c>
      <c r="E528" s="1" t="s">
        <v>1596</v>
      </c>
    </row>
    <row r="529" spans="1:5" ht="36" customHeight="1">
      <c r="A529" s="1" t="s">
        <v>1580</v>
      </c>
      <c r="B529" s="1" t="s">
        <v>2074</v>
      </c>
      <c r="C529" s="1" t="s">
        <v>1677</v>
      </c>
      <c r="D529" s="1" t="s">
        <v>1678</v>
      </c>
      <c r="E529" s="1" t="s">
        <v>1596</v>
      </c>
    </row>
    <row r="530" spans="1:5" ht="36" customHeight="1">
      <c r="A530" s="1" t="s">
        <v>1580</v>
      </c>
      <c r="B530" s="1" t="s">
        <v>2074</v>
      </c>
      <c r="C530" s="1" t="s">
        <v>1679</v>
      </c>
      <c r="D530" s="1" t="s">
        <v>1160</v>
      </c>
      <c r="E530" s="1" t="s">
        <v>1596</v>
      </c>
    </row>
    <row r="531" spans="1:5" ht="36" customHeight="1">
      <c r="A531" s="1" t="s">
        <v>1580</v>
      </c>
      <c r="B531" s="1" t="s">
        <v>2074</v>
      </c>
      <c r="C531" s="1" t="s">
        <v>1680</v>
      </c>
      <c r="D531" s="1" t="s">
        <v>1681</v>
      </c>
      <c r="E531" s="1" t="s">
        <v>1596</v>
      </c>
    </row>
    <row r="532" spans="1:5" ht="36" customHeight="1">
      <c r="A532" s="1" t="s">
        <v>1580</v>
      </c>
      <c r="B532" s="1" t="s">
        <v>2074</v>
      </c>
      <c r="C532" s="1" t="s">
        <v>1682</v>
      </c>
      <c r="D532" s="1" t="s">
        <v>1683</v>
      </c>
      <c r="E532" s="1" t="s">
        <v>1596</v>
      </c>
    </row>
    <row r="533" spans="1:5" ht="36" customHeight="1">
      <c r="A533" s="1" t="s">
        <v>1580</v>
      </c>
      <c r="B533" s="1" t="s">
        <v>2074</v>
      </c>
      <c r="C533" s="1" t="s">
        <v>1684</v>
      </c>
      <c r="D533" s="1" t="s">
        <v>1685</v>
      </c>
      <c r="E533" s="1" t="s">
        <v>1596</v>
      </c>
    </row>
    <row r="534" spans="1:5" ht="36" customHeight="1">
      <c r="A534" s="1" t="s">
        <v>1580</v>
      </c>
      <c r="B534" s="1" t="s">
        <v>2074</v>
      </c>
      <c r="C534" s="1" t="s">
        <v>1686</v>
      </c>
      <c r="D534" s="1" t="s">
        <v>1687</v>
      </c>
      <c r="E534" s="1" t="s">
        <v>1596</v>
      </c>
    </row>
    <row r="535" spans="1:5" ht="36" customHeight="1">
      <c r="A535" s="1" t="s">
        <v>1580</v>
      </c>
      <c r="B535" s="1" t="s">
        <v>2074</v>
      </c>
      <c r="C535" s="1" t="s">
        <v>1607</v>
      </c>
      <c r="D535" s="1" t="s">
        <v>1091</v>
      </c>
      <c r="E535" s="1" t="s">
        <v>1596</v>
      </c>
    </row>
    <row r="536" spans="1:5" ht="36" customHeight="1">
      <c r="A536" s="1" t="s">
        <v>1580</v>
      </c>
      <c r="B536" s="1" t="s">
        <v>2074</v>
      </c>
      <c r="C536" s="1" t="s">
        <v>1608</v>
      </c>
      <c r="D536" s="1" t="s">
        <v>1598</v>
      </c>
      <c r="E536" s="1" t="s">
        <v>1596</v>
      </c>
    </row>
    <row r="537" spans="1:5" ht="36" customHeight="1">
      <c r="A537" s="1" t="s">
        <v>1580</v>
      </c>
      <c r="B537" s="1" t="s">
        <v>2074</v>
      </c>
      <c r="C537" s="1" t="s">
        <v>1609</v>
      </c>
      <c r="D537" s="1" t="s">
        <v>2075</v>
      </c>
      <c r="E537" s="1" t="s">
        <v>1596</v>
      </c>
    </row>
    <row r="538" spans="1:5" ht="96" customHeight="1">
      <c r="A538" s="1" t="s">
        <v>1580</v>
      </c>
      <c r="B538" s="1" t="s">
        <v>2074</v>
      </c>
      <c r="C538" s="1" t="s">
        <v>1610</v>
      </c>
      <c r="D538" s="1" t="s">
        <v>2076</v>
      </c>
      <c r="E538" s="1" t="s">
        <v>1596</v>
      </c>
    </row>
    <row r="539" spans="1:5" ht="36" customHeight="1">
      <c r="A539" s="1" t="s">
        <v>1580</v>
      </c>
      <c r="B539" s="1" t="s">
        <v>2074</v>
      </c>
      <c r="C539" s="1" t="s">
        <v>1614</v>
      </c>
      <c r="D539" s="1" t="s">
        <v>1691</v>
      </c>
      <c r="E539" s="1" t="s">
        <v>1596</v>
      </c>
    </row>
    <row r="540" spans="1:5" ht="36" customHeight="1">
      <c r="A540" s="1" t="s">
        <v>1580</v>
      </c>
      <c r="B540" s="1" t="s">
        <v>2074</v>
      </c>
      <c r="C540" s="1" t="s">
        <v>1619</v>
      </c>
      <c r="D540" s="1" t="s">
        <v>2077</v>
      </c>
      <c r="E540" s="1" t="s">
        <v>1596</v>
      </c>
    </row>
    <row r="541" spans="1:5" ht="36" customHeight="1">
      <c r="A541" s="1" t="s">
        <v>1580</v>
      </c>
      <c r="B541" s="1" t="s">
        <v>2074</v>
      </c>
      <c r="C541" s="1" t="s">
        <v>1630</v>
      </c>
      <c r="D541" s="1" t="s">
        <v>2078</v>
      </c>
      <c r="E541" s="1" t="s">
        <v>1596</v>
      </c>
    </row>
    <row r="542" spans="1:5" ht="96" customHeight="1">
      <c r="A542" s="1" t="s">
        <v>1580</v>
      </c>
      <c r="B542" s="1" t="s">
        <v>2074</v>
      </c>
      <c r="C542" s="1" t="s">
        <v>1632</v>
      </c>
      <c r="D542" s="1" t="s">
        <v>2079</v>
      </c>
      <c r="E542" s="1" t="s">
        <v>1596</v>
      </c>
    </row>
    <row r="543" spans="1:5" ht="36" customHeight="1">
      <c r="A543" s="1" t="s">
        <v>1580</v>
      </c>
      <c r="B543" s="1" t="s">
        <v>2074</v>
      </c>
      <c r="C543" s="1" t="s">
        <v>1635</v>
      </c>
      <c r="D543" s="1" t="s">
        <v>1691</v>
      </c>
      <c r="E543" s="1" t="s">
        <v>1596</v>
      </c>
    </row>
    <row r="544" spans="1:5" ht="36" customHeight="1">
      <c r="A544" s="1" t="s">
        <v>1580</v>
      </c>
      <c r="B544" s="1" t="s">
        <v>2074</v>
      </c>
      <c r="C544" s="1" t="s">
        <v>1640</v>
      </c>
      <c r="D544" s="1" t="s">
        <v>2080</v>
      </c>
      <c r="E544" s="1" t="s">
        <v>1596</v>
      </c>
    </row>
    <row r="545" spans="1:5" ht="36" customHeight="1">
      <c r="A545" s="1" t="s">
        <v>1580</v>
      </c>
      <c r="B545" s="1" t="s">
        <v>2074</v>
      </c>
      <c r="C545" s="1" t="s">
        <v>1649</v>
      </c>
      <c r="D545" s="1" t="s">
        <v>2081</v>
      </c>
      <c r="E545" s="1" t="s">
        <v>1596</v>
      </c>
    </row>
    <row r="546" spans="1:5" ht="128.1" customHeight="1">
      <c r="A546" s="1" t="s">
        <v>1580</v>
      </c>
      <c r="B546" s="1" t="s">
        <v>2074</v>
      </c>
      <c r="C546" s="1" t="s">
        <v>1651</v>
      </c>
      <c r="D546" s="1" t="s">
        <v>2082</v>
      </c>
      <c r="E546" s="1" t="s">
        <v>1596</v>
      </c>
    </row>
    <row r="547" spans="1:5" ht="36" customHeight="1">
      <c r="A547" s="1" t="s">
        <v>1580</v>
      </c>
      <c r="B547" s="1" t="s">
        <v>2074</v>
      </c>
      <c r="C547" s="1" t="s">
        <v>1653</v>
      </c>
      <c r="D547" s="1" t="s">
        <v>2083</v>
      </c>
      <c r="E547" s="1" t="s">
        <v>1596</v>
      </c>
    </row>
    <row r="548" spans="1:5" ht="36" customHeight="1">
      <c r="A548" s="1" t="s">
        <v>1580</v>
      </c>
      <c r="B548" s="1" t="s">
        <v>2074</v>
      </c>
      <c r="C548" s="1" t="s">
        <v>1655</v>
      </c>
      <c r="D548" s="1" t="s">
        <v>1691</v>
      </c>
      <c r="E548" s="1" t="s">
        <v>1596</v>
      </c>
    </row>
    <row r="549" spans="1:5" ht="36" customHeight="1">
      <c r="A549" s="1" t="s">
        <v>1580</v>
      </c>
      <c r="B549" s="1" t="s">
        <v>2074</v>
      </c>
      <c r="C549" s="1" t="s">
        <v>1667</v>
      </c>
      <c r="D549" s="1" t="s">
        <v>2084</v>
      </c>
      <c r="E549" s="1" t="s">
        <v>1596</v>
      </c>
    </row>
    <row r="550" spans="1:5" ht="111.95" customHeight="1">
      <c r="A550" s="1" t="s">
        <v>1580</v>
      </c>
      <c r="B550" s="1" t="s">
        <v>2074</v>
      </c>
      <c r="C550" s="1" t="s">
        <v>1706</v>
      </c>
      <c r="D550" s="1" t="s">
        <v>2085</v>
      </c>
      <c r="E550" s="1" t="s">
        <v>1596</v>
      </c>
    </row>
    <row r="551" spans="1:5" ht="36" customHeight="1">
      <c r="A551" s="1" t="s">
        <v>1580</v>
      </c>
      <c r="B551" s="1" t="s">
        <v>2074</v>
      </c>
      <c r="C551" s="1" t="s">
        <v>1708</v>
      </c>
      <c r="D551" s="1" t="s">
        <v>2086</v>
      </c>
      <c r="E551" s="1" t="s">
        <v>1596</v>
      </c>
    </row>
    <row r="552" spans="1:5" ht="36" customHeight="1">
      <c r="A552" s="1" t="s">
        <v>1580</v>
      </c>
      <c r="B552" s="1" t="s">
        <v>2074</v>
      </c>
      <c r="C552" s="1" t="s">
        <v>1710</v>
      </c>
      <c r="D552" s="1" t="s">
        <v>1691</v>
      </c>
      <c r="E552" s="1" t="s">
        <v>1596</v>
      </c>
    </row>
    <row r="553" spans="1:5" ht="36" customHeight="1">
      <c r="A553" s="1" t="s">
        <v>1580</v>
      </c>
      <c r="B553" s="1" t="s">
        <v>2074</v>
      </c>
      <c r="C553" s="1" t="s">
        <v>1843</v>
      </c>
      <c r="D553" s="1" t="s">
        <v>1668</v>
      </c>
      <c r="E553" s="1" t="s">
        <v>1596</v>
      </c>
    </row>
    <row r="554" spans="1:5" ht="36" customHeight="1">
      <c r="A554" s="1" t="s">
        <v>1580</v>
      </c>
      <c r="B554" s="1" t="s">
        <v>2074</v>
      </c>
      <c r="C554" s="1" t="s">
        <v>1844</v>
      </c>
      <c r="D554" s="1" t="s">
        <v>1670</v>
      </c>
      <c r="E554" s="1" t="s">
        <v>1596</v>
      </c>
    </row>
    <row r="555" spans="1:5" ht="36" customHeight="1">
      <c r="A555" s="1" t="s">
        <v>1580</v>
      </c>
      <c r="B555" s="1" t="s">
        <v>2074</v>
      </c>
      <c r="C555" s="1" t="s">
        <v>1845</v>
      </c>
      <c r="D555" s="1" t="s">
        <v>1672</v>
      </c>
      <c r="E555" s="1" t="s">
        <v>1596</v>
      </c>
    </row>
    <row r="556" spans="1:5" ht="36" customHeight="1">
      <c r="A556" s="1" t="s">
        <v>1580</v>
      </c>
      <c r="B556" s="1" t="s">
        <v>2087</v>
      </c>
      <c r="C556" s="1" t="s">
        <v>1594</v>
      </c>
      <c r="D556" s="1" t="s">
        <v>1828</v>
      </c>
      <c r="E556" s="1" t="s">
        <v>1596</v>
      </c>
    </row>
    <row r="557" spans="1:5" ht="36" customHeight="1">
      <c r="A557" s="1" t="s">
        <v>1580</v>
      </c>
      <c r="B557" s="1" t="s">
        <v>2087</v>
      </c>
      <c r="C557" s="1" t="s">
        <v>1597</v>
      </c>
      <c r="D557" s="1" t="s">
        <v>1598</v>
      </c>
      <c r="E557" s="1" t="s">
        <v>1596</v>
      </c>
    </row>
    <row r="558" spans="1:5" ht="36" customHeight="1">
      <c r="A558" s="1" t="s">
        <v>1580</v>
      </c>
      <c r="B558" s="1" t="s">
        <v>2087</v>
      </c>
      <c r="C558" s="1" t="s">
        <v>1599</v>
      </c>
      <c r="D558" s="1" t="s">
        <v>1600</v>
      </c>
      <c r="E558" s="1" t="s">
        <v>1596</v>
      </c>
    </row>
    <row r="559" spans="1:5" ht="36" customHeight="1">
      <c r="A559" s="1" t="s">
        <v>1580</v>
      </c>
      <c r="B559" s="1" t="s">
        <v>2087</v>
      </c>
      <c r="C559" s="1" t="s">
        <v>1601</v>
      </c>
      <c r="D559" s="1" t="s">
        <v>1602</v>
      </c>
      <c r="E559" s="1" t="s">
        <v>1596</v>
      </c>
    </row>
    <row r="560" spans="1:5" ht="36" customHeight="1">
      <c r="A560" s="1" t="s">
        <v>1580</v>
      </c>
      <c r="B560" s="1" t="s">
        <v>2087</v>
      </c>
      <c r="C560" s="1" t="s">
        <v>1603</v>
      </c>
      <c r="D560" s="1" t="s">
        <v>2087</v>
      </c>
      <c r="E560" s="1" t="s">
        <v>1596</v>
      </c>
    </row>
    <row r="561" spans="1:5" ht="36" customHeight="1">
      <c r="A561" s="1" t="s">
        <v>1580</v>
      </c>
      <c r="B561" s="1" t="s">
        <v>2087</v>
      </c>
      <c r="C561" s="1" t="s">
        <v>1605</v>
      </c>
      <c r="D561" s="1" t="s">
        <v>1676</v>
      </c>
      <c r="E561" s="1" t="s">
        <v>1596</v>
      </c>
    </row>
    <row r="562" spans="1:5" ht="36" customHeight="1">
      <c r="A562" s="1" t="s">
        <v>1580</v>
      </c>
      <c r="B562" s="1" t="s">
        <v>2087</v>
      </c>
      <c r="C562" s="1" t="s">
        <v>1677</v>
      </c>
      <c r="D562" s="1" t="s">
        <v>1678</v>
      </c>
      <c r="E562" s="1" t="s">
        <v>1596</v>
      </c>
    </row>
    <row r="563" spans="1:5" ht="36" customHeight="1">
      <c r="A563" s="1" t="s">
        <v>1580</v>
      </c>
      <c r="B563" s="1" t="s">
        <v>2087</v>
      </c>
      <c r="C563" s="1" t="s">
        <v>1679</v>
      </c>
      <c r="D563" s="1" t="s">
        <v>1160</v>
      </c>
      <c r="E563" s="1" t="s">
        <v>1596</v>
      </c>
    </row>
    <row r="564" spans="1:5" ht="36" customHeight="1">
      <c r="A564" s="1" t="s">
        <v>1580</v>
      </c>
      <c r="B564" s="1" t="s">
        <v>2087</v>
      </c>
      <c r="C564" s="1" t="s">
        <v>1680</v>
      </c>
      <c r="D564" s="1" t="s">
        <v>1681</v>
      </c>
      <c r="E564" s="1" t="s">
        <v>1596</v>
      </c>
    </row>
    <row r="565" spans="1:5" ht="36" customHeight="1">
      <c r="A565" s="1" t="s">
        <v>1580</v>
      </c>
      <c r="B565" s="1" t="s">
        <v>2087</v>
      </c>
      <c r="C565" s="1" t="s">
        <v>1682</v>
      </c>
      <c r="D565" s="1" t="s">
        <v>1683</v>
      </c>
      <c r="E565" s="1" t="s">
        <v>1596</v>
      </c>
    </row>
    <row r="566" spans="1:5" ht="36" customHeight="1">
      <c r="A566" s="1" t="s">
        <v>1580</v>
      </c>
      <c r="B566" s="1" t="s">
        <v>2087</v>
      </c>
      <c r="C566" s="1" t="s">
        <v>1684</v>
      </c>
      <c r="D566" s="1" t="s">
        <v>1685</v>
      </c>
      <c r="E566" s="1" t="s">
        <v>1596</v>
      </c>
    </row>
    <row r="567" spans="1:5" ht="36" customHeight="1">
      <c r="A567" s="1" t="s">
        <v>1580</v>
      </c>
      <c r="B567" s="1" t="s">
        <v>2087</v>
      </c>
      <c r="C567" s="1" t="s">
        <v>1686</v>
      </c>
      <c r="D567" s="1" t="s">
        <v>1687</v>
      </c>
      <c r="E567" s="1" t="s">
        <v>1596</v>
      </c>
    </row>
    <row r="568" spans="1:5" ht="36" customHeight="1">
      <c r="A568" s="1" t="s">
        <v>1580</v>
      </c>
      <c r="B568" s="1" t="s">
        <v>2087</v>
      </c>
      <c r="C568" s="1" t="s">
        <v>1607</v>
      </c>
      <c r="D568" s="1" t="s">
        <v>1091</v>
      </c>
      <c r="E568" s="1" t="s">
        <v>1596</v>
      </c>
    </row>
    <row r="569" spans="1:5" ht="36" customHeight="1">
      <c r="A569" s="1" t="s">
        <v>1580</v>
      </c>
      <c r="B569" s="1" t="s">
        <v>2087</v>
      </c>
      <c r="C569" s="1" t="s">
        <v>1608</v>
      </c>
      <c r="D569" s="1" t="s">
        <v>1598</v>
      </c>
      <c r="E569" s="1" t="s">
        <v>1596</v>
      </c>
    </row>
    <row r="570" spans="1:5" ht="36" customHeight="1">
      <c r="A570" s="1" t="s">
        <v>1580</v>
      </c>
      <c r="B570" s="1" t="s">
        <v>2087</v>
      </c>
      <c r="C570" s="1" t="s">
        <v>1609</v>
      </c>
      <c r="D570" s="1" t="s">
        <v>373</v>
      </c>
      <c r="E570" s="1" t="s">
        <v>1596</v>
      </c>
    </row>
    <row r="571" spans="1:5" ht="80.099999999999994" customHeight="1">
      <c r="A571" s="1" t="s">
        <v>1580</v>
      </c>
      <c r="B571" s="1" t="s">
        <v>2087</v>
      </c>
      <c r="C571" s="1" t="s">
        <v>1610</v>
      </c>
      <c r="D571" s="1" t="s">
        <v>2088</v>
      </c>
      <c r="E571" s="1" t="s">
        <v>1596</v>
      </c>
    </row>
    <row r="572" spans="1:5" ht="36" customHeight="1">
      <c r="A572" s="1" t="s">
        <v>1580</v>
      </c>
      <c r="B572" s="1" t="s">
        <v>2087</v>
      </c>
      <c r="C572" s="1" t="s">
        <v>1612</v>
      </c>
      <c r="D572" s="1" t="s">
        <v>2089</v>
      </c>
      <c r="E572" s="1" t="s">
        <v>1596</v>
      </c>
    </row>
    <row r="573" spans="1:5" ht="36" customHeight="1">
      <c r="A573" s="1" t="s">
        <v>1580</v>
      </c>
      <c r="B573" s="1" t="s">
        <v>2087</v>
      </c>
      <c r="C573" s="1" t="s">
        <v>1614</v>
      </c>
      <c r="D573" s="1" t="s">
        <v>1691</v>
      </c>
      <c r="E573" s="1" t="s">
        <v>1596</v>
      </c>
    </row>
    <row r="574" spans="1:5" ht="36" customHeight="1">
      <c r="A574" s="1" t="s">
        <v>1580</v>
      </c>
      <c r="B574" s="1" t="s">
        <v>2087</v>
      </c>
      <c r="C574" s="1" t="s">
        <v>1619</v>
      </c>
      <c r="D574" s="1" t="s">
        <v>2077</v>
      </c>
      <c r="E574" s="1" t="s">
        <v>1596</v>
      </c>
    </row>
    <row r="575" spans="1:5" ht="36" customHeight="1">
      <c r="A575" s="1" t="s">
        <v>1580</v>
      </c>
      <c r="B575" s="1" t="s">
        <v>2087</v>
      </c>
      <c r="C575" s="1" t="s">
        <v>1630</v>
      </c>
      <c r="D575" s="1" t="s">
        <v>2090</v>
      </c>
      <c r="E575" s="1" t="s">
        <v>1596</v>
      </c>
    </row>
    <row r="576" spans="1:5" ht="63.95" customHeight="1">
      <c r="A576" s="1" t="s">
        <v>1580</v>
      </c>
      <c r="B576" s="1" t="s">
        <v>2087</v>
      </c>
      <c r="C576" s="1" t="s">
        <v>1632</v>
      </c>
      <c r="D576" s="1" t="s">
        <v>2091</v>
      </c>
      <c r="E576" s="1" t="s">
        <v>1596</v>
      </c>
    </row>
    <row r="577" spans="1:5" ht="36" customHeight="1">
      <c r="A577" s="1" t="s">
        <v>1580</v>
      </c>
      <c r="B577" s="1" t="s">
        <v>2087</v>
      </c>
      <c r="C577" s="1" t="s">
        <v>1634</v>
      </c>
      <c r="D577" s="1" t="s">
        <v>2092</v>
      </c>
      <c r="E577" s="1" t="s">
        <v>1596</v>
      </c>
    </row>
    <row r="578" spans="1:5" ht="36" customHeight="1">
      <c r="A578" s="1" t="s">
        <v>1580</v>
      </c>
      <c r="B578" s="1" t="s">
        <v>2087</v>
      </c>
      <c r="C578" s="1" t="s">
        <v>1635</v>
      </c>
      <c r="D578" s="1" t="s">
        <v>1691</v>
      </c>
      <c r="E578" s="1" t="s">
        <v>1596</v>
      </c>
    </row>
    <row r="579" spans="1:5" ht="36" customHeight="1">
      <c r="A579" s="1" t="s">
        <v>1580</v>
      </c>
      <c r="B579" s="1" t="s">
        <v>2087</v>
      </c>
      <c r="C579" s="1" t="s">
        <v>1649</v>
      </c>
      <c r="D579" s="1" t="s">
        <v>2093</v>
      </c>
      <c r="E579" s="1" t="s">
        <v>1596</v>
      </c>
    </row>
    <row r="580" spans="1:5" ht="96" customHeight="1">
      <c r="A580" s="1" t="s">
        <v>1580</v>
      </c>
      <c r="B580" s="1" t="s">
        <v>2087</v>
      </c>
      <c r="C580" s="1" t="s">
        <v>1651</v>
      </c>
      <c r="D580" s="1" t="s">
        <v>2094</v>
      </c>
      <c r="E580" s="1" t="s">
        <v>1596</v>
      </c>
    </row>
    <row r="581" spans="1:5" ht="36" customHeight="1">
      <c r="A581" s="1" t="s">
        <v>1580</v>
      </c>
      <c r="B581" s="1" t="s">
        <v>2087</v>
      </c>
      <c r="C581" s="1" t="s">
        <v>1653</v>
      </c>
      <c r="D581" s="1" t="s">
        <v>2092</v>
      </c>
      <c r="E581" s="1" t="s">
        <v>1596</v>
      </c>
    </row>
    <row r="582" spans="1:5" ht="36" customHeight="1">
      <c r="A582" s="1" t="s">
        <v>1580</v>
      </c>
      <c r="B582" s="1" t="s">
        <v>2087</v>
      </c>
      <c r="C582" s="1" t="s">
        <v>1655</v>
      </c>
      <c r="D582" s="1" t="s">
        <v>1691</v>
      </c>
      <c r="E582" s="1" t="s">
        <v>1596</v>
      </c>
    </row>
    <row r="583" spans="1:5" ht="36" customHeight="1">
      <c r="A583" s="1" t="s">
        <v>1580</v>
      </c>
      <c r="B583" s="1" t="s">
        <v>2087</v>
      </c>
      <c r="C583" s="1" t="s">
        <v>1667</v>
      </c>
      <c r="D583" s="1" t="s">
        <v>2095</v>
      </c>
      <c r="E583" s="1" t="s">
        <v>1596</v>
      </c>
    </row>
    <row r="584" spans="1:5" ht="111.95" customHeight="1">
      <c r="A584" s="1" t="s">
        <v>1580</v>
      </c>
      <c r="B584" s="1" t="s">
        <v>2087</v>
      </c>
      <c r="C584" s="1" t="s">
        <v>1706</v>
      </c>
      <c r="D584" s="1" t="s">
        <v>2096</v>
      </c>
      <c r="E584" s="1" t="s">
        <v>1596</v>
      </c>
    </row>
    <row r="585" spans="1:5" ht="36" customHeight="1">
      <c r="A585" s="1" t="s">
        <v>1580</v>
      </c>
      <c r="B585" s="1" t="s">
        <v>2087</v>
      </c>
      <c r="C585" s="1" t="s">
        <v>1708</v>
      </c>
      <c r="D585" s="1" t="s">
        <v>2097</v>
      </c>
      <c r="E585" s="1" t="s">
        <v>1596</v>
      </c>
    </row>
    <row r="586" spans="1:5" ht="36" customHeight="1">
      <c r="A586" s="1" t="s">
        <v>1580</v>
      </c>
      <c r="B586" s="1" t="s">
        <v>2087</v>
      </c>
      <c r="C586" s="1" t="s">
        <v>1710</v>
      </c>
      <c r="D586" s="1" t="s">
        <v>1691</v>
      </c>
      <c r="E586" s="1" t="s">
        <v>1596</v>
      </c>
    </row>
    <row r="587" spans="1:5" ht="36" customHeight="1">
      <c r="A587" s="1" t="s">
        <v>1580</v>
      </c>
      <c r="B587" s="1" t="s">
        <v>2087</v>
      </c>
      <c r="C587" s="1" t="s">
        <v>1843</v>
      </c>
      <c r="D587" s="1" t="s">
        <v>1668</v>
      </c>
      <c r="E587" s="1" t="s">
        <v>1596</v>
      </c>
    </row>
    <row r="588" spans="1:5" ht="36" customHeight="1">
      <c r="A588" s="1" t="s">
        <v>1580</v>
      </c>
      <c r="B588" s="1" t="s">
        <v>2087</v>
      </c>
      <c r="C588" s="1" t="s">
        <v>1844</v>
      </c>
      <c r="D588" s="1" t="s">
        <v>1670</v>
      </c>
      <c r="E588" s="1" t="s">
        <v>1596</v>
      </c>
    </row>
    <row r="589" spans="1:5" ht="36" customHeight="1">
      <c r="A589" s="1" t="s">
        <v>1580</v>
      </c>
      <c r="B589" s="1" t="s">
        <v>2087</v>
      </c>
      <c r="C589" s="1" t="s">
        <v>1845</v>
      </c>
      <c r="D589" s="1" t="s">
        <v>1672</v>
      </c>
      <c r="E589" s="1" t="s">
        <v>1596</v>
      </c>
    </row>
    <row r="590" spans="1:5" ht="36" customHeight="1">
      <c r="A590" s="1" t="s">
        <v>1580</v>
      </c>
      <c r="B590" s="1" t="s">
        <v>2098</v>
      </c>
      <c r="C590" s="1" t="s">
        <v>1594</v>
      </c>
      <c r="D590" s="1" t="s">
        <v>1828</v>
      </c>
      <c r="E590" s="1" t="s">
        <v>1596</v>
      </c>
    </row>
    <row r="591" spans="1:5" ht="36" customHeight="1">
      <c r="A591" s="1" t="s">
        <v>1580</v>
      </c>
      <c r="B591" s="1" t="s">
        <v>2098</v>
      </c>
      <c r="C591" s="1" t="s">
        <v>1597</v>
      </c>
      <c r="D591" s="1" t="s">
        <v>1598</v>
      </c>
      <c r="E591" s="1" t="s">
        <v>1596</v>
      </c>
    </row>
    <row r="592" spans="1:5" ht="36" customHeight="1">
      <c r="A592" s="1" t="s">
        <v>1580</v>
      </c>
      <c r="B592" s="1" t="s">
        <v>2098</v>
      </c>
      <c r="C592" s="1" t="s">
        <v>1599</v>
      </c>
      <c r="D592" s="1" t="s">
        <v>1600</v>
      </c>
      <c r="E592" s="1" t="s">
        <v>1596</v>
      </c>
    </row>
    <row r="593" spans="1:5" ht="36" customHeight="1">
      <c r="A593" s="1" t="s">
        <v>1580</v>
      </c>
      <c r="B593" s="1" t="s">
        <v>2098</v>
      </c>
      <c r="C593" s="1" t="s">
        <v>1601</v>
      </c>
      <c r="D593" s="1" t="s">
        <v>1602</v>
      </c>
      <c r="E593" s="1" t="s">
        <v>1596</v>
      </c>
    </row>
    <row r="594" spans="1:5" ht="36" customHeight="1">
      <c r="A594" s="1" t="s">
        <v>1580</v>
      </c>
      <c r="B594" s="1" t="s">
        <v>2098</v>
      </c>
      <c r="C594" s="1" t="s">
        <v>1603</v>
      </c>
      <c r="D594" s="1" t="s">
        <v>2098</v>
      </c>
      <c r="E594" s="1" t="s">
        <v>1596</v>
      </c>
    </row>
    <row r="595" spans="1:5" ht="36" customHeight="1">
      <c r="A595" s="1" t="s">
        <v>1580</v>
      </c>
      <c r="B595" s="1" t="s">
        <v>2098</v>
      </c>
      <c r="C595" s="1" t="s">
        <v>1605</v>
      </c>
      <c r="D595" s="1" t="s">
        <v>1676</v>
      </c>
      <c r="E595" s="1" t="s">
        <v>1596</v>
      </c>
    </row>
    <row r="596" spans="1:5" ht="36" customHeight="1">
      <c r="A596" s="1" t="s">
        <v>1580</v>
      </c>
      <c r="B596" s="1" t="s">
        <v>2098</v>
      </c>
      <c r="C596" s="1" t="s">
        <v>1677</v>
      </c>
      <c r="D596" s="1" t="s">
        <v>1678</v>
      </c>
      <c r="E596" s="1" t="s">
        <v>1596</v>
      </c>
    </row>
    <row r="597" spans="1:5" ht="36" customHeight="1">
      <c r="A597" s="1" t="s">
        <v>1580</v>
      </c>
      <c r="B597" s="1" t="s">
        <v>2098</v>
      </c>
      <c r="C597" s="1" t="s">
        <v>1679</v>
      </c>
      <c r="D597" s="1" t="s">
        <v>1160</v>
      </c>
      <c r="E597" s="1" t="s">
        <v>1596</v>
      </c>
    </row>
    <row r="598" spans="1:5" ht="36" customHeight="1">
      <c r="A598" s="1" t="s">
        <v>1580</v>
      </c>
      <c r="B598" s="1" t="s">
        <v>2098</v>
      </c>
      <c r="C598" s="1" t="s">
        <v>1680</v>
      </c>
      <c r="D598" s="1" t="s">
        <v>1681</v>
      </c>
      <c r="E598" s="1" t="s">
        <v>1596</v>
      </c>
    </row>
    <row r="599" spans="1:5" ht="36" customHeight="1">
      <c r="A599" s="1" t="s">
        <v>1580</v>
      </c>
      <c r="B599" s="1" t="s">
        <v>2098</v>
      </c>
      <c r="C599" s="1" t="s">
        <v>1682</v>
      </c>
      <c r="D599" s="1" t="s">
        <v>1683</v>
      </c>
      <c r="E599" s="1" t="s">
        <v>1596</v>
      </c>
    </row>
    <row r="600" spans="1:5" ht="36" customHeight="1">
      <c r="A600" s="1" t="s">
        <v>1580</v>
      </c>
      <c r="B600" s="1" t="s">
        <v>2098</v>
      </c>
      <c r="C600" s="1" t="s">
        <v>1684</v>
      </c>
      <c r="D600" s="1" t="s">
        <v>1685</v>
      </c>
      <c r="E600" s="1" t="s">
        <v>1596</v>
      </c>
    </row>
    <row r="601" spans="1:5" ht="36" customHeight="1">
      <c r="A601" s="1" t="s">
        <v>1580</v>
      </c>
      <c r="B601" s="1" t="s">
        <v>2098</v>
      </c>
      <c r="C601" s="1" t="s">
        <v>1686</v>
      </c>
      <c r="D601" s="1" t="s">
        <v>1687</v>
      </c>
      <c r="E601" s="1" t="s">
        <v>1596</v>
      </c>
    </row>
    <row r="602" spans="1:5" ht="36" customHeight="1">
      <c r="A602" s="1" t="s">
        <v>1580</v>
      </c>
      <c r="B602" s="1" t="s">
        <v>2098</v>
      </c>
      <c r="C602" s="1" t="s">
        <v>1607</v>
      </c>
      <c r="D602" s="1" t="s">
        <v>1091</v>
      </c>
      <c r="E602" s="1" t="s">
        <v>1596</v>
      </c>
    </row>
    <row r="603" spans="1:5" ht="36" customHeight="1">
      <c r="A603" s="1" t="s">
        <v>1580</v>
      </c>
      <c r="B603" s="1" t="s">
        <v>2098</v>
      </c>
      <c r="C603" s="1" t="s">
        <v>1608</v>
      </c>
      <c r="D603" s="1" t="s">
        <v>1598</v>
      </c>
      <c r="E603" s="1" t="s">
        <v>1596</v>
      </c>
    </row>
    <row r="604" spans="1:5" ht="36" customHeight="1">
      <c r="A604" s="1" t="s">
        <v>1580</v>
      </c>
      <c r="B604" s="1" t="s">
        <v>2098</v>
      </c>
      <c r="C604" s="1" t="s">
        <v>1610</v>
      </c>
      <c r="D604" s="1" t="s">
        <v>2099</v>
      </c>
      <c r="E604" s="1" t="s">
        <v>1596</v>
      </c>
    </row>
    <row r="605" spans="1:5" ht="36" customHeight="1">
      <c r="A605" s="1" t="s">
        <v>1580</v>
      </c>
      <c r="B605" s="1" t="s">
        <v>2098</v>
      </c>
      <c r="C605" s="1" t="s">
        <v>1616</v>
      </c>
      <c r="D605" s="1" t="s">
        <v>2100</v>
      </c>
      <c r="E605" s="1" t="s">
        <v>1596</v>
      </c>
    </row>
    <row r="606" spans="1:5" ht="36" customHeight="1">
      <c r="A606" s="1" t="s">
        <v>1580</v>
      </c>
      <c r="B606" s="1" t="s">
        <v>2098</v>
      </c>
      <c r="C606" s="1" t="s">
        <v>1617</v>
      </c>
      <c r="D606" s="1" t="s">
        <v>2101</v>
      </c>
      <c r="E606" s="1" t="s">
        <v>1596</v>
      </c>
    </row>
    <row r="607" spans="1:5" ht="36" customHeight="1">
      <c r="A607" s="1" t="s">
        <v>1580</v>
      </c>
      <c r="B607" s="1" t="s">
        <v>2098</v>
      </c>
      <c r="C607" s="1" t="s">
        <v>1619</v>
      </c>
      <c r="D607" s="1" t="s">
        <v>2089</v>
      </c>
      <c r="E607" s="1" t="s">
        <v>1596</v>
      </c>
    </row>
    <row r="608" spans="1:5" ht="36" customHeight="1">
      <c r="A608" s="1" t="s">
        <v>1580</v>
      </c>
      <c r="B608" s="1" t="s">
        <v>2098</v>
      </c>
      <c r="C608" s="1" t="s">
        <v>1621</v>
      </c>
      <c r="D608" s="1" t="s">
        <v>1622</v>
      </c>
      <c r="E608" s="1" t="s">
        <v>1596</v>
      </c>
    </row>
    <row r="609" spans="1:5" ht="63.95" customHeight="1">
      <c r="A609" s="1" t="s">
        <v>1580</v>
      </c>
      <c r="B609" s="1" t="s">
        <v>2098</v>
      </c>
      <c r="C609" s="1" t="s">
        <v>1624</v>
      </c>
      <c r="D609" s="1" t="s">
        <v>2102</v>
      </c>
      <c r="E609" s="1" t="s">
        <v>1596</v>
      </c>
    </row>
    <row r="610" spans="1:5" ht="36" customHeight="1">
      <c r="A610" s="1" t="s">
        <v>1580</v>
      </c>
      <c r="B610" s="1" t="s">
        <v>2098</v>
      </c>
      <c r="C610" s="1" t="s">
        <v>1638</v>
      </c>
      <c r="D610" s="1" t="s">
        <v>2103</v>
      </c>
      <c r="E610" s="1" t="s">
        <v>1596</v>
      </c>
    </row>
    <row r="611" spans="1:5" ht="36" customHeight="1">
      <c r="A611" s="1" t="s">
        <v>1580</v>
      </c>
      <c r="B611" s="1" t="s">
        <v>2098</v>
      </c>
      <c r="C611" s="1" t="s">
        <v>1645</v>
      </c>
      <c r="D611" s="1" t="s">
        <v>2104</v>
      </c>
      <c r="E611" s="1" t="s">
        <v>1596</v>
      </c>
    </row>
    <row r="612" spans="1:5" ht="36" customHeight="1">
      <c r="A612" s="1" t="s">
        <v>1580</v>
      </c>
      <c r="B612" s="1" t="s">
        <v>2098</v>
      </c>
      <c r="C612" s="1" t="s">
        <v>1649</v>
      </c>
      <c r="D612" s="1" t="s">
        <v>2105</v>
      </c>
      <c r="E612" s="1" t="s">
        <v>1596</v>
      </c>
    </row>
    <row r="613" spans="1:5" ht="36" customHeight="1">
      <c r="A613" s="1" t="s">
        <v>1580</v>
      </c>
      <c r="B613" s="1" t="s">
        <v>2098</v>
      </c>
      <c r="C613" s="1" t="s">
        <v>1651</v>
      </c>
      <c r="D613" s="1" t="s">
        <v>2106</v>
      </c>
      <c r="E613" s="1" t="s">
        <v>1596</v>
      </c>
    </row>
    <row r="614" spans="1:5" ht="36" customHeight="1">
      <c r="A614" s="1" t="s">
        <v>1580</v>
      </c>
      <c r="B614" s="1" t="s">
        <v>2098</v>
      </c>
      <c r="C614" s="1" t="s">
        <v>1809</v>
      </c>
      <c r="D614" s="1" t="s">
        <v>2107</v>
      </c>
      <c r="E614" s="1" t="s">
        <v>1596</v>
      </c>
    </row>
    <row r="615" spans="1:5" ht="36" customHeight="1">
      <c r="A615" s="1" t="s">
        <v>1580</v>
      </c>
      <c r="B615" s="1" t="s">
        <v>2098</v>
      </c>
      <c r="C615" s="1" t="s">
        <v>1810</v>
      </c>
      <c r="D615" s="1" t="s">
        <v>2108</v>
      </c>
      <c r="E615" s="1" t="s">
        <v>1596</v>
      </c>
    </row>
    <row r="616" spans="1:5" ht="36" customHeight="1">
      <c r="A616" s="1" t="s">
        <v>1580</v>
      </c>
      <c r="B616" s="1" t="s">
        <v>2098</v>
      </c>
      <c r="C616" s="1" t="s">
        <v>2109</v>
      </c>
      <c r="D616" s="1" t="s">
        <v>2110</v>
      </c>
      <c r="E616" s="1" t="s">
        <v>1596</v>
      </c>
    </row>
    <row r="617" spans="1:5" ht="36" customHeight="1">
      <c r="A617" s="1" t="s">
        <v>1580</v>
      </c>
      <c r="B617" s="1" t="s">
        <v>2098</v>
      </c>
      <c r="C617" s="1" t="s">
        <v>2111</v>
      </c>
      <c r="D617" s="1" t="s">
        <v>2112</v>
      </c>
      <c r="E617" s="1" t="s">
        <v>1596</v>
      </c>
    </row>
    <row r="618" spans="1:5" ht="36" customHeight="1">
      <c r="A618" s="1" t="s">
        <v>1580</v>
      </c>
      <c r="B618" s="1" t="s">
        <v>2098</v>
      </c>
      <c r="C618" s="1" t="s">
        <v>2113</v>
      </c>
      <c r="D618" s="1" t="s">
        <v>2114</v>
      </c>
      <c r="E618" s="1" t="s">
        <v>1596</v>
      </c>
    </row>
    <row r="619" spans="1:5" ht="36" customHeight="1">
      <c r="A619" s="1" t="s">
        <v>1580</v>
      </c>
      <c r="B619" s="1" t="s">
        <v>2098</v>
      </c>
      <c r="C619" s="1" t="s">
        <v>2115</v>
      </c>
      <c r="D619" s="1" t="s">
        <v>2116</v>
      </c>
      <c r="E619" s="1" t="s">
        <v>1596</v>
      </c>
    </row>
    <row r="620" spans="1:5" ht="36" customHeight="1">
      <c r="A620" s="1" t="s">
        <v>1580</v>
      </c>
      <c r="B620" s="1" t="s">
        <v>2098</v>
      </c>
      <c r="C620" s="1" t="s">
        <v>1658</v>
      </c>
      <c r="D620" s="1" t="s">
        <v>2117</v>
      </c>
      <c r="E620" s="1" t="s">
        <v>1596</v>
      </c>
    </row>
    <row r="621" spans="1:5" ht="36" customHeight="1">
      <c r="A621" s="1" t="s">
        <v>1580</v>
      </c>
      <c r="B621" s="1" t="s">
        <v>2098</v>
      </c>
      <c r="C621" s="1" t="s">
        <v>1927</v>
      </c>
      <c r="D621" s="1" t="s">
        <v>2118</v>
      </c>
      <c r="E621" s="1" t="s">
        <v>1596</v>
      </c>
    </row>
    <row r="622" spans="1:5" ht="36" customHeight="1">
      <c r="A622" s="1" t="s">
        <v>1580</v>
      </c>
      <c r="B622" s="1" t="s">
        <v>2098</v>
      </c>
      <c r="C622" s="1" t="s">
        <v>1928</v>
      </c>
      <c r="D622" s="1" t="s">
        <v>2119</v>
      </c>
      <c r="E622" s="1" t="s">
        <v>1596</v>
      </c>
    </row>
    <row r="623" spans="1:5" ht="36" customHeight="1">
      <c r="A623" s="1" t="s">
        <v>1580</v>
      </c>
      <c r="B623" s="1" t="s">
        <v>2098</v>
      </c>
      <c r="C623" s="1" t="s">
        <v>2120</v>
      </c>
      <c r="D623" s="1" t="s">
        <v>2121</v>
      </c>
      <c r="E623" s="1" t="s">
        <v>1596</v>
      </c>
    </row>
    <row r="624" spans="1:5" ht="36" customHeight="1">
      <c r="A624" s="1" t="s">
        <v>1580</v>
      </c>
      <c r="B624" s="1" t="s">
        <v>2098</v>
      </c>
      <c r="C624" s="1" t="s">
        <v>2122</v>
      </c>
      <c r="D624" s="1" t="s">
        <v>2123</v>
      </c>
      <c r="E624" s="1" t="s">
        <v>1596</v>
      </c>
    </row>
    <row r="625" spans="1:5" ht="36" customHeight="1">
      <c r="A625" s="1" t="s">
        <v>1580</v>
      </c>
      <c r="B625" s="1" t="s">
        <v>2098</v>
      </c>
      <c r="C625" s="1" t="s">
        <v>2124</v>
      </c>
      <c r="D625" s="1" t="s">
        <v>2125</v>
      </c>
      <c r="E625" s="1" t="s">
        <v>1596</v>
      </c>
    </row>
    <row r="626" spans="1:5" ht="36" customHeight="1">
      <c r="A626" s="1" t="s">
        <v>1580</v>
      </c>
      <c r="B626" s="1" t="s">
        <v>2098</v>
      </c>
      <c r="C626" s="1" t="s">
        <v>2126</v>
      </c>
      <c r="D626" s="1" t="s">
        <v>2127</v>
      </c>
      <c r="E626" s="1" t="s">
        <v>1596</v>
      </c>
    </row>
    <row r="627" spans="1:5" ht="36" customHeight="1">
      <c r="A627" s="1" t="s">
        <v>1580</v>
      </c>
      <c r="B627" s="1" t="s">
        <v>2098</v>
      </c>
      <c r="C627" s="1" t="s">
        <v>1662</v>
      </c>
      <c r="D627" s="1" t="s">
        <v>2128</v>
      </c>
      <c r="E627" s="1" t="s">
        <v>1596</v>
      </c>
    </row>
    <row r="628" spans="1:5" ht="36" customHeight="1">
      <c r="A628" s="1" t="s">
        <v>1580</v>
      </c>
      <c r="B628" s="1" t="s">
        <v>2098</v>
      </c>
      <c r="C628" s="1" t="s">
        <v>1664</v>
      </c>
      <c r="D628" s="1" t="s">
        <v>2129</v>
      </c>
      <c r="E628" s="1" t="s">
        <v>1596</v>
      </c>
    </row>
    <row r="629" spans="1:5" ht="36" customHeight="1">
      <c r="A629" s="1" t="s">
        <v>1580</v>
      </c>
      <c r="B629" s="1" t="s">
        <v>2098</v>
      </c>
      <c r="C629" s="1" t="s">
        <v>1665</v>
      </c>
      <c r="D629" s="1" t="s">
        <v>2092</v>
      </c>
      <c r="E629" s="1" t="s">
        <v>1596</v>
      </c>
    </row>
    <row r="630" spans="1:5" ht="36" customHeight="1">
      <c r="A630" s="1" t="s">
        <v>1580</v>
      </c>
      <c r="B630" s="1" t="s">
        <v>2098</v>
      </c>
      <c r="C630" s="1" t="s">
        <v>1666</v>
      </c>
      <c r="D630" s="1" t="s">
        <v>1622</v>
      </c>
      <c r="E630" s="1" t="s">
        <v>1596</v>
      </c>
    </row>
    <row r="631" spans="1:5" ht="36" customHeight="1">
      <c r="A631" s="1" t="s">
        <v>1580</v>
      </c>
      <c r="B631" s="1" t="s">
        <v>2098</v>
      </c>
      <c r="C631" s="1" t="s">
        <v>1701</v>
      </c>
      <c r="D631" s="1" t="s">
        <v>2130</v>
      </c>
      <c r="E631" s="1" t="s">
        <v>1596</v>
      </c>
    </row>
    <row r="632" spans="1:5" ht="36" customHeight="1">
      <c r="A632" s="1" t="s">
        <v>1580</v>
      </c>
      <c r="B632" s="1" t="s">
        <v>2098</v>
      </c>
      <c r="C632" s="1" t="s">
        <v>1934</v>
      </c>
      <c r="D632" s="1" t="s">
        <v>2131</v>
      </c>
      <c r="E632" s="1" t="s">
        <v>1596</v>
      </c>
    </row>
    <row r="633" spans="1:5" ht="36" customHeight="1">
      <c r="A633" s="1" t="s">
        <v>1580</v>
      </c>
      <c r="B633" s="1" t="s">
        <v>2098</v>
      </c>
      <c r="C633" s="1" t="s">
        <v>1935</v>
      </c>
      <c r="D633" s="1" t="s">
        <v>2108</v>
      </c>
      <c r="E633" s="1" t="s">
        <v>1596</v>
      </c>
    </row>
    <row r="634" spans="1:5" ht="36" customHeight="1">
      <c r="A634" s="1" t="s">
        <v>1580</v>
      </c>
      <c r="B634" s="1" t="s">
        <v>2098</v>
      </c>
      <c r="C634" s="1" t="s">
        <v>1936</v>
      </c>
      <c r="D634" s="1" t="s">
        <v>2132</v>
      </c>
      <c r="E634" s="1" t="s">
        <v>1596</v>
      </c>
    </row>
    <row r="635" spans="1:5" ht="36" customHeight="1">
      <c r="A635" s="1" t="s">
        <v>1580</v>
      </c>
      <c r="B635" s="1" t="s">
        <v>2098</v>
      </c>
      <c r="C635" s="1" t="s">
        <v>2133</v>
      </c>
      <c r="D635" s="1" t="s">
        <v>2112</v>
      </c>
      <c r="E635" s="1" t="s">
        <v>1596</v>
      </c>
    </row>
    <row r="636" spans="1:5" ht="36" customHeight="1">
      <c r="A636" s="1" t="s">
        <v>1580</v>
      </c>
      <c r="B636" s="1" t="s">
        <v>2098</v>
      </c>
      <c r="C636" s="1" t="s">
        <v>2134</v>
      </c>
      <c r="D636" s="1" t="s">
        <v>2135</v>
      </c>
      <c r="E636" s="1" t="s">
        <v>1596</v>
      </c>
    </row>
    <row r="637" spans="1:5" ht="36" customHeight="1">
      <c r="A637" s="1" t="s">
        <v>1580</v>
      </c>
      <c r="B637" s="1" t="s">
        <v>2098</v>
      </c>
      <c r="C637" s="1" t="s">
        <v>2136</v>
      </c>
      <c r="D637" s="1" t="s">
        <v>2137</v>
      </c>
      <c r="E637" s="1" t="s">
        <v>1596</v>
      </c>
    </row>
    <row r="638" spans="1:5" ht="36" customHeight="1">
      <c r="A638" s="1" t="s">
        <v>1580</v>
      </c>
      <c r="B638" s="1" t="s">
        <v>2098</v>
      </c>
      <c r="C638" s="1" t="s">
        <v>2138</v>
      </c>
      <c r="D638" s="1" t="s">
        <v>2139</v>
      </c>
      <c r="E638" s="1" t="s">
        <v>1596</v>
      </c>
    </row>
    <row r="639" spans="1:5" ht="48" customHeight="1">
      <c r="A639" s="1" t="s">
        <v>1580</v>
      </c>
      <c r="B639" s="1" t="s">
        <v>2098</v>
      </c>
      <c r="C639" s="1" t="s">
        <v>1732</v>
      </c>
      <c r="D639" s="1" t="s">
        <v>2140</v>
      </c>
      <c r="E639" s="1" t="s">
        <v>1596</v>
      </c>
    </row>
    <row r="640" spans="1:5" ht="36" customHeight="1">
      <c r="A640" s="1" t="s">
        <v>1580</v>
      </c>
      <c r="B640" s="1" t="s">
        <v>2098</v>
      </c>
      <c r="C640" s="1" t="s">
        <v>1824</v>
      </c>
      <c r="D640" s="1" t="s">
        <v>2141</v>
      </c>
      <c r="E640" s="1" t="s">
        <v>1596</v>
      </c>
    </row>
    <row r="641" spans="1:5" ht="36" customHeight="1">
      <c r="A641" s="1" t="s">
        <v>1580</v>
      </c>
      <c r="B641" s="1" t="s">
        <v>2098</v>
      </c>
      <c r="C641" s="1" t="s">
        <v>1706</v>
      </c>
      <c r="D641" s="1" t="s">
        <v>2142</v>
      </c>
      <c r="E641" s="1" t="s">
        <v>1596</v>
      </c>
    </row>
    <row r="642" spans="1:5" ht="36" customHeight="1">
      <c r="A642" s="1" t="s">
        <v>1580</v>
      </c>
      <c r="B642" s="1" t="s">
        <v>2098</v>
      </c>
      <c r="C642" s="1" t="s">
        <v>1982</v>
      </c>
      <c r="D642" s="1" t="s">
        <v>2143</v>
      </c>
      <c r="E642" s="1" t="s">
        <v>1596</v>
      </c>
    </row>
    <row r="643" spans="1:5" ht="36" customHeight="1">
      <c r="A643" s="1" t="s">
        <v>1580</v>
      </c>
      <c r="B643" s="1" t="s">
        <v>2098</v>
      </c>
      <c r="C643" s="1" t="s">
        <v>1711</v>
      </c>
      <c r="D643" s="1" t="s">
        <v>1668</v>
      </c>
      <c r="E643" s="1" t="s">
        <v>1596</v>
      </c>
    </row>
    <row r="644" spans="1:5" ht="36" customHeight="1">
      <c r="A644" s="1" t="s">
        <v>1580</v>
      </c>
      <c r="B644" s="1" t="s">
        <v>2098</v>
      </c>
      <c r="C644" s="1" t="s">
        <v>1712</v>
      </c>
      <c r="D644" s="1" t="s">
        <v>1670</v>
      </c>
      <c r="E644" s="1" t="s">
        <v>1596</v>
      </c>
    </row>
    <row r="645" spans="1:5" ht="36" customHeight="1">
      <c r="A645" s="1" t="s">
        <v>1580</v>
      </c>
      <c r="B645" s="1" t="s">
        <v>2098</v>
      </c>
      <c r="C645" s="1" t="s">
        <v>1713</v>
      </c>
      <c r="D645" s="1" t="s">
        <v>1672</v>
      </c>
      <c r="E645" s="1" t="s">
        <v>1596</v>
      </c>
    </row>
    <row r="646" spans="1:5" ht="36" customHeight="1">
      <c r="A646" s="1" t="s">
        <v>1580</v>
      </c>
      <c r="B646" s="1" t="s">
        <v>1593</v>
      </c>
      <c r="C646" s="1" t="s">
        <v>1594</v>
      </c>
      <c r="D646" s="1" t="s">
        <v>1828</v>
      </c>
      <c r="E646" s="1" t="s">
        <v>1596</v>
      </c>
    </row>
    <row r="647" spans="1:5" ht="36" customHeight="1">
      <c r="A647" s="1" t="s">
        <v>1580</v>
      </c>
      <c r="B647" s="1" t="s">
        <v>1593</v>
      </c>
      <c r="C647" s="1" t="s">
        <v>1597</v>
      </c>
      <c r="D647" s="1" t="s">
        <v>1598</v>
      </c>
      <c r="E647" s="1" t="s">
        <v>1596</v>
      </c>
    </row>
    <row r="648" spans="1:5" ht="36" customHeight="1">
      <c r="A648" s="1" t="s">
        <v>1580</v>
      </c>
      <c r="B648" s="1" t="s">
        <v>1593</v>
      </c>
      <c r="C648" s="1" t="s">
        <v>1599</v>
      </c>
      <c r="D648" s="1" t="s">
        <v>1600</v>
      </c>
      <c r="E648" s="1" t="s">
        <v>1596</v>
      </c>
    </row>
    <row r="649" spans="1:5" ht="36" customHeight="1">
      <c r="A649" s="1" t="s">
        <v>1580</v>
      </c>
      <c r="B649" s="1" t="s">
        <v>1593</v>
      </c>
      <c r="C649" s="1" t="s">
        <v>1601</v>
      </c>
      <c r="D649" s="1" t="s">
        <v>1602</v>
      </c>
      <c r="E649" s="1" t="s">
        <v>1596</v>
      </c>
    </row>
    <row r="650" spans="1:5" ht="36" customHeight="1">
      <c r="A650" s="1" t="s">
        <v>1580</v>
      </c>
      <c r="B650" s="1" t="s">
        <v>1593</v>
      </c>
      <c r="C650" s="1" t="s">
        <v>1603</v>
      </c>
      <c r="D650" s="1" t="s">
        <v>1604</v>
      </c>
      <c r="E650" s="1" t="s">
        <v>1596</v>
      </c>
    </row>
    <row r="651" spans="1:5" ht="36" customHeight="1">
      <c r="A651" s="1" t="s">
        <v>1580</v>
      </c>
      <c r="B651" s="1" t="s">
        <v>1593</v>
      </c>
      <c r="C651" s="1" t="s">
        <v>1605</v>
      </c>
      <c r="D651" s="1" t="s">
        <v>1606</v>
      </c>
      <c r="E651" s="1" t="s">
        <v>1596</v>
      </c>
    </row>
    <row r="652" spans="1:5" ht="36" customHeight="1">
      <c r="A652" s="1" t="s">
        <v>1580</v>
      </c>
      <c r="B652" s="1" t="s">
        <v>1593</v>
      </c>
      <c r="C652" s="1" t="s">
        <v>1607</v>
      </c>
      <c r="D652" s="1" t="s">
        <v>1091</v>
      </c>
      <c r="E652" s="1" t="s">
        <v>1596</v>
      </c>
    </row>
    <row r="653" spans="1:5" ht="36" customHeight="1">
      <c r="A653" s="1" t="s">
        <v>1580</v>
      </c>
      <c r="B653" s="1" t="s">
        <v>1593</v>
      </c>
      <c r="C653" s="1" t="s">
        <v>1608</v>
      </c>
      <c r="D653" s="1" t="s">
        <v>1598</v>
      </c>
      <c r="E653" s="1" t="s">
        <v>1596</v>
      </c>
    </row>
    <row r="654" spans="1:5" ht="36" customHeight="1">
      <c r="A654" s="1" t="s">
        <v>1580</v>
      </c>
      <c r="B654" s="1" t="s">
        <v>1593</v>
      </c>
      <c r="C654" s="1" t="s">
        <v>1609</v>
      </c>
      <c r="D654" s="1" t="s">
        <v>2144</v>
      </c>
      <c r="E654" s="1" t="s">
        <v>1596</v>
      </c>
    </row>
    <row r="655" spans="1:5" ht="36" customHeight="1">
      <c r="A655" s="1" t="s">
        <v>1580</v>
      </c>
      <c r="B655" s="1" t="s">
        <v>1593</v>
      </c>
      <c r="C655" s="1" t="s">
        <v>1610</v>
      </c>
      <c r="D655" s="1" t="s">
        <v>1611</v>
      </c>
      <c r="E655" s="1" t="s">
        <v>1596</v>
      </c>
    </row>
    <row r="656" spans="1:5" ht="36" customHeight="1">
      <c r="A656" s="1" t="s">
        <v>1580</v>
      </c>
      <c r="B656" s="1" t="s">
        <v>1593</v>
      </c>
      <c r="C656" s="1" t="s">
        <v>1612</v>
      </c>
      <c r="D656" s="1" t="s">
        <v>1613</v>
      </c>
      <c r="E656" s="1" t="s">
        <v>1596</v>
      </c>
    </row>
    <row r="657" spans="1:5" ht="36" customHeight="1">
      <c r="A657" s="1" t="s">
        <v>1580</v>
      </c>
      <c r="B657" s="1" t="s">
        <v>1593</v>
      </c>
      <c r="C657" s="1" t="s">
        <v>1614</v>
      </c>
      <c r="D657" s="1" t="s">
        <v>1615</v>
      </c>
      <c r="E657" s="1" t="s">
        <v>1596</v>
      </c>
    </row>
    <row r="658" spans="1:5" ht="48" customHeight="1">
      <c r="A658" s="1" t="s">
        <v>1580</v>
      </c>
      <c r="B658" s="1" t="s">
        <v>1593</v>
      </c>
      <c r="C658" s="1" t="s">
        <v>1617</v>
      </c>
      <c r="D658" s="1" t="s">
        <v>2145</v>
      </c>
      <c r="E658" s="1" t="s">
        <v>1596</v>
      </c>
    </row>
    <row r="659" spans="1:5" ht="36" customHeight="1">
      <c r="A659" s="1" t="s">
        <v>1580</v>
      </c>
      <c r="B659" s="1" t="s">
        <v>1593</v>
      </c>
      <c r="C659" s="1" t="s">
        <v>1619</v>
      </c>
      <c r="D659" s="1" t="s">
        <v>1620</v>
      </c>
      <c r="E659" s="1" t="s">
        <v>1596</v>
      </c>
    </row>
    <row r="660" spans="1:5" ht="36" customHeight="1">
      <c r="A660" s="1" t="s">
        <v>1580</v>
      </c>
      <c r="B660" s="1" t="s">
        <v>1593</v>
      </c>
      <c r="C660" s="1" t="s">
        <v>1621</v>
      </c>
      <c r="D660" s="1" t="s">
        <v>1622</v>
      </c>
      <c r="E660" s="1" t="s">
        <v>1596</v>
      </c>
    </row>
    <row r="661" spans="1:5" ht="36" customHeight="1">
      <c r="A661" s="1" t="s">
        <v>1580</v>
      </c>
      <c r="B661" s="1" t="s">
        <v>1593</v>
      </c>
      <c r="C661" s="1" t="s">
        <v>1624</v>
      </c>
      <c r="D661" s="1" t="s">
        <v>1625</v>
      </c>
      <c r="E661" s="1" t="s">
        <v>1596</v>
      </c>
    </row>
    <row r="662" spans="1:5" ht="36" customHeight="1">
      <c r="A662" s="1" t="s">
        <v>1580</v>
      </c>
      <c r="B662" s="1" t="s">
        <v>1593</v>
      </c>
      <c r="C662" s="1" t="s">
        <v>1626</v>
      </c>
      <c r="D662" s="1" t="s">
        <v>1627</v>
      </c>
      <c r="E662" s="1" t="s">
        <v>1596</v>
      </c>
    </row>
    <row r="663" spans="1:5" ht="36" customHeight="1">
      <c r="A663" s="1" t="s">
        <v>1580</v>
      </c>
      <c r="B663" s="1" t="s">
        <v>1593</v>
      </c>
      <c r="C663" s="1" t="s">
        <v>1628</v>
      </c>
      <c r="D663" s="1" t="s">
        <v>1629</v>
      </c>
      <c r="E663" s="1" t="s">
        <v>1596</v>
      </c>
    </row>
    <row r="664" spans="1:5" ht="36" customHeight="1">
      <c r="A664" s="1" t="s">
        <v>1580</v>
      </c>
      <c r="B664" s="1" t="s">
        <v>1593</v>
      </c>
      <c r="C664" s="1" t="s">
        <v>1630</v>
      </c>
      <c r="D664" s="1" t="s">
        <v>2146</v>
      </c>
      <c r="E664" s="1" t="s">
        <v>1596</v>
      </c>
    </row>
    <row r="665" spans="1:5" ht="36" customHeight="1">
      <c r="A665" s="1" t="s">
        <v>1580</v>
      </c>
      <c r="B665" s="1" t="s">
        <v>1593</v>
      </c>
      <c r="C665" s="1" t="s">
        <v>1632</v>
      </c>
      <c r="D665" s="1" t="s">
        <v>1633</v>
      </c>
      <c r="E665" s="1" t="s">
        <v>1596</v>
      </c>
    </row>
    <row r="666" spans="1:5" ht="36" customHeight="1">
      <c r="A666" s="1" t="s">
        <v>1580</v>
      </c>
      <c r="B666" s="1" t="s">
        <v>1593</v>
      </c>
      <c r="C666" s="1" t="s">
        <v>1634</v>
      </c>
      <c r="D666" s="1" t="s">
        <v>558</v>
      </c>
      <c r="E666" s="1" t="s">
        <v>1596</v>
      </c>
    </row>
    <row r="667" spans="1:5" ht="36" customHeight="1">
      <c r="A667" s="1" t="s">
        <v>1580</v>
      </c>
      <c r="B667" s="1" t="s">
        <v>1593</v>
      </c>
      <c r="C667" s="1" t="s">
        <v>1635</v>
      </c>
      <c r="D667" s="1" t="s">
        <v>1622</v>
      </c>
      <c r="E667" s="1" t="s">
        <v>1596</v>
      </c>
    </row>
    <row r="668" spans="1:5" ht="36" customHeight="1">
      <c r="A668" s="1" t="s">
        <v>1580</v>
      </c>
      <c r="B668" s="1" t="s">
        <v>1593</v>
      </c>
      <c r="C668" s="1" t="s">
        <v>1638</v>
      </c>
      <c r="D668" s="1" t="s">
        <v>2147</v>
      </c>
      <c r="E668" s="1" t="s">
        <v>1596</v>
      </c>
    </row>
    <row r="669" spans="1:5" ht="36" customHeight="1">
      <c r="A669" s="1" t="s">
        <v>1580</v>
      </c>
      <c r="B669" s="1" t="s">
        <v>1593</v>
      </c>
      <c r="C669" s="1" t="s">
        <v>1640</v>
      </c>
      <c r="D669" s="1" t="s">
        <v>1613</v>
      </c>
      <c r="E669" s="1" t="s">
        <v>1596</v>
      </c>
    </row>
    <row r="670" spans="1:5" ht="36" customHeight="1">
      <c r="A670" s="1" t="s">
        <v>1580</v>
      </c>
      <c r="B670" s="1" t="s">
        <v>1593</v>
      </c>
      <c r="C670" s="1" t="s">
        <v>1642</v>
      </c>
      <c r="D670" s="1" t="s">
        <v>1615</v>
      </c>
      <c r="E670" s="1" t="s">
        <v>1596</v>
      </c>
    </row>
    <row r="671" spans="1:5" ht="36" customHeight="1">
      <c r="A671" s="1" t="s">
        <v>1580</v>
      </c>
      <c r="B671" s="1" t="s">
        <v>1593</v>
      </c>
      <c r="C671" s="1" t="s">
        <v>1832</v>
      </c>
      <c r="D671" s="1" t="s">
        <v>1668</v>
      </c>
      <c r="E671" s="1" t="s">
        <v>1596</v>
      </c>
    </row>
    <row r="672" spans="1:5" ht="36" customHeight="1">
      <c r="A672" s="1" t="s">
        <v>1580</v>
      </c>
      <c r="B672" s="1" t="s">
        <v>1593</v>
      </c>
      <c r="C672" s="1" t="s">
        <v>1833</v>
      </c>
      <c r="D672" s="1" t="s">
        <v>1670</v>
      </c>
      <c r="E672" s="1" t="s">
        <v>1596</v>
      </c>
    </row>
    <row r="673" spans="1:5" ht="36" customHeight="1">
      <c r="A673" s="1" t="s">
        <v>1580</v>
      </c>
      <c r="B673" s="1" t="s">
        <v>1593</v>
      </c>
      <c r="C673" s="1" t="s">
        <v>2148</v>
      </c>
      <c r="D673" s="1" t="s">
        <v>1672</v>
      </c>
      <c r="E673" s="1" t="s">
        <v>1596</v>
      </c>
    </row>
    <row r="674" spans="1:5" ht="36" customHeight="1">
      <c r="A674" s="1" t="s">
        <v>1580</v>
      </c>
      <c r="B674" s="1" t="s">
        <v>1673</v>
      </c>
      <c r="C674" s="1" t="s">
        <v>1594</v>
      </c>
      <c r="D674" s="1" t="s">
        <v>1828</v>
      </c>
      <c r="E674" s="1" t="s">
        <v>1596</v>
      </c>
    </row>
    <row r="675" spans="1:5" ht="36" customHeight="1">
      <c r="A675" s="1" t="s">
        <v>1580</v>
      </c>
      <c r="B675" s="1" t="s">
        <v>1673</v>
      </c>
      <c r="C675" s="1" t="s">
        <v>1597</v>
      </c>
      <c r="D675" s="1" t="s">
        <v>1598</v>
      </c>
      <c r="E675" s="1" t="s">
        <v>1596</v>
      </c>
    </row>
    <row r="676" spans="1:5" ht="36" customHeight="1">
      <c r="A676" s="1" t="s">
        <v>1580</v>
      </c>
      <c r="B676" s="1" t="s">
        <v>1673</v>
      </c>
      <c r="C676" s="1" t="s">
        <v>1599</v>
      </c>
      <c r="D676" s="1" t="s">
        <v>1600</v>
      </c>
      <c r="E676" s="1" t="s">
        <v>1596</v>
      </c>
    </row>
    <row r="677" spans="1:5" ht="36" customHeight="1">
      <c r="A677" s="1" t="s">
        <v>1580</v>
      </c>
      <c r="B677" s="1" t="s">
        <v>1673</v>
      </c>
      <c r="C677" s="1" t="s">
        <v>1601</v>
      </c>
      <c r="D677" s="1" t="s">
        <v>1602</v>
      </c>
      <c r="E677" s="1" t="s">
        <v>1596</v>
      </c>
    </row>
    <row r="678" spans="1:5" ht="36" customHeight="1">
      <c r="A678" s="1" t="s">
        <v>1580</v>
      </c>
      <c r="B678" s="1" t="s">
        <v>1673</v>
      </c>
      <c r="C678" s="1" t="s">
        <v>1603</v>
      </c>
      <c r="D678" s="1" t="s">
        <v>2149</v>
      </c>
      <c r="E678" s="1" t="s">
        <v>1596</v>
      </c>
    </row>
    <row r="679" spans="1:5" ht="36" customHeight="1">
      <c r="A679" s="1" t="s">
        <v>1580</v>
      </c>
      <c r="B679" s="1" t="s">
        <v>1673</v>
      </c>
      <c r="C679" s="1" t="s">
        <v>1605</v>
      </c>
      <c r="D679" s="1" t="s">
        <v>1676</v>
      </c>
      <c r="E679" s="1" t="s">
        <v>1596</v>
      </c>
    </row>
    <row r="680" spans="1:5" ht="36" customHeight="1">
      <c r="A680" s="1" t="s">
        <v>1580</v>
      </c>
      <c r="B680" s="1" t="s">
        <v>1673</v>
      </c>
      <c r="C680" s="1" t="s">
        <v>1677</v>
      </c>
      <c r="D680" s="1" t="s">
        <v>1678</v>
      </c>
      <c r="E680" s="1" t="s">
        <v>1596</v>
      </c>
    </row>
    <row r="681" spans="1:5" ht="36" customHeight="1">
      <c r="A681" s="1" t="s">
        <v>1580</v>
      </c>
      <c r="B681" s="1" t="s">
        <v>1673</v>
      </c>
      <c r="C681" s="1" t="s">
        <v>1679</v>
      </c>
      <c r="D681" s="1" t="s">
        <v>1160</v>
      </c>
      <c r="E681" s="1" t="s">
        <v>1596</v>
      </c>
    </row>
    <row r="682" spans="1:5" ht="36" customHeight="1">
      <c r="A682" s="1" t="s">
        <v>1580</v>
      </c>
      <c r="B682" s="1" t="s">
        <v>1673</v>
      </c>
      <c r="C682" s="1" t="s">
        <v>1680</v>
      </c>
      <c r="D682" s="1" t="s">
        <v>1681</v>
      </c>
      <c r="E682" s="1" t="s">
        <v>1596</v>
      </c>
    </row>
    <row r="683" spans="1:5" ht="36" customHeight="1">
      <c r="A683" s="1" t="s">
        <v>1580</v>
      </c>
      <c r="B683" s="1" t="s">
        <v>1673</v>
      </c>
      <c r="C683" s="1" t="s">
        <v>1682</v>
      </c>
      <c r="D683" s="1" t="s">
        <v>1683</v>
      </c>
      <c r="E683" s="1" t="s">
        <v>1596</v>
      </c>
    </row>
    <row r="684" spans="1:5" ht="36" customHeight="1">
      <c r="A684" s="1" t="s">
        <v>1580</v>
      </c>
      <c r="B684" s="1" t="s">
        <v>1673</v>
      </c>
      <c r="C684" s="1" t="s">
        <v>1684</v>
      </c>
      <c r="D684" s="1" t="s">
        <v>1685</v>
      </c>
      <c r="E684" s="1" t="s">
        <v>1596</v>
      </c>
    </row>
    <row r="685" spans="1:5" ht="36" customHeight="1">
      <c r="A685" s="1" t="s">
        <v>1580</v>
      </c>
      <c r="B685" s="1" t="s">
        <v>1673</v>
      </c>
      <c r="C685" s="1" t="s">
        <v>1686</v>
      </c>
      <c r="D685" s="1" t="s">
        <v>1687</v>
      </c>
      <c r="E685" s="1" t="s">
        <v>1596</v>
      </c>
    </row>
    <row r="686" spans="1:5" ht="36" customHeight="1">
      <c r="A686" s="1" t="s">
        <v>1580</v>
      </c>
      <c r="B686" s="1" t="s">
        <v>1673</v>
      </c>
      <c r="C686" s="1" t="s">
        <v>1607</v>
      </c>
      <c r="D686" s="1" t="s">
        <v>1091</v>
      </c>
      <c r="E686" s="1" t="s">
        <v>1596</v>
      </c>
    </row>
    <row r="687" spans="1:5" ht="36" customHeight="1">
      <c r="A687" s="1" t="s">
        <v>1580</v>
      </c>
      <c r="B687" s="1" t="s">
        <v>1673</v>
      </c>
      <c r="C687" s="1" t="s">
        <v>1608</v>
      </c>
      <c r="D687" s="1" t="s">
        <v>1598</v>
      </c>
      <c r="E687" s="1" t="s">
        <v>1596</v>
      </c>
    </row>
    <row r="688" spans="1:5" ht="36" customHeight="1">
      <c r="A688" s="1" t="s">
        <v>1580</v>
      </c>
      <c r="B688" s="1" t="s">
        <v>1673</v>
      </c>
      <c r="C688" s="1" t="s">
        <v>1609</v>
      </c>
      <c r="D688" s="1" t="s">
        <v>1688</v>
      </c>
      <c r="E688" s="1" t="s">
        <v>1596</v>
      </c>
    </row>
    <row r="689" spans="1:5" ht="36" customHeight="1">
      <c r="A689" s="1" t="s">
        <v>1580</v>
      </c>
      <c r="B689" s="1" t="s">
        <v>1673</v>
      </c>
      <c r="C689" s="1" t="s">
        <v>1610</v>
      </c>
      <c r="D689" s="1" t="s">
        <v>2150</v>
      </c>
      <c r="E689" s="1" t="s">
        <v>1596</v>
      </c>
    </row>
    <row r="690" spans="1:5" ht="36" customHeight="1">
      <c r="A690" s="1" t="s">
        <v>1580</v>
      </c>
      <c r="B690" s="1" t="s">
        <v>1673</v>
      </c>
      <c r="C690" s="1" t="s">
        <v>1612</v>
      </c>
      <c r="D690" s="1" t="s">
        <v>2151</v>
      </c>
      <c r="E690" s="1" t="s">
        <v>1596</v>
      </c>
    </row>
    <row r="691" spans="1:5" ht="36" customHeight="1">
      <c r="A691" s="1" t="s">
        <v>1580</v>
      </c>
      <c r="B691" s="1" t="s">
        <v>1673</v>
      </c>
      <c r="C691" s="1" t="s">
        <v>1614</v>
      </c>
      <c r="D691" s="1" t="s">
        <v>1691</v>
      </c>
      <c r="E691" s="1" t="s">
        <v>1596</v>
      </c>
    </row>
    <row r="692" spans="1:5" ht="36" customHeight="1">
      <c r="A692" s="1" t="s">
        <v>1580</v>
      </c>
      <c r="B692" s="1" t="s">
        <v>1673</v>
      </c>
      <c r="C692" s="1" t="s">
        <v>1623</v>
      </c>
      <c r="D692" s="1" t="s">
        <v>2152</v>
      </c>
      <c r="E692" s="1" t="s">
        <v>1596</v>
      </c>
    </row>
    <row r="693" spans="1:5" ht="36" customHeight="1">
      <c r="A693" s="1" t="s">
        <v>1580</v>
      </c>
      <c r="B693" s="1" t="s">
        <v>1673</v>
      </c>
      <c r="C693" s="1" t="s">
        <v>1624</v>
      </c>
      <c r="D693" s="1" t="s">
        <v>2153</v>
      </c>
      <c r="E693" s="1" t="s">
        <v>1596</v>
      </c>
    </row>
    <row r="694" spans="1:5" ht="36" customHeight="1">
      <c r="A694" s="1" t="s">
        <v>1580</v>
      </c>
      <c r="B694" s="1" t="s">
        <v>1673</v>
      </c>
      <c r="C694" s="1" t="s">
        <v>1898</v>
      </c>
      <c r="D694" s="1" t="s">
        <v>2154</v>
      </c>
      <c r="E694" s="1" t="s">
        <v>1596</v>
      </c>
    </row>
    <row r="695" spans="1:5" ht="36" customHeight="1">
      <c r="A695" s="1" t="s">
        <v>1580</v>
      </c>
      <c r="B695" s="1" t="s">
        <v>1673</v>
      </c>
      <c r="C695" s="1" t="s">
        <v>1800</v>
      </c>
      <c r="D695" s="1" t="s">
        <v>2155</v>
      </c>
      <c r="E695" s="1" t="s">
        <v>1596</v>
      </c>
    </row>
    <row r="696" spans="1:5" ht="36" customHeight="1">
      <c r="A696" s="1" t="s">
        <v>1580</v>
      </c>
      <c r="B696" s="1" t="s">
        <v>1673</v>
      </c>
      <c r="C696" s="1" t="s">
        <v>2046</v>
      </c>
      <c r="D696" s="1" t="s">
        <v>2156</v>
      </c>
      <c r="E696" s="1" t="s">
        <v>1596</v>
      </c>
    </row>
    <row r="697" spans="1:5" ht="36" customHeight="1">
      <c r="A697" s="1" t="s">
        <v>1580</v>
      </c>
      <c r="B697" s="1" t="s">
        <v>1673</v>
      </c>
      <c r="C697" s="1" t="s">
        <v>2157</v>
      </c>
      <c r="D697" s="1" t="s">
        <v>2155</v>
      </c>
      <c r="E697" s="1" t="s">
        <v>1596</v>
      </c>
    </row>
    <row r="698" spans="1:5" ht="36" customHeight="1">
      <c r="A698" s="1" t="s">
        <v>1580</v>
      </c>
      <c r="B698" s="1" t="s">
        <v>1673</v>
      </c>
      <c r="C698" s="1" t="s">
        <v>1801</v>
      </c>
      <c r="D698" s="1" t="s">
        <v>2158</v>
      </c>
      <c r="E698" s="1" t="s">
        <v>1596</v>
      </c>
    </row>
    <row r="699" spans="1:5" ht="36" customHeight="1">
      <c r="A699" s="1" t="s">
        <v>1580</v>
      </c>
      <c r="B699" s="1" t="s">
        <v>1673</v>
      </c>
      <c r="C699" s="1" t="s">
        <v>2159</v>
      </c>
      <c r="D699" s="1" t="s">
        <v>2155</v>
      </c>
      <c r="E699" s="1" t="s">
        <v>1596</v>
      </c>
    </row>
    <row r="700" spans="1:5" ht="36" customHeight="1">
      <c r="A700" s="1" t="s">
        <v>1580</v>
      </c>
      <c r="B700" s="1" t="s">
        <v>1673</v>
      </c>
      <c r="C700" s="1" t="s">
        <v>2160</v>
      </c>
      <c r="D700" s="1" t="s">
        <v>2161</v>
      </c>
      <c r="E700" s="1" t="s">
        <v>1596</v>
      </c>
    </row>
    <row r="701" spans="1:5" ht="36" customHeight="1">
      <c r="A701" s="1" t="s">
        <v>1580</v>
      </c>
      <c r="B701" s="1" t="s">
        <v>1673</v>
      </c>
      <c r="C701" s="1" t="s">
        <v>1628</v>
      </c>
      <c r="D701" s="1" t="s">
        <v>2155</v>
      </c>
      <c r="E701" s="1" t="s">
        <v>1596</v>
      </c>
    </row>
    <row r="702" spans="1:5" ht="36" customHeight="1">
      <c r="A702" s="1" t="s">
        <v>1580</v>
      </c>
      <c r="B702" s="1" t="s">
        <v>1673</v>
      </c>
      <c r="C702" s="1" t="s">
        <v>1632</v>
      </c>
      <c r="D702" s="1" t="s">
        <v>552</v>
      </c>
      <c r="E702" s="1" t="s">
        <v>1596</v>
      </c>
    </row>
    <row r="703" spans="1:5" ht="36" customHeight="1">
      <c r="A703" s="1" t="s">
        <v>1580</v>
      </c>
      <c r="B703" s="1" t="s">
        <v>1673</v>
      </c>
      <c r="C703" s="1" t="s">
        <v>1902</v>
      </c>
      <c r="D703" s="1" t="s">
        <v>2162</v>
      </c>
      <c r="E703" s="1" t="s">
        <v>1596</v>
      </c>
    </row>
    <row r="704" spans="1:5" ht="36" customHeight="1">
      <c r="A704" s="1" t="s">
        <v>1580</v>
      </c>
      <c r="B704" s="1" t="s">
        <v>1673</v>
      </c>
      <c r="C704" s="1" t="s">
        <v>1904</v>
      </c>
      <c r="D704" s="1" t="s">
        <v>2163</v>
      </c>
      <c r="E704" s="1" t="s">
        <v>1596</v>
      </c>
    </row>
    <row r="705" spans="1:5" ht="36" customHeight="1">
      <c r="A705" s="1" t="s">
        <v>1580</v>
      </c>
      <c r="B705" s="1" t="s">
        <v>1673</v>
      </c>
      <c r="C705" s="1" t="s">
        <v>1905</v>
      </c>
      <c r="D705" s="1" t="s">
        <v>2164</v>
      </c>
      <c r="E705" s="1" t="s">
        <v>1596</v>
      </c>
    </row>
    <row r="706" spans="1:5" ht="36" customHeight="1">
      <c r="A706" s="1" t="s">
        <v>1580</v>
      </c>
      <c r="B706" s="1" t="s">
        <v>1673</v>
      </c>
      <c r="C706" s="1" t="s">
        <v>1805</v>
      </c>
      <c r="D706" s="1" t="s">
        <v>2049</v>
      </c>
      <c r="E706" s="1" t="s">
        <v>1596</v>
      </c>
    </row>
    <row r="707" spans="1:5" ht="36" customHeight="1">
      <c r="A707" s="1" t="s">
        <v>1580</v>
      </c>
      <c r="B707" s="1" t="s">
        <v>1673</v>
      </c>
      <c r="C707" s="1" t="s">
        <v>2165</v>
      </c>
      <c r="D707" s="1" t="s">
        <v>2155</v>
      </c>
      <c r="E707" s="1" t="s">
        <v>1596</v>
      </c>
    </row>
    <row r="708" spans="1:5" ht="36" customHeight="1">
      <c r="A708" s="1" t="s">
        <v>1580</v>
      </c>
      <c r="B708" s="1" t="s">
        <v>1673</v>
      </c>
      <c r="C708" s="1" t="s">
        <v>1806</v>
      </c>
      <c r="D708" s="1" t="s">
        <v>2166</v>
      </c>
      <c r="E708" s="1" t="s">
        <v>1596</v>
      </c>
    </row>
    <row r="709" spans="1:5" ht="36" customHeight="1">
      <c r="A709" s="1" t="s">
        <v>1580</v>
      </c>
      <c r="B709" s="1" t="s">
        <v>1673</v>
      </c>
      <c r="C709" s="1" t="s">
        <v>2167</v>
      </c>
      <c r="D709" s="1" t="s">
        <v>2168</v>
      </c>
      <c r="E709" s="1" t="s">
        <v>1596</v>
      </c>
    </row>
    <row r="710" spans="1:5" ht="36" customHeight="1">
      <c r="A710" s="1" t="s">
        <v>1580</v>
      </c>
      <c r="B710" s="1" t="s">
        <v>1673</v>
      </c>
      <c r="C710" s="1" t="s">
        <v>1634</v>
      </c>
      <c r="D710" s="1" t="s">
        <v>2169</v>
      </c>
      <c r="E710" s="1" t="s">
        <v>1596</v>
      </c>
    </row>
    <row r="711" spans="1:5" ht="36" customHeight="1">
      <c r="A711" s="1" t="s">
        <v>1580</v>
      </c>
      <c r="B711" s="1" t="s">
        <v>1673</v>
      </c>
      <c r="C711" s="1" t="s">
        <v>1635</v>
      </c>
      <c r="D711" s="1" t="s">
        <v>2170</v>
      </c>
      <c r="E711" s="1" t="s">
        <v>1596</v>
      </c>
    </row>
    <row r="712" spans="1:5" ht="36" customHeight="1">
      <c r="A712" s="1" t="s">
        <v>1580</v>
      </c>
      <c r="B712" s="1" t="s">
        <v>1673</v>
      </c>
      <c r="C712" s="1" t="s">
        <v>1638</v>
      </c>
      <c r="D712" s="1" t="s">
        <v>2171</v>
      </c>
      <c r="E712" s="1" t="s">
        <v>1596</v>
      </c>
    </row>
    <row r="713" spans="1:5" ht="36" customHeight="1">
      <c r="A713" s="1" t="s">
        <v>1580</v>
      </c>
      <c r="B713" s="1" t="s">
        <v>1673</v>
      </c>
      <c r="C713" s="1" t="s">
        <v>1909</v>
      </c>
      <c r="D713" s="1" t="s">
        <v>2172</v>
      </c>
      <c r="E713" s="1" t="s">
        <v>1596</v>
      </c>
    </row>
    <row r="714" spans="1:5" ht="36" customHeight="1">
      <c r="A714" s="1" t="s">
        <v>1580</v>
      </c>
      <c r="B714" s="1" t="s">
        <v>1673</v>
      </c>
      <c r="C714" s="1" t="s">
        <v>2173</v>
      </c>
      <c r="D714" s="1" t="s">
        <v>2174</v>
      </c>
      <c r="E714" s="1" t="s">
        <v>1596</v>
      </c>
    </row>
    <row r="715" spans="1:5" ht="36" customHeight="1">
      <c r="A715" s="1" t="s">
        <v>1580</v>
      </c>
      <c r="B715" s="1" t="s">
        <v>1673</v>
      </c>
      <c r="C715" s="1" t="s">
        <v>2175</v>
      </c>
      <c r="D715" s="1" t="s">
        <v>2176</v>
      </c>
      <c r="E715" s="1" t="s">
        <v>1596</v>
      </c>
    </row>
    <row r="716" spans="1:5" ht="36" customHeight="1">
      <c r="A716" s="1" t="s">
        <v>1580</v>
      </c>
      <c r="B716" s="1" t="s">
        <v>1673</v>
      </c>
      <c r="C716" s="1" t="s">
        <v>2177</v>
      </c>
      <c r="D716" s="1" t="s">
        <v>2178</v>
      </c>
      <c r="E716" s="1" t="s">
        <v>1596</v>
      </c>
    </row>
    <row r="717" spans="1:5" ht="36" customHeight="1">
      <c r="A717" s="1" t="s">
        <v>1580</v>
      </c>
      <c r="B717" s="1" t="s">
        <v>1673</v>
      </c>
      <c r="C717" s="1" t="s">
        <v>2179</v>
      </c>
      <c r="D717" s="1" t="s">
        <v>2180</v>
      </c>
      <c r="E717" s="1" t="s">
        <v>1596</v>
      </c>
    </row>
    <row r="718" spans="1:5" ht="36" customHeight="1">
      <c r="A718" s="1" t="s">
        <v>1580</v>
      </c>
      <c r="B718" s="1" t="s">
        <v>1673</v>
      </c>
      <c r="C718" s="1" t="s">
        <v>2181</v>
      </c>
      <c r="D718" s="1" t="s">
        <v>2182</v>
      </c>
      <c r="E718" s="1" t="s">
        <v>1596</v>
      </c>
    </row>
    <row r="719" spans="1:5" ht="36" customHeight="1">
      <c r="A719" s="1" t="s">
        <v>1580</v>
      </c>
      <c r="B719" s="1" t="s">
        <v>1673</v>
      </c>
      <c r="C719" s="1" t="s">
        <v>1640</v>
      </c>
      <c r="D719" s="1" t="s">
        <v>2183</v>
      </c>
      <c r="E719" s="1" t="s">
        <v>1596</v>
      </c>
    </row>
    <row r="720" spans="1:5" ht="36" customHeight="1">
      <c r="A720" s="1" t="s">
        <v>1580</v>
      </c>
      <c r="B720" s="1" t="s">
        <v>1673</v>
      </c>
      <c r="C720" s="1" t="s">
        <v>1642</v>
      </c>
      <c r="D720" s="1" t="s">
        <v>2184</v>
      </c>
      <c r="E720" s="1" t="s">
        <v>1596</v>
      </c>
    </row>
    <row r="721" spans="1:5" ht="36" customHeight="1">
      <c r="A721" s="1" t="s">
        <v>1580</v>
      </c>
      <c r="B721" s="1" t="s">
        <v>1673</v>
      </c>
      <c r="C721" s="1" t="s">
        <v>1643</v>
      </c>
      <c r="D721" s="1" t="s">
        <v>2185</v>
      </c>
      <c r="E721" s="1" t="s">
        <v>1596</v>
      </c>
    </row>
    <row r="722" spans="1:5" ht="36" customHeight="1">
      <c r="A722" s="1" t="s">
        <v>1580</v>
      </c>
      <c r="B722" s="1" t="s">
        <v>1673</v>
      </c>
      <c r="C722" s="1" t="s">
        <v>1913</v>
      </c>
      <c r="D722" s="1" t="s">
        <v>2186</v>
      </c>
      <c r="E722" s="1" t="s">
        <v>1596</v>
      </c>
    </row>
    <row r="723" spans="1:5" ht="36" customHeight="1">
      <c r="A723" s="1" t="s">
        <v>1580</v>
      </c>
      <c r="B723" s="1" t="s">
        <v>1673</v>
      </c>
      <c r="C723" s="1" t="s">
        <v>1645</v>
      </c>
      <c r="D723" s="1" t="s">
        <v>2187</v>
      </c>
      <c r="E723" s="1" t="s">
        <v>1596</v>
      </c>
    </row>
    <row r="724" spans="1:5" ht="36" customHeight="1">
      <c r="A724" s="1" t="s">
        <v>1580</v>
      </c>
      <c r="B724" s="1" t="s">
        <v>1673</v>
      </c>
      <c r="C724" s="1" t="s">
        <v>2188</v>
      </c>
      <c r="D724" s="1" t="s">
        <v>2189</v>
      </c>
      <c r="E724" s="1" t="s">
        <v>1596</v>
      </c>
    </row>
    <row r="725" spans="1:5" ht="36" customHeight="1">
      <c r="A725" s="1" t="s">
        <v>1580</v>
      </c>
      <c r="B725" s="1" t="s">
        <v>1673</v>
      </c>
      <c r="C725" s="1" t="s">
        <v>2190</v>
      </c>
      <c r="D725" s="1" t="s">
        <v>2191</v>
      </c>
      <c r="E725" s="1" t="s">
        <v>1596</v>
      </c>
    </row>
    <row r="726" spans="1:5" ht="36" customHeight="1">
      <c r="A726" s="1" t="s">
        <v>1580</v>
      </c>
      <c r="B726" s="1" t="s">
        <v>1673</v>
      </c>
      <c r="C726" s="1" t="s">
        <v>2192</v>
      </c>
      <c r="D726" s="1" t="s">
        <v>2193</v>
      </c>
      <c r="E726" s="1" t="s">
        <v>1596</v>
      </c>
    </row>
    <row r="727" spans="1:5" ht="36" customHeight="1">
      <c r="A727" s="1" t="s">
        <v>1580</v>
      </c>
      <c r="B727" s="1" t="s">
        <v>1673</v>
      </c>
      <c r="C727" s="1" t="s">
        <v>1648</v>
      </c>
      <c r="D727" s="1" t="s">
        <v>2191</v>
      </c>
      <c r="E727" s="1" t="s">
        <v>1596</v>
      </c>
    </row>
    <row r="728" spans="1:5" ht="36" customHeight="1">
      <c r="A728" s="1" t="s">
        <v>1580</v>
      </c>
      <c r="B728" s="1" t="s">
        <v>1673</v>
      </c>
      <c r="C728" s="1" t="s">
        <v>1649</v>
      </c>
      <c r="D728" s="1" t="s">
        <v>1694</v>
      </c>
      <c r="E728" s="1" t="s">
        <v>1596</v>
      </c>
    </row>
    <row r="729" spans="1:5" ht="96" customHeight="1">
      <c r="A729" s="1" t="s">
        <v>1580</v>
      </c>
      <c r="B729" s="1" t="s">
        <v>1673</v>
      </c>
      <c r="C729" s="1" t="s">
        <v>1651</v>
      </c>
      <c r="D729" s="1" t="s">
        <v>2194</v>
      </c>
      <c r="E729" s="1" t="s">
        <v>1596</v>
      </c>
    </row>
    <row r="730" spans="1:5" ht="36" customHeight="1">
      <c r="A730" s="1" t="s">
        <v>1580</v>
      </c>
      <c r="B730" s="1" t="s">
        <v>1673</v>
      </c>
      <c r="C730" s="1" t="s">
        <v>1696</v>
      </c>
      <c r="D730" s="1" t="s">
        <v>1618</v>
      </c>
      <c r="E730" s="1" t="s">
        <v>1596</v>
      </c>
    </row>
    <row r="731" spans="1:5" ht="36" customHeight="1">
      <c r="A731" s="1" t="s">
        <v>1580</v>
      </c>
      <c r="B731" s="1" t="s">
        <v>1673</v>
      </c>
      <c r="C731" s="1" t="s">
        <v>1653</v>
      </c>
      <c r="D731" s="1" t="s">
        <v>1697</v>
      </c>
      <c r="E731" s="1" t="s">
        <v>1596</v>
      </c>
    </row>
    <row r="732" spans="1:5" ht="36" customHeight="1">
      <c r="A732" s="1" t="s">
        <v>1580</v>
      </c>
      <c r="B732" s="1" t="s">
        <v>1673</v>
      </c>
      <c r="C732" s="1" t="s">
        <v>1655</v>
      </c>
      <c r="D732" s="1" t="s">
        <v>1622</v>
      </c>
      <c r="E732" s="1" t="s">
        <v>1596</v>
      </c>
    </row>
    <row r="733" spans="1:5" ht="36" customHeight="1">
      <c r="A733" s="1" t="s">
        <v>1580</v>
      </c>
      <c r="B733" s="1" t="s">
        <v>1673</v>
      </c>
      <c r="C733" s="1" t="s">
        <v>1699</v>
      </c>
      <c r="D733" s="1" t="s">
        <v>2195</v>
      </c>
      <c r="E733" s="1" t="s">
        <v>1596</v>
      </c>
    </row>
    <row r="734" spans="1:5" ht="48" customHeight="1">
      <c r="A734" s="1" t="s">
        <v>1580</v>
      </c>
      <c r="B734" s="1" t="s">
        <v>1673</v>
      </c>
      <c r="C734" s="1" t="s">
        <v>1701</v>
      </c>
      <c r="D734" s="1" t="s">
        <v>1702</v>
      </c>
      <c r="E734" s="1" t="s">
        <v>1596</v>
      </c>
    </row>
    <row r="735" spans="1:5" ht="36" customHeight="1">
      <c r="A735" s="1" t="s">
        <v>1580</v>
      </c>
      <c r="B735" s="1" t="s">
        <v>1673</v>
      </c>
      <c r="C735" s="1" t="s">
        <v>1703</v>
      </c>
      <c r="D735" s="1" t="s">
        <v>2196</v>
      </c>
      <c r="E735" s="1" t="s">
        <v>1596</v>
      </c>
    </row>
    <row r="736" spans="1:5" ht="36" customHeight="1">
      <c r="A736" s="1" t="s">
        <v>1580</v>
      </c>
      <c r="B736" s="1" t="s">
        <v>1673</v>
      </c>
      <c r="C736" s="1" t="s">
        <v>1704</v>
      </c>
      <c r="D736" s="1" t="s">
        <v>1691</v>
      </c>
      <c r="E736" s="1" t="s">
        <v>1596</v>
      </c>
    </row>
    <row r="737" spans="1:5" ht="36" customHeight="1">
      <c r="A737" s="1" t="s">
        <v>1580</v>
      </c>
      <c r="B737" s="1" t="s">
        <v>1673</v>
      </c>
      <c r="C737" s="1" t="s">
        <v>1667</v>
      </c>
      <c r="D737" s="1" t="s">
        <v>2197</v>
      </c>
      <c r="E737" s="1" t="s">
        <v>1596</v>
      </c>
    </row>
    <row r="738" spans="1:5" ht="48" customHeight="1">
      <c r="A738" s="1" t="s">
        <v>1580</v>
      </c>
      <c r="B738" s="1" t="s">
        <v>1673</v>
      </c>
      <c r="C738" s="1" t="s">
        <v>1706</v>
      </c>
      <c r="D738" s="1" t="s">
        <v>2198</v>
      </c>
      <c r="E738" s="1" t="s">
        <v>1596</v>
      </c>
    </row>
    <row r="739" spans="1:5" ht="36" customHeight="1">
      <c r="A739" s="1" t="s">
        <v>1580</v>
      </c>
      <c r="B739" s="1" t="s">
        <v>1673</v>
      </c>
      <c r="C739" s="1" t="s">
        <v>1708</v>
      </c>
      <c r="D739" s="1" t="s">
        <v>1709</v>
      </c>
      <c r="E739" s="1" t="s">
        <v>1596</v>
      </c>
    </row>
    <row r="740" spans="1:5" ht="36" customHeight="1">
      <c r="A740" s="1" t="s">
        <v>1580</v>
      </c>
      <c r="B740" s="1" t="s">
        <v>1673</v>
      </c>
      <c r="C740" s="1" t="s">
        <v>1710</v>
      </c>
      <c r="D740" s="1" t="s">
        <v>1691</v>
      </c>
      <c r="E740" s="1" t="s">
        <v>1596</v>
      </c>
    </row>
    <row r="741" spans="1:5" ht="36" customHeight="1">
      <c r="A741" s="1" t="s">
        <v>1580</v>
      </c>
      <c r="B741" s="1" t="s">
        <v>1673</v>
      </c>
      <c r="C741" s="1" t="s">
        <v>1711</v>
      </c>
      <c r="D741" s="1" t="s">
        <v>1668</v>
      </c>
      <c r="E741" s="1" t="s">
        <v>1596</v>
      </c>
    </row>
    <row r="742" spans="1:5" ht="36" customHeight="1">
      <c r="A742" s="1" t="s">
        <v>1580</v>
      </c>
      <c r="B742" s="1" t="s">
        <v>1673</v>
      </c>
      <c r="C742" s="1" t="s">
        <v>1712</v>
      </c>
      <c r="D742" s="1" t="s">
        <v>1670</v>
      </c>
      <c r="E742" s="1" t="s">
        <v>1596</v>
      </c>
    </row>
    <row r="743" spans="1:5" ht="36" customHeight="1">
      <c r="A743" s="1" t="s">
        <v>1580</v>
      </c>
      <c r="B743" s="1" t="s">
        <v>1673</v>
      </c>
      <c r="C743" s="1" t="s">
        <v>1713</v>
      </c>
      <c r="D743" s="1" t="s">
        <v>1672</v>
      </c>
      <c r="E743" s="1" t="s">
        <v>1596</v>
      </c>
    </row>
    <row r="744" spans="1:5" ht="36" customHeight="1">
      <c r="A744" s="1" t="s">
        <v>1580</v>
      </c>
      <c r="B744" s="1" t="s">
        <v>34</v>
      </c>
      <c r="C744" s="1" t="s">
        <v>1594</v>
      </c>
      <c r="D744" s="1" t="s">
        <v>1828</v>
      </c>
      <c r="E744" s="1" t="s">
        <v>1596</v>
      </c>
    </row>
    <row r="745" spans="1:5" ht="36" customHeight="1">
      <c r="A745" s="1" t="s">
        <v>1580</v>
      </c>
      <c r="B745" s="1" t="s">
        <v>34</v>
      </c>
      <c r="C745" s="1" t="s">
        <v>1597</v>
      </c>
      <c r="D745" s="1" t="s">
        <v>1598</v>
      </c>
      <c r="E745" s="1" t="s">
        <v>1596</v>
      </c>
    </row>
    <row r="746" spans="1:5" ht="36" customHeight="1">
      <c r="A746" s="1" t="s">
        <v>1580</v>
      </c>
      <c r="B746" s="1" t="s">
        <v>34</v>
      </c>
      <c r="C746" s="1" t="s">
        <v>1599</v>
      </c>
      <c r="D746" s="1" t="s">
        <v>1600</v>
      </c>
      <c r="E746" s="1" t="s">
        <v>1596</v>
      </c>
    </row>
    <row r="747" spans="1:5" ht="36" customHeight="1">
      <c r="A747" s="1" t="s">
        <v>1580</v>
      </c>
      <c r="B747" s="1" t="s">
        <v>34</v>
      </c>
      <c r="C747" s="1" t="s">
        <v>1601</v>
      </c>
      <c r="D747" s="1" t="s">
        <v>1602</v>
      </c>
      <c r="E747" s="1" t="s">
        <v>1596</v>
      </c>
    </row>
    <row r="748" spans="1:5" ht="36" customHeight="1">
      <c r="A748" s="1" t="s">
        <v>1580</v>
      </c>
      <c r="B748" s="1" t="s">
        <v>34</v>
      </c>
      <c r="C748" s="1" t="s">
        <v>1603</v>
      </c>
      <c r="D748" s="1" t="s">
        <v>2199</v>
      </c>
      <c r="E748" s="1" t="s">
        <v>1596</v>
      </c>
    </row>
    <row r="749" spans="1:5" ht="36" customHeight="1">
      <c r="A749" s="1" t="s">
        <v>1580</v>
      </c>
      <c r="B749" s="1" t="s">
        <v>34</v>
      </c>
      <c r="C749" s="1" t="s">
        <v>1605</v>
      </c>
      <c r="D749" s="1" t="s">
        <v>1676</v>
      </c>
      <c r="E749" s="1" t="s">
        <v>1596</v>
      </c>
    </row>
    <row r="750" spans="1:5" ht="36" customHeight="1">
      <c r="A750" s="1" t="s">
        <v>1580</v>
      </c>
      <c r="B750" s="1" t="s">
        <v>34</v>
      </c>
      <c r="C750" s="1" t="s">
        <v>1677</v>
      </c>
      <c r="D750" s="1" t="s">
        <v>1678</v>
      </c>
      <c r="E750" s="1" t="s">
        <v>1596</v>
      </c>
    </row>
    <row r="751" spans="1:5" ht="36" customHeight="1">
      <c r="A751" s="1" t="s">
        <v>1580</v>
      </c>
      <c r="B751" s="1" t="s">
        <v>34</v>
      </c>
      <c r="C751" s="1" t="s">
        <v>1679</v>
      </c>
      <c r="D751" s="1" t="s">
        <v>1160</v>
      </c>
      <c r="E751" s="1" t="s">
        <v>1596</v>
      </c>
    </row>
    <row r="752" spans="1:5" ht="36" customHeight="1">
      <c r="A752" s="1" t="s">
        <v>1580</v>
      </c>
      <c r="B752" s="1" t="s">
        <v>34</v>
      </c>
      <c r="C752" s="1" t="s">
        <v>1680</v>
      </c>
      <c r="D752" s="1" t="s">
        <v>1681</v>
      </c>
      <c r="E752" s="1" t="s">
        <v>1596</v>
      </c>
    </row>
    <row r="753" spans="1:5" ht="36" customHeight="1">
      <c r="A753" s="1" t="s">
        <v>1580</v>
      </c>
      <c r="B753" s="1" t="s">
        <v>34</v>
      </c>
      <c r="C753" s="1" t="s">
        <v>1682</v>
      </c>
      <c r="D753" s="1" t="s">
        <v>1683</v>
      </c>
      <c r="E753" s="1" t="s">
        <v>1596</v>
      </c>
    </row>
    <row r="754" spans="1:5" ht="36" customHeight="1">
      <c r="A754" s="1" t="s">
        <v>1580</v>
      </c>
      <c r="B754" s="1" t="s">
        <v>34</v>
      </c>
      <c r="C754" s="1" t="s">
        <v>1684</v>
      </c>
      <c r="D754" s="1" t="s">
        <v>1685</v>
      </c>
      <c r="E754" s="1" t="s">
        <v>1596</v>
      </c>
    </row>
    <row r="755" spans="1:5" ht="36" customHeight="1">
      <c r="A755" s="1" t="s">
        <v>1580</v>
      </c>
      <c r="B755" s="1" t="s">
        <v>34</v>
      </c>
      <c r="C755" s="1" t="s">
        <v>1686</v>
      </c>
      <c r="D755" s="1" t="s">
        <v>1687</v>
      </c>
      <c r="E755" s="1" t="s">
        <v>1596</v>
      </c>
    </row>
    <row r="756" spans="1:5" ht="36" customHeight="1">
      <c r="A756" s="1" t="s">
        <v>1580</v>
      </c>
      <c r="B756" s="1" t="s">
        <v>34</v>
      </c>
      <c r="C756" s="1" t="s">
        <v>1607</v>
      </c>
      <c r="D756" s="1" t="s">
        <v>1091</v>
      </c>
      <c r="E756" s="1" t="s">
        <v>1596</v>
      </c>
    </row>
    <row r="757" spans="1:5" ht="36" customHeight="1">
      <c r="A757" s="1" t="s">
        <v>1580</v>
      </c>
      <c r="B757" s="1" t="s">
        <v>34</v>
      </c>
      <c r="C757" s="1" t="s">
        <v>1608</v>
      </c>
      <c r="D757" s="1" t="s">
        <v>1598</v>
      </c>
      <c r="E757" s="1" t="s">
        <v>1596</v>
      </c>
    </row>
    <row r="758" spans="1:5" ht="36" customHeight="1">
      <c r="A758" s="1" t="s">
        <v>1580</v>
      </c>
      <c r="B758" s="1" t="s">
        <v>34</v>
      </c>
      <c r="C758" s="1" t="s">
        <v>1609</v>
      </c>
      <c r="D758" s="1" t="s">
        <v>252</v>
      </c>
      <c r="E758" s="1" t="s">
        <v>1596</v>
      </c>
    </row>
    <row r="759" spans="1:5" ht="36" customHeight="1">
      <c r="A759" s="1" t="s">
        <v>1580</v>
      </c>
      <c r="B759" s="1" t="s">
        <v>34</v>
      </c>
      <c r="C759" s="1" t="s">
        <v>1610</v>
      </c>
      <c r="D759" s="1" t="s">
        <v>2200</v>
      </c>
      <c r="E759" s="1" t="s">
        <v>1596</v>
      </c>
    </row>
    <row r="760" spans="1:5" ht="36" customHeight="1">
      <c r="A760" s="1" t="s">
        <v>1580</v>
      </c>
      <c r="B760" s="1" t="s">
        <v>34</v>
      </c>
      <c r="C760" s="1" t="s">
        <v>1636</v>
      </c>
      <c r="D760" s="1" t="s">
        <v>2201</v>
      </c>
      <c r="E760" s="1" t="s">
        <v>1596</v>
      </c>
    </row>
    <row r="761" spans="1:5" ht="36" customHeight="1">
      <c r="A761" s="1" t="s">
        <v>1580</v>
      </c>
      <c r="B761" s="1" t="s">
        <v>34</v>
      </c>
      <c r="C761" s="1" t="s">
        <v>1638</v>
      </c>
      <c r="D761" s="1" t="s">
        <v>2202</v>
      </c>
      <c r="E761" s="1" t="s">
        <v>1596</v>
      </c>
    </row>
    <row r="762" spans="1:5" ht="48" customHeight="1">
      <c r="A762" s="1" t="s">
        <v>1580</v>
      </c>
      <c r="B762" s="1" t="s">
        <v>34</v>
      </c>
      <c r="C762" s="1" t="s">
        <v>1640</v>
      </c>
      <c r="D762" s="1" t="s">
        <v>2203</v>
      </c>
      <c r="E762" s="1" t="s">
        <v>1596</v>
      </c>
    </row>
    <row r="763" spans="1:5" ht="36" customHeight="1">
      <c r="A763" s="1" t="s">
        <v>1580</v>
      </c>
      <c r="B763" s="1" t="s">
        <v>34</v>
      </c>
      <c r="C763" s="1" t="s">
        <v>1642</v>
      </c>
      <c r="D763" s="1" t="s">
        <v>1622</v>
      </c>
      <c r="E763" s="1" t="s">
        <v>1596</v>
      </c>
    </row>
    <row r="764" spans="1:5" ht="80.099999999999994" customHeight="1">
      <c r="A764" s="1" t="s">
        <v>1580</v>
      </c>
      <c r="B764" s="1" t="s">
        <v>34</v>
      </c>
      <c r="C764" s="1" t="s">
        <v>1651</v>
      </c>
      <c r="D764" s="1" t="s">
        <v>2204</v>
      </c>
      <c r="E764" s="1" t="s">
        <v>1596</v>
      </c>
    </row>
    <row r="765" spans="1:5" ht="36" customHeight="1">
      <c r="A765" s="1" t="s">
        <v>1580</v>
      </c>
      <c r="B765" s="1" t="s">
        <v>34</v>
      </c>
      <c r="C765" s="1" t="s">
        <v>1662</v>
      </c>
      <c r="D765" s="1" t="s">
        <v>2205</v>
      </c>
      <c r="E765" s="1" t="s">
        <v>1596</v>
      </c>
    </row>
    <row r="766" spans="1:5" ht="36" customHeight="1">
      <c r="A766" s="1" t="s">
        <v>1580</v>
      </c>
      <c r="B766" s="1" t="s">
        <v>34</v>
      </c>
      <c r="C766" s="1" t="s">
        <v>1728</v>
      </c>
      <c r="D766" s="1" t="s">
        <v>2206</v>
      </c>
      <c r="E766" s="1" t="s">
        <v>1596</v>
      </c>
    </row>
    <row r="767" spans="1:5" ht="63.95" customHeight="1">
      <c r="A767" s="1" t="s">
        <v>1580</v>
      </c>
      <c r="B767" s="1" t="s">
        <v>34</v>
      </c>
      <c r="C767" s="1" t="s">
        <v>1664</v>
      </c>
      <c r="D767" s="1" t="s">
        <v>2207</v>
      </c>
      <c r="E767" s="1" t="s">
        <v>1596</v>
      </c>
    </row>
    <row r="768" spans="1:5" ht="36" customHeight="1">
      <c r="A768" s="1" t="s">
        <v>1580</v>
      </c>
      <c r="B768" s="1" t="s">
        <v>34</v>
      </c>
      <c r="C768" s="1" t="s">
        <v>1730</v>
      </c>
      <c r="D768" s="1" t="s">
        <v>2208</v>
      </c>
      <c r="E768" s="1" t="s">
        <v>1596</v>
      </c>
    </row>
    <row r="769" spans="1:5" ht="36" customHeight="1">
      <c r="A769" s="1" t="s">
        <v>1580</v>
      </c>
      <c r="B769" s="1" t="s">
        <v>34</v>
      </c>
      <c r="C769" s="1" t="s">
        <v>1734</v>
      </c>
      <c r="D769" s="1" t="s">
        <v>2209</v>
      </c>
      <c r="E769" s="1" t="s">
        <v>1596</v>
      </c>
    </row>
    <row r="770" spans="1:5" ht="36" customHeight="1">
      <c r="A770" s="1" t="s">
        <v>1580</v>
      </c>
      <c r="B770" s="1" t="s">
        <v>34</v>
      </c>
      <c r="C770" s="1" t="s">
        <v>1737</v>
      </c>
      <c r="D770" s="1" t="s">
        <v>2210</v>
      </c>
      <c r="E770" s="1" t="s">
        <v>1596</v>
      </c>
    </row>
    <row r="771" spans="1:5" ht="36" customHeight="1">
      <c r="A771" s="1" t="s">
        <v>1580</v>
      </c>
      <c r="B771" s="1" t="s">
        <v>34</v>
      </c>
      <c r="C771" s="1" t="s">
        <v>1711</v>
      </c>
      <c r="D771" s="1" t="s">
        <v>1668</v>
      </c>
      <c r="E771" s="1" t="s">
        <v>1596</v>
      </c>
    </row>
    <row r="772" spans="1:5" ht="36" customHeight="1">
      <c r="A772" s="1" t="s">
        <v>1580</v>
      </c>
      <c r="B772" s="1" t="s">
        <v>34</v>
      </c>
      <c r="C772" s="1" t="s">
        <v>1712</v>
      </c>
      <c r="D772" s="1" t="s">
        <v>1670</v>
      </c>
      <c r="E772" s="1" t="s">
        <v>1596</v>
      </c>
    </row>
    <row r="773" spans="1:5" ht="36" customHeight="1">
      <c r="A773" s="1" t="s">
        <v>1580</v>
      </c>
      <c r="B773" s="1" t="s">
        <v>34</v>
      </c>
      <c r="C773" s="1" t="s">
        <v>1713</v>
      </c>
      <c r="D773" s="1" t="s">
        <v>1672</v>
      </c>
      <c r="E773" s="1" t="s">
        <v>1596</v>
      </c>
    </row>
    <row r="774" spans="1:5" ht="36" customHeight="1">
      <c r="A774" s="1" t="s">
        <v>1580</v>
      </c>
      <c r="B774" s="1" t="s">
        <v>2211</v>
      </c>
      <c r="C774" s="1" t="s">
        <v>1594</v>
      </c>
      <c r="D774" s="1" t="s">
        <v>1828</v>
      </c>
      <c r="E774" s="1" t="s">
        <v>1596</v>
      </c>
    </row>
    <row r="775" spans="1:5" ht="36" customHeight="1">
      <c r="A775" s="1" t="s">
        <v>1580</v>
      </c>
      <c r="B775" s="1" t="s">
        <v>2211</v>
      </c>
      <c r="C775" s="1" t="s">
        <v>1597</v>
      </c>
      <c r="D775" s="1" t="s">
        <v>1598</v>
      </c>
      <c r="E775" s="1" t="s">
        <v>1596</v>
      </c>
    </row>
    <row r="776" spans="1:5" ht="36" customHeight="1">
      <c r="A776" s="1" t="s">
        <v>1580</v>
      </c>
      <c r="B776" s="1" t="s">
        <v>2211</v>
      </c>
      <c r="C776" s="1" t="s">
        <v>1599</v>
      </c>
      <c r="D776" s="1" t="s">
        <v>1600</v>
      </c>
      <c r="E776" s="1" t="s">
        <v>1596</v>
      </c>
    </row>
    <row r="777" spans="1:5" ht="36" customHeight="1">
      <c r="A777" s="1" t="s">
        <v>1580</v>
      </c>
      <c r="B777" s="1" t="s">
        <v>2211</v>
      </c>
      <c r="C777" s="1" t="s">
        <v>1601</v>
      </c>
      <c r="D777" s="1" t="s">
        <v>1602</v>
      </c>
      <c r="E777" s="1" t="s">
        <v>1596</v>
      </c>
    </row>
    <row r="778" spans="1:5" ht="36" customHeight="1">
      <c r="A778" s="1" t="s">
        <v>1580</v>
      </c>
      <c r="B778" s="1" t="s">
        <v>2211</v>
      </c>
      <c r="C778" s="1" t="s">
        <v>1603</v>
      </c>
      <c r="D778" s="1" t="s">
        <v>2212</v>
      </c>
      <c r="E778" s="1" t="s">
        <v>1596</v>
      </c>
    </row>
    <row r="779" spans="1:5" ht="36" customHeight="1">
      <c r="A779" s="1" t="s">
        <v>1580</v>
      </c>
      <c r="B779" s="1" t="s">
        <v>2211</v>
      </c>
      <c r="C779" s="1" t="s">
        <v>1605</v>
      </c>
      <c r="D779" s="1" t="s">
        <v>1676</v>
      </c>
      <c r="E779" s="1" t="s">
        <v>1596</v>
      </c>
    </row>
    <row r="780" spans="1:5" ht="36" customHeight="1">
      <c r="A780" s="1" t="s">
        <v>1580</v>
      </c>
      <c r="B780" s="1" t="s">
        <v>2211</v>
      </c>
      <c r="C780" s="1" t="s">
        <v>1677</v>
      </c>
      <c r="D780" s="1" t="s">
        <v>1678</v>
      </c>
      <c r="E780" s="1" t="s">
        <v>1596</v>
      </c>
    </row>
    <row r="781" spans="1:5" ht="36" customHeight="1">
      <c r="A781" s="1" t="s">
        <v>1580</v>
      </c>
      <c r="B781" s="1" t="s">
        <v>2211</v>
      </c>
      <c r="C781" s="1" t="s">
        <v>1679</v>
      </c>
      <c r="D781" s="1" t="s">
        <v>1160</v>
      </c>
      <c r="E781" s="1" t="s">
        <v>1596</v>
      </c>
    </row>
    <row r="782" spans="1:5" ht="36" customHeight="1">
      <c r="A782" s="1" t="s">
        <v>1580</v>
      </c>
      <c r="B782" s="1" t="s">
        <v>2211</v>
      </c>
      <c r="C782" s="1" t="s">
        <v>1680</v>
      </c>
      <c r="D782" s="1" t="s">
        <v>1681</v>
      </c>
      <c r="E782" s="1" t="s">
        <v>1596</v>
      </c>
    </row>
    <row r="783" spans="1:5" ht="36" customHeight="1">
      <c r="A783" s="1" t="s">
        <v>1580</v>
      </c>
      <c r="B783" s="1" t="s">
        <v>2211</v>
      </c>
      <c r="C783" s="1" t="s">
        <v>1682</v>
      </c>
      <c r="D783" s="1" t="s">
        <v>1683</v>
      </c>
      <c r="E783" s="1" t="s">
        <v>1596</v>
      </c>
    </row>
    <row r="784" spans="1:5" ht="36" customHeight="1">
      <c r="A784" s="1" t="s">
        <v>1580</v>
      </c>
      <c r="B784" s="1" t="s">
        <v>2211</v>
      </c>
      <c r="C784" s="1" t="s">
        <v>1684</v>
      </c>
      <c r="D784" s="1" t="s">
        <v>1685</v>
      </c>
      <c r="E784" s="1" t="s">
        <v>1596</v>
      </c>
    </row>
    <row r="785" spans="1:5" ht="36" customHeight="1">
      <c r="A785" s="1" t="s">
        <v>1580</v>
      </c>
      <c r="B785" s="1" t="s">
        <v>2211</v>
      </c>
      <c r="C785" s="1" t="s">
        <v>1686</v>
      </c>
      <c r="D785" s="1" t="s">
        <v>1687</v>
      </c>
      <c r="E785" s="1" t="s">
        <v>1596</v>
      </c>
    </row>
    <row r="786" spans="1:5" ht="36" customHeight="1">
      <c r="A786" s="1" t="s">
        <v>1580</v>
      </c>
      <c r="B786" s="1" t="s">
        <v>2211</v>
      </c>
      <c r="C786" s="1" t="s">
        <v>1607</v>
      </c>
      <c r="D786" s="1" t="s">
        <v>1091</v>
      </c>
      <c r="E786" s="1" t="s">
        <v>1596</v>
      </c>
    </row>
    <row r="787" spans="1:5" ht="36" customHeight="1">
      <c r="A787" s="1" t="s">
        <v>1580</v>
      </c>
      <c r="B787" s="1" t="s">
        <v>2211</v>
      </c>
      <c r="C787" s="1" t="s">
        <v>1608</v>
      </c>
      <c r="D787" s="1" t="s">
        <v>1598</v>
      </c>
      <c r="E787" s="1" t="s">
        <v>1596</v>
      </c>
    </row>
    <row r="788" spans="1:5" ht="36" customHeight="1">
      <c r="A788" s="1" t="s">
        <v>1580</v>
      </c>
      <c r="B788" s="1" t="s">
        <v>2211</v>
      </c>
      <c r="C788" s="1" t="s">
        <v>1609</v>
      </c>
      <c r="D788" s="1" t="s">
        <v>2213</v>
      </c>
      <c r="E788" s="1" t="s">
        <v>1596</v>
      </c>
    </row>
    <row r="789" spans="1:5" ht="36" customHeight="1">
      <c r="A789" s="1" t="s">
        <v>1580</v>
      </c>
      <c r="B789" s="1" t="s">
        <v>2211</v>
      </c>
      <c r="C789" s="1" t="s">
        <v>1717</v>
      </c>
      <c r="D789" s="1" t="s">
        <v>2214</v>
      </c>
      <c r="E789" s="1" t="s">
        <v>1596</v>
      </c>
    </row>
    <row r="790" spans="1:5" ht="36" customHeight="1">
      <c r="A790" s="1" t="s">
        <v>1580</v>
      </c>
      <c r="B790" s="1" t="s">
        <v>2211</v>
      </c>
      <c r="C790" s="1" t="s">
        <v>1879</v>
      </c>
      <c r="D790" s="1" t="s">
        <v>2215</v>
      </c>
      <c r="E790" s="1" t="s">
        <v>1942</v>
      </c>
    </row>
    <row r="791" spans="1:5" ht="36" customHeight="1">
      <c r="A791" s="1" t="s">
        <v>1580</v>
      </c>
      <c r="B791" s="1" t="s">
        <v>2211</v>
      </c>
      <c r="C791" s="1" t="s">
        <v>1881</v>
      </c>
      <c r="D791" s="1" t="s">
        <v>2216</v>
      </c>
      <c r="E791" s="1" t="s">
        <v>1942</v>
      </c>
    </row>
    <row r="792" spans="1:5" ht="36" customHeight="1">
      <c r="A792" s="1" t="s">
        <v>1580</v>
      </c>
      <c r="B792" s="1" t="s">
        <v>2211</v>
      </c>
      <c r="C792" s="1" t="s">
        <v>1787</v>
      </c>
      <c r="D792" s="1" t="s">
        <v>2217</v>
      </c>
      <c r="E792" s="1" t="s">
        <v>1596</v>
      </c>
    </row>
    <row r="793" spans="1:5" ht="36" customHeight="1">
      <c r="A793" s="1" t="s">
        <v>1580</v>
      </c>
      <c r="B793" s="1" t="s">
        <v>2211</v>
      </c>
      <c r="C793" s="1" t="s">
        <v>1720</v>
      </c>
      <c r="D793" s="1" t="s">
        <v>2218</v>
      </c>
      <c r="E793" s="1" t="s">
        <v>1596</v>
      </c>
    </row>
    <row r="794" spans="1:5" ht="36" customHeight="1">
      <c r="A794" s="1" t="s">
        <v>1580</v>
      </c>
      <c r="B794" s="1" t="s">
        <v>2211</v>
      </c>
      <c r="C794" s="1" t="s">
        <v>1612</v>
      </c>
      <c r="D794" s="1" t="s">
        <v>2219</v>
      </c>
      <c r="E794" s="1" t="s">
        <v>1596</v>
      </c>
    </row>
    <row r="795" spans="1:5" ht="36" customHeight="1">
      <c r="A795" s="1" t="s">
        <v>1580</v>
      </c>
      <c r="B795" s="1" t="s">
        <v>2211</v>
      </c>
      <c r="C795" s="1" t="s">
        <v>1614</v>
      </c>
      <c r="D795" s="1" t="s">
        <v>1622</v>
      </c>
      <c r="E795" s="1" t="s">
        <v>1596</v>
      </c>
    </row>
    <row r="796" spans="1:5" ht="36" customHeight="1">
      <c r="A796" s="1" t="s">
        <v>1580</v>
      </c>
      <c r="B796" s="1" t="s">
        <v>2211</v>
      </c>
      <c r="C796" s="1" t="s">
        <v>1724</v>
      </c>
      <c r="D796" s="1" t="s">
        <v>2220</v>
      </c>
      <c r="E796" s="1" t="s">
        <v>1596</v>
      </c>
    </row>
    <row r="797" spans="1:5" ht="36" customHeight="1">
      <c r="A797" s="1" t="s">
        <v>1580</v>
      </c>
      <c r="B797" s="1" t="s">
        <v>2211</v>
      </c>
      <c r="C797" s="1" t="s">
        <v>1909</v>
      </c>
      <c r="D797" s="1" t="s">
        <v>2215</v>
      </c>
      <c r="E797" s="1" t="s">
        <v>1942</v>
      </c>
    </row>
    <row r="798" spans="1:5" ht="36" customHeight="1">
      <c r="A798" s="1" t="s">
        <v>1580</v>
      </c>
      <c r="B798" s="1" t="s">
        <v>2211</v>
      </c>
      <c r="C798" s="1" t="s">
        <v>1911</v>
      </c>
      <c r="D798" s="1" t="s">
        <v>2221</v>
      </c>
      <c r="E798" s="1" t="s">
        <v>1942</v>
      </c>
    </row>
    <row r="799" spans="1:5" ht="36" customHeight="1">
      <c r="A799" s="1" t="s">
        <v>1580</v>
      </c>
      <c r="B799" s="1" t="s">
        <v>2211</v>
      </c>
      <c r="C799" s="1" t="s">
        <v>2173</v>
      </c>
      <c r="D799" s="1" t="s">
        <v>2222</v>
      </c>
      <c r="E799" s="1" t="s">
        <v>1596</v>
      </c>
    </row>
    <row r="800" spans="1:5" ht="36" customHeight="1">
      <c r="A800" s="1" t="s">
        <v>1580</v>
      </c>
      <c r="B800" s="1" t="s">
        <v>2211</v>
      </c>
      <c r="C800" s="1" t="s">
        <v>1640</v>
      </c>
      <c r="D800" s="1" t="s">
        <v>1376</v>
      </c>
      <c r="E800" s="1" t="s">
        <v>1596</v>
      </c>
    </row>
    <row r="801" spans="1:5" ht="36" customHeight="1">
      <c r="A801" s="1" t="s">
        <v>1580</v>
      </c>
      <c r="B801" s="1" t="s">
        <v>2211</v>
      </c>
      <c r="C801" s="1" t="s">
        <v>1642</v>
      </c>
      <c r="D801" s="1" t="s">
        <v>1622</v>
      </c>
      <c r="E801" s="1" t="s">
        <v>1596</v>
      </c>
    </row>
    <row r="802" spans="1:5" ht="36" customHeight="1">
      <c r="A802" s="1" t="s">
        <v>1580</v>
      </c>
      <c r="B802" s="1" t="s">
        <v>2211</v>
      </c>
      <c r="C802" s="1" t="s">
        <v>1728</v>
      </c>
      <c r="D802" s="1" t="s">
        <v>2223</v>
      </c>
      <c r="E802" s="1" t="s">
        <v>1596</v>
      </c>
    </row>
    <row r="803" spans="1:5" ht="36" customHeight="1">
      <c r="A803" s="1" t="s">
        <v>1580</v>
      </c>
      <c r="B803" s="1" t="s">
        <v>2211</v>
      </c>
      <c r="C803" s="1" t="s">
        <v>1931</v>
      </c>
      <c r="D803" s="1" t="s">
        <v>2224</v>
      </c>
      <c r="E803" s="1" t="s">
        <v>1942</v>
      </c>
    </row>
    <row r="804" spans="1:5" ht="36" customHeight="1">
      <c r="A804" s="1" t="s">
        <v>1580</v>
      </c>
      <c r="B804" s="1" t="s">
        <v>2211</v>
      </c>
      <c r="C804" s="1" t="s">
        <v>1932</v>
      </c>
      <c r="D804" s="1" t="s">
        <v>2225</v>
      </c>
      <c r="E804" s="1" t="s">
        <v>1942</v>
      </c>
    </row>
    <row r="805" spans="1:5" ht="36" customHeight="1">
      <c r="A805" s="1" t="s">
        <v>1580</v>
      </c>
      <c r="B805" s="1" t="s">
        <v>2211</v>
      </c>
      <c r="C805" s="1" t="s">
        <v>1706</v>
      </c>
      <c r="D805" s="1" t="s">
        <v>1828</v>
      </c>
      <c r="E805" s="1" t="s">
        <v>1596</v>
      </c>
    </row>
    <row r="806" spans="1:5" ht="36" customHeight="1">
      <c r="A806" s="1" t="s">
        <v>1580</v>
      </c>
      <c r="B806" s="1" t="s">
        <v>2211</v>
      </c>
      <c r="C806" s="1" t="s">
        <v>1708</v>
      </c>
      <c r="D806" s="1" t="s">
        <v>1598</v>
      </c>
      <c r="E806" s="1" t="s">
        <v>1596</v>
      </c>
    </row>
    <row r="807" spans="1:5" ht="36" customHeight="1">
      <c r="A807" s="1" t="s">
        <v>1580</v>
      </c>
      <c r="B807" s="1" t="s">
        <v>2211</v>
      </c>
      <c r="C807" s="1" t="s">
        <v>1710</v>
      </c>
      <c r="D807" s="1" t="s">
        <v>1600</v>
      </c>
      <c r="E807" s="1" t="s">
        <v>1596</v>
      </c>
    </row>
    <row r="808" spans="1:5" ht="36" customHeight="1">
      <c r="A808" s="1" t="s">
        <v>1580</v>
      </c>
      <c r="B808" s="1" t="s">
        <v>2211</v>
      </c>
      <c r="C808" s="1" t="s">
        <v>1829</v>
      </c>
      <c r="D808" s="1" t="s">
        <v>2226</v>
      </c>
      <c r="E808" s="1" t="s">
        <v>1596</v>
      </c>
    </row>
    <row r="809" spans="1:5" ht="36" customHeight="1">
      <c r="A809" s="1" t="s">
        <v>1580</v>
      </c>
      <c r="B809" s="1" t="s">
        <v>2211</v>
      </c>
      <c r="C809" s="1" t="s">
        <v>1830</v>
      </c>
      <c r="D809" s="1" t="s">
        <v>2227</v>
      </c>
      <c r="E809" s="1" t="s">
        <v>1596</v>
      </c>
    </row>
    <row r="810" spans="1:5" ht="36" customHeight="1">
      <c r="A810" s="1" t="s">
        <v>1580</v>
      </c>
      <c r="B810" s="1" t="s">
        <v>2211</v>
      </c>
      <c r="C810" s="1" t="s">
        <v>1832</v>
      </c>
      <c r="D810" s="1" t="s">
        <v>1676</v>
      </c>
      <c r="E810" s="1" t="s">
        <v>1596</v>
      </c>
    </row>
    <row r="811" spans="1:5" ht="36" customHeight="1">
      <c r="A811" s="1" t="s">
        <v>1580</v>
      </c>
      <c r="B811" s="1" t="s">
        <v>2211</v>
      </c>
      <c r="C811" s="1" t="s">
        <v>1739</v>
      </c>
      <c r="D811" s="1" t="s">
        <v>1678</v>
      </c>
      <c r="E811" s="1" t="s">
        <v>1596</v>
      </c>
    </row>
    <row r="812" spans="1:5" ht="36" customHeight="1">
      <c r="A812" s="1" t="s">
        <v>1580</v>
      </c>
      <c r="B812" s="1" t="s">
        <v>2211</v>
      </c>
      <c r="C812" s="1" t="s">
        <v>1833</v>
      </c>
      <c r="D812" s="1" t="s">
        <v>1160</v>
      </c>
      <c r="E812" s="1" t="s">
        <v>1596</v>
      </c>
    </row>
    <row r="813" spans="1:5" ht="36" customHeight="1">
      <c r="A813" s="1" t="s">
        <v>1580</v>
      </c>
      <c r="B813" s="1" t="s">
        <v>2211</v>
      </c>
      <c r="C813" s="1" t="s">
        <v>1834</v>
      </c>
      <c r="D813" s="1" t="s">
        <v>1681</v>
      </c>
      <c r="E813" s="1" t="s">
        <v>1596</v>
      </c>
    </row>
    <row r="814" spans="1:5" ht="36" customHeight="1">
      <c r="A814" s="1" t="s">
        <v>1580</v>
      </c>
      <c r="B814" s="1" t="s">
        <v>2211</v>
      </c>
      <c r="C814" s="1" t="s">
        <v>1835</v>
      </c>
      <c r="D814" s="1" t="s">
        <v>1683</v>
      </c>
      <c r="E814" s="1" t="s">
        <v>1596</v>
      </c>
    </row>
    <row r="815" spans="1:5" ht="36" customHeight="1">
      <c r="A815" s="1" t="s">
        <v>1580</v>
      </c>
      <c r="B815" s="1" t="s">
        <v>2211</v>
      </c>
      <c r="C815" s="1" t="s">
        <v>1836</v>
      </c>
      <c r="D815" s="1" t="s">
        <v>1685</v>
      </c>
      <c r="E815" s="1" t="s">
        <v>1596</v>
      </c>
    </row>
    <row r="816" spans="1:5" ht="36" customHeight="1">
      <c r="A816" s="1" t="s">
        <v>1580</v>
      </c>
      <c r="B816" s="1" t="s">
        <v>2211</v>
      </c>
      <c r="C816" s="1" t="s">
        <v>1837</v>
      </c>
      <c r="D816" s="1" t="s">
        <v>1687</v>
      </c>
      <c r="E816" s="1" t="s">
        <v>1596</v>
      </c>
    </row>
    <row r="817" spans="1:5" ht="36" customHeight="1">
      <c r="A817" s="1" t="s">
        <v>1580</v>
      </c>
      <c r="B817" s="1" t="s">
        <v>2211</v>
      </c>
      <c r="C817" s="1" t="s">
        <v>1838</v>
      </c>
      <c r="D817" s="1" t="s">
        <v>1091</v>
      </c>
      <c r="E817" s="1" t="s">
        <v>1596</v>
      </c>
    </row>
    <row r="818" spans="1:5" ht="36" customHeight="1">
      <c r="A818" s="1" t="s">
        <v>1580</v>
      </c>
      <c r="B818" s="1" t="s">
        <v>2211</v>
      </c>
      <c r="C818" s="1" t="s">
        <v>1839</v>
      </c>
      <c r="D818" s="1" t="s">
        <v>1598</v>
      </c>
      <c r="E818" s="1" t="s">
        <v>1596</v>
      </c>
    </row>
    <row r="819" spans="1:5" ht="36" customHeight="1">
      <c r="A819" s="1" t="s">
        <v>1580</v>
      </c>
      <c r="B819" s="1" t="s">
        <v>2211</v>
      </c>
      <c r="C819" s="1" t="s">
        <v>1711</v>
      </c>
      <c r="D819" s="1" t="s">
        <v>2213</v>
      </c>
      <c r="E819" s="1" t="s">
        <v>1596</v>
      </c>
    </row>
    <row r="820" spans="1:5" ht="36" customHeight="1">
      <c r="A820" s="1" t="s">
        <v>1580</v>
      </c>
      <c r="B820" s="1" t="s">
        <v>2211</v>
      </c>
      <c r="C820" s="1" t="s">
        <v>1840</v>
      </c>
      <c r="D820" s="1" t="s">
        <v>2228</v>
      </c>
      <c r="E820" s="1" t="s">
        <v>1596</v>
      </c>
    </row>
    <row r="821" spans="1:5" ht="36" customHeight="1">
      <c r="A821" s="1" t="s">
        <v>1580</v>
      </c>
      <c r="B821" s="1" t="s">
        <v>2211</v>
      </c>
      <c r="C821" s="1" t="s">
        <v>1991</v>
      </c>
      <c r="D821" s="1" t="s">
        <v>1887</v>
      </c>
      <c r="E821" s="1" t="s">
        <v>1942</v>
      </c>
    </row>
    <row r="822" spans="1:5" ht="36" customHeight="1">
      <c r="A822" s="1" t="s">
        <v>1580</v>
      </c>
      <c r="B822" s="1" t="s">
        <v>2211</v>
      </c>
      <c r="C822" s="1" t="s">
        <v>1992</v>
      </c>
      <c r="D822" s="1" t="s">
        <v>2229</v>
      </c>
      <c r="E822" s="1" t="s">
        <v>1942</v>
      </c>
    </row>
    <row r="823" spans="1:5" ht="48" customHeight="1">
      <c r="A823" s="1" t="s">
        <v>1580</v>
      </c>
      <c r="B823" s="1" t="s">
        <v>2211</v>
      </c>
      <c r="C823" s="1" t="s">
        <v>1842</v>
      </c>
      <c r="D823" s="1" t="s">
        <v>2230</v>
      </c>
      <c r="E823" s="1" t="s">
        <v>1596</v>
      </c>
    </row>
    <row r="824" spans="1:5" ht="36" customHeight="1">
      <c r="A824" s="1" t="s">
        <v>1580</v>
      </c>
      <c r="B824" s="1" t="s">
        <v>2211</v>
      </c>
      <c r="C824" s="1" t="s">
        <v>1743</v>
      </c>
      <c r="D824" s="1" t="s">
        <v>2231</v>
      </c>
      <c r="E824" s="1" t="s">
        <v>1596</v>
      </c>
    </row>
    <row r="825" spans="1:5" ht="36" customHeight="1">
      <c r="A825" s="1" t="s">
        <v>1580</v>
      </c>
      <c r="B825" s="1" t="s">
        <v>2211</v>
      </c>
      <c r="C825" s="1" t="s">
        <v>2232</v>
      </c>
      <c r="D825" s="1" t="s">
        <v>2233</v>
      </c>
      <c r="E825" s="1" t="s">
        <v>1596</v>
      </c>
    </row>
    <row r="826" spans="1:5" ht="36" customHeight="1">
      <c r="A826" s="1" t="s">
        <v>1580</v>
      </c>
      <c r="B826" s="1" t="s">
        <v>2211</v>
      </c>
      <c r="C826" s="1" t="s">
        <v>2234</v>
      </c>
      <c r="D826" s="1" t="s">
        <v>1622</v>
      </c>
      <c r="E826" s="1" t="s">
        <v>1596</v>
      </c>
    </row>
    <row r="827" spans="1:5" ht="36" customHeight="1">
      <c r="A827" s="1" t="s">
        <v>1580</v>
      </c>
      <c r="B827" s="1" t="s">
        <v>2211</v>
      </c>
      <c r="C827" s="1" t="s">
        <v>1746</v>
      </c>
      <c r="D827" s="1" t="s">
        <v>2235</v>
      </c>
      <c r="E827" s="1" t="s">
        <v>1596</v>
      </c>
    </row>
    <row r="828" spans="1:5" ht="36" customHeight="1">
      <c r="A828" s="1" t="s">
        <v>1580</v>
      </c>
      <c r="B828" s="1" t="s">
        <v>2211</v>
      </c>
      <c r="C828" s="1" t="s">
        <v>1748</v>
      </c>
      <c r="D828" s="1" t="s">
        <v>2236</v>
      </c>
      <c r="E828" s="1" t="s">
        <v>1942</v>
      </c>
    </row>
    <row r="829" spans="1:5" ht="36" customHeight="1">
      <c r="A829" s="1" t="s">
        <v>1580</v>
      </c>
      <c r="B829" s="1" t="s">
        <v>2211</v>
      </c>
      <c r="C829" s="1" t="s">
        <v>1853</v>
      </c>
      <c r="D829" s="1" t="s">
        <v>2237</v>
      </c>
      <c r="E829" s="1" t="s">
        <v>1942</v>
      </c>
    </row>
    <row r="830" spans="1:5" ht="36" customHeight="1">
      <c r="A830" s="1" t="s">
        <v>1580</v>
      </c>
      <c r="B830" s="1" t="s">
        <v>2211</v>
      </c>
      <c r="C830" s="1" t="s">
        <v>1854</v>
      </c>
      <c r="D830" s="1" t="s">
        <v>2238</v>
      </c>
      <c r="E830" s="1" t="s">
        <v>1942</v>
      </c>
    </row>
    <row r="831" spans="1:5" ht="36" customHeight="1">
      <c r="A831" s="1" t="s">
        <v>1580</v>
      </c>
      <c r="B831" s="1" t="s">
        <v>2211</v>
      </c>
      <c r="C831" s="1" t="s">
        <v>1855</v>
      </c>
      <c r="D831" s="1" t="s">
        <v>2237</v>
      </c>
      <c r="E831" s="1" t="s">
        <v>1942</v>
      </c>
    </row>
    <row r="832" spans="1:5" ht="48" customHeight="1">
      <c r="A832" s="1" t="s">
        <v>1580</v>
      </c>
      <c r="B832" s="1" t="s">
        <v>2211</v>
      </c>
      <c r="C832" s="1" t="s">
        <v>1856</v>
      </c>
      <c r="D832" s="1" t="s">
        <v>2239</v>
      </c>
      <c r="E832" s="1" t="s">
        <v>1596</v>
      </c>
    </row>
    <row r="833" spans="1:5" ht="48" customHeight="1">
      <c r="A833" s="1" t="s">
        <v>1580</v>
      </c>
      <c r="B833" s="1" t="s">
        <v>2211</v>
      </c>
      <c r="C833" s="1" t="s">
        <v>1857</v>
      </c>
      <c r="D833" s="1" t="s">
        <v>2240</v>
      </c>
      <c r="E833" s="1" t="s">
        <v>1596</v>
      </c>
    </row>
    <row r="834" spans="1:5" ht="36" customHeight="1">
      <c r="A834" s="1" t="s">
        <v>1580</v>
      </c>
      <c r="B834" s="1" t="s">
        <v>2211</v>
      </c>
      <c r="C834" s="1" t="s">
        <v>1750</v>
      </c>
      <c r="D834" s="1" t="s">
        <v>2241</v>
      </c>
      <c r="E834" s="1" t="s">
        <v>1596</v>
      </c>
    </row>
    <row r="835" spans="1:5" ht="36" customHeight="1">
      <c r="A835" s="1" t="s">
        <v>1580</v>
      </c>
      <c r="B835" s="1" t="s">
        <v>2211</v>
      </c>
      <c r="C835" s="1" t="s">
        <v>1752</v>
      </c>
      <c r="D835" s="1" t="s">
        <v>1622</v>
      </c>
      <c r="E835" s="1" t="s">
        <v>1596</v>
      </c>
    </row>
    <row r="836" spans="1:5" ht="36" customHeight="1">
      <c r="A836" s="1" t="s">
        <v>1580</v>
      </c>
      <c r="B836" s="1" t="s">
        <v>2211</v>
      </c>
      <c r="C836" s="1" t="s">
        <v>2242</v>
      </c>
      <c r="D836" s="1" t="s">
        <v>1668</v>
      </c>
      <c r="E836" s="1" t="s">
        <v>1596</v>
      </c>
    </row>
    <row r="837" spans="1:5" ht="36" customHeight="1">
      <c r="A837" s="1" t="s">
        <v>1580</v>
      </c>
      <c r="B837" s="1" t="s">
        <v>2211</v>
      </c>
      <c r="C837" s="1" t="s">
        <v>2243</v>
      </c>
      <c r="D837" s="1" t="s">
        <v>1670</v>
      </c>
      <c r="E837" s="1" t="s">
        <v>1596</v>
      </c>
    </row>
    <row r="838" spans="1:5" ht="36" customHeight="1">
      <c r="A838" s="1" t="s">
        <v>1580</v>
      </c>
      <c r="B838" s="1" t="s">
        <v>2211</v>
      </c>
      <c r="C838" s="1" t="s">
        <v>2244</v>
      </c>
      <c r="D838" s="1" t="s">
        <v>1672</v>
      </c>
      <c r="E838" s="1" t="s">
        <v>1596</v>
      </c>
    </row>
    <row r="839" spans="1:5" ht="36" customHeight="1">
      <c r="A839" s="1" t="s">
        <v>1580</v>
      </c>
      <c r="B839" s="1" t="s">
        <v>2245</v>
      </c>
      <c r="C839" s="1" t="s">
        <v>1594</v>
      </c>
      <c r="D839" s="1" t="s">
        <v>1828</v>
      </c>
      <c r="E839" s="1" t="s">
        <v>1596</v>
      </c>
    </row>
    <row r="840" spans="1:5" ht="36" customHeight="1">
      <c r="A840" s="1" t="s">
        <v>1580</v>
      </c>
      <c r="B840" s="1" t="s">
        <v>2245</v>
      </c>
      <c r="C840" s="1" t="s">
        <v>1597</v>
      </c>
      <c r="D840" s="1" t="s">
        <v>1598</v>
      </c>
      <c r="E840" s="1" t="s">
        <v>1596</v>
      </c>
    </row>
    <row r="841" spans="1:5" ht="36" customHeight="1">
      <c r="A841" s="1" t="s">
        <v>1580</v>
      </c>
      <c r="B841" s="1" t="s">
        <v>2245</v>
      </c>
      <c r="C841" s="1" t="s">
        <v>1599</v>
      </c>
      <c r="D841" s="1" t="s">
        <v>1600</v>
      </c>
      <c r="E841" s="1" t="s">
        <v>1596</v>
      </c>
    </row>
    <row r="842" spans="1:5" ht="36" customHeight="1">
      <c r="A842" s="1" t="s">
        <v>1580</v>
      </c>
      <c r="B842" s="1" t="s">
        <v>2245</v>
      </c>
      <c r="C842" s="1" t="s">
        <v>1601</v>
      </c>
      <c r="D842" s="1" t="s">
        <v>1602</v>
      </c>
      <c r="E842" s="1" t="s">
        <v>1596</v>
      </c>
    </row>
    <row r="843" spans="1:5" ht="36" customHeight="1">
      <c r="A843" s="1" t="s">
        <v>1580</v>
      </c>
      <c r="B843" s="1" t="s">
        <v>2245</v>
      </c>
      <c r="C843" s="1" t="s">
        <v>1603</v>
      </c>
      <c r="D843" s="1" t="s">
        <v>2246</v>
      </c>
      <c r="E843" s="1" t="s">
        <v>1596</v>
      </c>
    </row>
    <row r="844" spans="1:5" ht="36" customHeight="1">
      <c r="A844" s="1" t="s">
        <v>1580</v>
      </c>
      <c r="B844" s="1" t="s">
        <v>2245</v>
      </c>
      <c r="C844" s="1" t="s">
        <v>1605</v>
      </c>
      <c r="D844" s="1" t="s">
        <v>1676</v>
      </c>
      <c r="E844" s="1" t="s">
        <v>1596</v>
      </c>
    </row>
    <row r="845" spans="1:5" ht="36" customHeight="1">
      <c r="A845" s="1" t="s">
        <v>1580</v>
      </c>
      <c r="B845" s="1" t="s">
        <v>2245</v>
      </c>
      <c r="C845" s="1" t="s">
        <v>1677</v>
      </c>
      <c r="D845" s="1" t="s">
        <v>1678</v>
      </c>
      <c r="E845" s="1" t="s">
        <v>1596</v>
      </c>
    </row>
    <row r="846" spans="1:5" ht="36" customHeight="1">
      <c r="A846" s="1" t="s">
        <v>1580</v>
      </c>
      <c r="B846" s="1" t="s">
        <v>2245</v>
      </c>
      <c r="C846" s="1" t="s">
        <v>1679</v>
      </c>
      <c r="D846" s="1" t="s">
        <v>1160</v>
      </c>
      <c r="E846" s="1" t="s">
        <v>1596</v>
      </c>
    </row>
    <row r="847" spans="1:5" ht="36" customHeight="1">
      <c r="A847" s="1" t="s">
        <v>1580</v>
      </c>
      <c r="B847" s="1" t="s">
        <v>2245</v>
      </c>
      <c r="C847" s="1" t="s">
        <v>1680</v>
      </c>
      <c r="D847" s="1" t="s">
        <v>1681</v>
      </c>
      <c r="E847" s="1" t="s">
        <v>1596</v>
      </c>
    </row>
    <row r="848" spans="1:5" ht="36" customHeight="1">
      <c r="A848" s="1" t="s">
        <v>1580</v>
      </c>
      <c r="B848" s="1" t="s">
        <v>2245</v>
      </c>
      <c r="C848" s="1" t="s">
        <v>1682</v>
      </c>
      <c r="D848" s="1" t="s">
        <v>1683</v>
      </c>
      <c r="E848" s="1" t="s">
        <v>1596</v>
      </c>
    </row>
    <row r="849" spans="1:5" ht="36" customHeight="1">
      <c r="A849" s="1" t="s">
        <v>1580</v>
      </c>
      <c r="B849" s="1" t="s">
        <v>2245</v>
      </c>
      <c r="C849" s="1" t="s">
        <v>1684</v>
      </c>
      <c r="D849" s="1" t="s">
        <v>1685</v>
      </c>
      <c r="E849" s="1" t="s">
        <v>1596</v>
      </c>
    </row>
    <row r="850" spans="1:5" ht="36" customHeight="1">
      <c r="A850" s="1" t="s">
        <v>1580</v>
      </c>
      <c r="B850" s="1" t="s">
        <v>2245</v>
      </c>
      <c r="C850" s="1" t="s">
        <v>1686</v>
      </c>
      <c r="D850" s="1" t="s">
        <v>1687</v>
      </c>
      <c r="E850" s="1" t="s">
        <v>1596</v>
      </c>
    </row>
    <row r="851" spans="1:5" ht="36" customHeight="1">
      <c r="A851" s="1" t="s">
        <v>1580</v>
      </c>
      <c r="B851" s="1" t="s">
        <v>2245</v>
      </c>
      <c r="C851" s="1" t="s">
        <v>1607</v>
      </c>
      <c r="D851" s="1" t="s">
        <v>1091</v>
      </c>
      <c r="E851" s="1" t="s">
        <v>1596</v>
      </c>
    </row>
    <row r="852" spans="1:5" ht="36" customHeight="1">
      <c r="A852" s="1" t="s">
        <v>1580</v>
      </c>
      <c r="B852" s="1" t="s">
        <v>2245</v>
      </c>
      <c r="C852" s="1" t="s">
        <v>1608</v>
      </c>
      <c r="D852" s="1" t="s">
        <v>1598</v>
      </c>
      <c r="E852" s="1" t="s">
        <v>1596</v>
      </c>
    </row>
    <row r="853" spans="1:5" ht="36" customHeight="1">
      <c r="A853" s="1" t="s">
        <v>1580</v>
      </c>
      <c r="B853" s="1" t="s">
        <v>2245</v>
      </c>
      <c r="C853" s="1" t="s">
        <v>1609</v>
      </c>
      <c r="D853" s="1" t="s">
        <v>2144</v>
      </c>
      <c r="E853" s="1" t="s">
        <v>1596</v>
      </c>
    </row>
    <row r="854" spans="1:5" ht="36" customHeight="1">
      <c r="A854" s="1" t="s">
        <v>1580</v>
      </c>
      <c r="B854" s="1" t="s">
        <v>2245</v>
      </c>
      <c r="C854" s="1" t="s">
        <v>1610</v>
      </c>
      <c r="D854" s="1" t="s">
        <v>2247</v>
      </c>
      <c r="E854" s="1" t="s">
        <v>1596</v>
      </c>
    </row>
    <row r="855" spans="1:5" ht="36" customHeight="1">
      <c r="A855" s="1" t="s">
        <v>1580</v>
      </c>
      <c r="B855" s="1" t="s">
        <v>2245</v>
      </c>
      <c r="C855" s="1" t="s">
        <v>1877</v>
      </c>
      <c r="D855" s="1" t="s">
        <v>1715</v>
      </c>
      <c r="E855" s="1" t="s">
        <v>1596</v>
      </c>
    </row>
    <row r="856" spans="1:5" ht="36" customHeight="1">
      <c r="A856" s="1" t="s">
        <v>1580</v>
      </c>
      <c r="B856" s="1" t="s">
        <v>2245</v>
      </c>
      <c r="C856" s="1" t="s">
        <v>1879</v>
      </c>
      <c r="D856" s="1" t="s">
        <v>1873</v>
      </c>
      <c r="E856" s="1" t="s">
        <v>1596</v>
      </c>
    </row>
    <row r="857" spans="1:5" ht="36" customHeight="1">
      <c r="A857" s="1" t="s">
        <v>1580</v>
      </c>
      <c r="B857" s="1" t="s">
        <v>2245</v>
      </c>
      <c r="C857" s="1" t="s">
        <v>1881</v>
      </c>
      <c r="D857" s="1" t="s">
        <v>2212</v>
      </c>
      <c r="E857" s="1" t="s">
        <v>1596</v>
      </c>
    </row>
    <row r="858" spans="1:5" ht="36" customHeight="1">
      <c r="A858" s="1" t="s">
        <v>1580</v>
      </c>
      <c r="B858" s="1" t="s">
        <v>2245</v>
      </c>
      <c r="C858" s="1" t="s">
        <v>1787</v>
      </c>
      <c r="D858" s="1" t="s">
        <v>2248</v>
      </c>
      <c r="E858" s="1" t="s">
        <v>1596</v>
      </c>
    </row>
    <row r="859" spans="1:5" ht="36" customHeight="1">
      <c r="A859" s="1" t="s">
        <v>1580</v>
      </c>
      <c r="B859" s="1" t="s">
        <v>2245</v>
      </c>
      <c r="C859" s="1" t="s">
        <v>1612</v>
      </c>
      <c r="D859" s="1" t="s">
        <v>2249</v>
      </c>
      <c r="E859" s="1" t="s">
        <v>1596</v>
      </c>
    </row>
    <row r="860" spans="1:5" ht="36" customHeight="1">
      <c r="A860" s="1" t="s">
        <v>1580</v>
      </c>
      <c r="B860" s="1" t="s">
        <v>2245</v>
      </c>
      <c r="C860" s="1" t="s">
        <v>1614</v>
      </c>
      <c r="D860" s="1" t="s">
        <v>2250</v>
      </c>
      <c r="E860" s="1" t="s">
        <v>1596</v>
      </c>
    </row>
    <row r="861" spans="1:5" ht="36" customHeight="1">
      <c r="A861" s="1" t="s">
        <v>1580</v>
      </c>
      <c r="B861" s="1" t="s">
        <v>2245</v>
      </c>
      <c r="C861" s="1" t="s">
        <v>1623</v>
      </c>
      <c r="D861" s="1" t="s">
        <v>2251</v>
      </c>
      <c r="E861" s="1" t="s">
        <v>1596</v>
      </c>
    </row>
    <row r="862" spans="1:5" ht="36" customHeight="1">
      <c r="A862" s="1" t="s">
        <v>1580</v>
      </c>
      <c r="B862" s="1" t="s">
        <v>2245</v>
      </c>
      <c r="C862" s="1" t="s">
        <v>1722</v>
      </c>
      <c r="D862" s="1" t="s">
        <v>2252</v>
      </c>
      <c r="E862" s="1" t="s">
        <v>1596</v>
      </c>
    </row>
    <row r="863" spans="1:5" ht="36" customHeight="1">
      <c r="A863" s="1" t="s">
        <v>1580</v>
      </c>
      <c r="B863" s="1" t="s">
        <v>2245</v>
      </c>
      <c r="C863" s="1" t="s">
        <v>1802</v>
      </c>
      <c r="D863" s="1" t="s">
        <v>611</v>
      </c>
      <c r="E863" s="1" t="s">
        <v>1596</v>
      </c>
    </row>
    <row r="864" spans="1:5" ht="36" customHeight="1">
      <c r="A864" s="1" t="s">
        <v>1580</v>
      </c>
      <c r="B864" s="1" t="s">
        <v>2245</v>
      </c>
      <c r="C864" s="1" t="s">
        <v>1632</v>
      </c>
      <c r="D864" s="1" t="s">
        <v>2253</v>
      </c>
      <c r="E864" s="1" t="s">
        <v>1786</v>
      </c>
    </row>
    <row r="865" spans="1:5" ht="36" customHeight="1">
      <c r="A865" s="1" t="s">
        <v>1580</v>
      </c>
      <c r="B865" s="1" t="s">
        <v>2245</v>
      </c>
      <c r="C865" s="1" t="s">
        <v>1902</v>
      </c>
      <c r="D865" s="1" t="s">
        <v>2254</v>
      </c>
      <c r="E865" s="1" t="s">
        <v>1786</v>
      </c>
    </row>
    <row r="866" spans="1:5" ht="36" customHeight="1">
      <c r="A866" s="1" t="s">
        <v>1580</v>
      </c>
      <c r="B866" s="1" t="s">
        <v>2245</v>
      </c>
      <c r="C866" s="1" t="s">
        <v>1904</v>
      </c>
      <c r="D866" s="1" t="s">
        <v>2255</v>
      </c>
      <c r="E866" s="1" t="s">
        <v>1786</v>
      </c>
    </row>
    <row r="867" spans="1:5" ht="36" customHeight="1">
      <c r="A867" s="1" t="s">
        <v>1580</v>
      </c>
      <c r="B867" s="1" t="s">
        <v>2245</v>
      </c>
      <c r="C867" s="1" t="s">
        <v>1905</v>
      </c>
      <c r="D867" s="1" t="s">
        <v>2256</v>
      </c>
      <c r="E867" s="1" t="s">
        <v>1942</v>
      </c>
    </row>
    <row r="868" spans="1:5" ht="36" customHeight="1">
      <c r="A868" s="1" t="s">
        <v>1580</v>
      </c>
      <c r="B868" s="1" t="s">
        <v>2245</v>
      </c>
      <c r="C868" s="1" t="s">
        <v>1805</v>
      </c>
      <c r="D868" s="1" t="s">
        <v>2257</v>
      </c>
      <c r="E868" s="1" t="s">
        <v>1786</v>
      </c>
    </row>
    <row r="869" spans="1:5" ht="36" customHeight="1">
      <c r="A869" s="1" t="s">
        <v>1580</v>
      </c>
      <c r="B869" s="1" t="s">
        <v>2245</v>
      </c>
      <c r="C869" s="1" t="s">
        <v>1806</v>
      </c>
      <c r="D869" s="1" t="s">
        <v>2258</v>
      </c>
      <c r="E869" s="1" t="s">
        <v>1596</v>
      </c>
    </row>
    <row r="870" spans="1:5" ht="36" customHeight="1">
      <c r="A870" s="1" t="s">
        <v>1580</v>
      </c>
      <c r="B870" s="1" t="s">
        <v>2245</v>
      </c>
      <c r="C870" s="1" t="s">
        <v>1634</v>
      </c>
      <c r="D870" s="1" t="s">
        <v>2048</v>
      </c>
      <c r="E870" s="1" t="s">
        <v>1596</v>
      </c>
    </row>
    <row r="871" spans="1:5" ht="36" customHeight="1">
      <c r="A871" s="1" t="s">
        <v>1580</v>
      </c>
      <c r="B871" s="1" t="s">
        <v>2245</v>
      </c>
      <c r="C871" s="1" t="s">
        <v>1635</v>
      </c>
      <c r="D871" s="1" t="s">
        <v>1691</v>
      </c>
      <c r="E871" s="1" t="s">
        <v>1596</v>
      </c>
    </row>
    <row r="872" spans="1:5" ht="36" customHeight="1">
      <c r="A872" s="1" t="s">
        <v>1580</v>
      </c>
      <c r="B872" s="1" t="s">
        <v>2245</v>
      </c>
      <c r="C872" s="1" t="s">
        <v>1724</v>
      </c>
      <c r="D872" s="1" t="s">
        <v>2259</v>
      </c>
      <c r="E872" s="1" t="s">
        <v>1596</v>
      </c>
    </row>
    <row r="873" spans="1:5" ht="36" customHeight="1">
      <c r="A873" s="1" t="s">
        <v>1580</v>
      </c>
      <c r="B873" s="1" t="s">
        <v>2245</v>
      </c>
      <c r="C873" s="1" t="s">
        <v>1638</v>
      </c>
      <c r="D873" s="1" t="s">
        <v>2260</v>
      </c>
      <c r="E873" s="1" t="s">
        <v>1786</v>
      </c>
    </row>
    <row r="874" spans="1:5" ht="36" customHeight="1">
      <c r="A874" s="1" t="s">
        <v>1580</v>
      </c>
      <c r="B874" s="1" t="s">
        <v>2245</v>
      </c>
      <c r="C874" s="1" t="s">
        <v>1908</v>
      </c>
      <c r="D874" s="1" t="s">
        <v>2261</v>
      </c>
      <c r="E874" s="1" t="s">
        <v>1786</v>
      </c>
    </row>
    <row r="875" spans="1:5" ht="36" customHeight="1">
      <c r="A875" s="1" t="s">
        <v>1580</v>
      </c>
      <c r="B875" s="1" t="s">
        <v>2245</v>
      </c>
      <c r="C875" s="1" t="s">
        <v>1909</v>
      </c>
      <c r="D875" s="1" t="s">
        <v>1897</v>
      </c>
      <c r="E875" s="1" t="s">
        <v>1596</v>
      </c>
    </row>
    <row r="876" spans="1:5" ht="36" customHeight="1">
      <c r="A876" s="1" t="s">
        <v>1580</v>
      </c>
      <c r="B876" s="1" t="s">
        <v>2245</v>
      </c>
      <c r="C876" s="1" t="s">
        <v>1911</v>
      </c>
      <c r="D876" s="1" t="s">
        <v>2262</v>
      </c>
      <c r="E876" s="1" t="s">
        <v>1942</v>
      </c>
    </row>
    <row r="877" spans="1:5" ht="36" customHeight="1">
      <c r="A877" s="1" t="s">
        <v>1580</v>
      </c>
      <c r="B877" s="1" t="s">
        <v>2245</v>
      </c>
      <c r="C877" s="1" t="s">
        <v>1640</v>
      </c>
      <c r="D877" s="1" t="s">
        <v>2219</v>
      </c>
      <c r="E877" s="1" t="s">
        <v>1596</v>
      </c>
    </row>
    <row r="878" spans="1:5" ht="36" customHeight="1">
      <c r="A878" s="1" t="s">
        <v>1580</v>
      </c>
      <c r="B878" s="1" t="s">
        <v>2245</v>
      </c>
      <c r="C878" s="1" t="s">
        <v>1642</v>
      </c>
      <c r="D878" s="1" t="s">
        <v>1691</v>
      </c>
      <c r="E878" s="1" t="s">
        <v>1596</v>
      </c>
    </row>
    <row r="879" spans="1:5" ht="36" customHeight="1">
      <c r="A879" s="1" t="s">
        <v>1580</v>
      </c>
      <c r="B879" s="1" t="s">
        <v>2245</v>
      </c>
      <c r="C879" s="1" t="s">
        <v>1913</v>
      </c>
      <c r="D879" s="1" t="s">
        <v>2263</v>
      </c>
      <c r="E879" s="1" t="s">
        <v>1596</v>
      </c>
    </row>
    <row r="880" spans="1:5" ht="36" customHeight="1">
      <c r="A880" s="1" t="s">
        <v>1580</v>
      </c>
      <c r="B880" s="1" t="s">
        <v>2245</v>
      </c>
      <c r="C880" s="1" t="s">
        <v>1645</v>
      </c>
      <c r="D880" s="1" t="s">
        <v>2264</v>
      </c>
      <c r="E880" s="1" t="s">
        <v>1596</v>
      </c>
    </row>
    <row r="881" spans="1:5" ht="36" customHeight="1">
      <c r="A881" s="1" t="s">
        <v>1580</v>
      </c>
      <c r="B881" s="1" t="s">
        <v>2245</v>
      </c>
      <c r="C881" s="1" t="s">
        <v>1914</v>
      </c>
      <c r="D881" s="1" t="s">
        <v>2265</v>
      </c>
      <c r="E881" s="1" t="s">
        <v>1596</v>
      </c>
    </row>
    <row r="882" spans="1:5" ht="36" customHeight="1">
      <c r="A882" s="1" t="s">
        <v>1580</v>
      </c>
      <c r="B882" s="1" t="s">
        <v>2245</v>
      </c>
      <c r="C882" s="1" t="s">
        <v>1916</v>
      </c>
      <c r="D882" s="1" t="s">
        <v>2266</v>
      </c>
      <c r="E882" s="1" t="s">
        <v>1596</v>
      </c>
    </row>
    <row r="883" spans="1:5" ht="36" customHeight="1">
      <c r="A883" s="1" t="s">
        <v>1580</v>
      </c>
      <c r="B883" s="1" t="s">
        <v>2245</v>
      </c>
      <c r="C883" s="1" t="s">
        <v>1918</v>
      </c>
      <c r="D883" s="1" t="s">
        <v>2267</v>
      </c>
      <c r="E883" s="1" t="s">
        <v>1596</v>
      </c>
    </row>
    <row r="884" spans="1:5" ht="36" customHeight="1">
      <c r="A884" s="1" t="s">
        <v>1580</v>
      </c>
      <c r="B884" s="1" t="s">
        <v>2245</v>
      </c>
      <c r="C884" s="1" t="s">
        <v>2188</v>
      </c>
      <c r="D884" s="1" t="s">
        <v>2268</v>
      </c>
      <c r="E884" s="1" t="s">
        <v>1786</v>
      </c>
    </row>
    <row r="885" spans="1:5" ht="36" customHeight="1">
      <c r="A885" s="1" t="s">
        <v>1580</v>
      </c>
      <c r="B885" s="1" t="s">
        <v>2245</v>
      </c>
      <c r="C885" s="1" t="s">
        <v>2269</v>
      </c>
      <c r="D885" s="1" t="s">
        <v>2270</v>
      </c>
      <c r="E885" s="1" t="s">
        <v>1596</v>
      </c>
    </row>
    <row r="886" spans="1:5" ht="36" customHeight="1">
      <c r="A886" s="1" t="s">
        <v>1580</v>
      </c>
      <c r="B886" s="1" t="s">
        <v>2245</v>
      </c>
      <c r="C886" s="1" t="s">
        <v>1647</v>
      </c>
      <c r="D886" s="1" t="s">
        <v>2077</v>
      </c>
      <c r="E886" s="1" t="s">
        <v>1596</v>
      </c>
    </row>
    <row r="887" spans="1:5" ht="36" customHeight="1">
      <c r="A887" s="1" t="s">
        <v>1580</v>
      </c>
      <c r="B887" s="1" t="s">
        <v>2245</v>
      </c>
      <c r="C887" s="1" t="s">
        <v>1648</v>
      </c>
      <c r="D887" s="1" t="s">
        <v>1691</v>
      </c>
      <c r="E887" s="1" t="s">
        <v>1596</v>
      </c>
    </row>
    <row r="888" spans="1:5" ht="36" customHeight="1">
      <c r="A888" s="1" t="s">
        <v>1580</v>
      </c>
      <c r="B888" s="1" t="s">
        <v>2245</v>
      </c>
      <c r="C888" s="1" t="s">
        <v>1726</v>
      </c>
      <c r="D888" s="1" t="s">
        <v>2271</v>
      </c>
      <c r="E888" s="1" t="s">
        <v>1596</v>
      </c>
    </row>
    <row r="889" spans="1:5" ht="36" customHeight="1">
      <c r="A889" s="1" t="s">
        <v>1580</v>
      </c>
      <c r="B889" s="1" t="s">
        <v>2245</v>
      </c>
      <c r="C889" s="1" t="s">
        <v>1651</v>
      </c>
      <c r="D889" s="1" t="s">
        <v>2272</v>
      </c>
      <c r="E889" s="1" t="s">
        <v>1596</v>
      </c>
    </row>
    <row r="890" spans="1:5" ht="36" customHeight="1">
      <c r="A890" s="1" t="s">
        <v>1580</v>
      </c>
      <c r="B890" s="1" t="s">
        <v>2245</v>
      </c>
      <c r="C890" s="1" t="s">
        <v>1807</v>
      </c>
      <c r="D890" s="1" t="s">
        <v>2273</v>
      </c>
      <c r="E890" s="1" t="s">
        <v>1596</v>
      </c>
    </row>
    <row r="891" spans="1:5" ht="36" customHeight="1">
      <c r="A891" s="1" t="s">
        <v>1580</v>
      </c>
      <c r="B891" s="1" t="s">
        <v>2245</v>
      </c>
      <c r="C891" s="1" t="s">
        <v>1808</v>
      </c>
      <c r="D891" s="1" t="s">
        <v>2274</v>
      </c>
      <c r="E891" s="1" t="s">
        <v>1596</v>
      </c>
    </row>
    <row r="892" spans="1:5" ht="36" customHeight="1">
      <c r="A892" s="1" t="s">
        <v>1580</v>
      </c>
      <c r="B892" s="1" t="s">
        <v>2245</v>
      </c>
      <c r="C892" s="1" t="s">
        <v>1809</v>
      </c>
      <c r="D892" s="1" t="s">
        <v>2275</v>
      </c>
      <c r="E892" s="1" t="s">
        <v>1596</v>
      </c>
    </row>
    <row r="893" spans="1:5" ht="36" customHeight="1">
      <c r="A893" s="1" t="s">
        <v>1580</v>
      </c>
      <c r="B893" s="1" t="s">
        <v>2245</v>
      </c>
      <c r="C893" s="1" t="s">
        <v>1810</v>
      </c>
      <c r="D893" s="1" t="s">
        <v>2276</v>
      </c>
      <c r="E893" s="1" t="s">
        <v>1942</v>
      </c>
    </row>
    <row r="894" spans="1:5" ht="36" customHeight="1">
      <c r="A894" s="1" t="s">
        <v>1580</v>
      </c>
      <c r="B894" s="1" t="s">
        <v>2245</v>
      </c>
      <c r="C894" s="1" t="s">
        <v>1696</v>
      </c>
      <c r="D894" s="1" t="s">
        <v>2277</v>
      </c>
      <c r="E894" s="1" t="s">
        <v>1596</v>
      </c>
    </row>
    <row r="895" spans="1:5" ht="36" customHeight="1">
      <c r="A895" s="1" t="s">
        <v>1580</v>
      </c>
      <c r="B895" s="1" t="s">
        <v>2245</v>
      </c>
      <c r="C895" s="1" t="s">
        <v>1925</v>
      </c>
      <c r="D895" s="1" t="s">
        <v>2278</v>
      </c>
      <c r="E895" s="1" t="s">
        <v>1596</v>
      </c>
    </row>
    <row r="896" spans="1:5" ht="36" customHeight="1">
      <c r="A896" s="1" t="s">
        <v>1580</v>
      </c>
      <c r="B896" s="1" t="s">
        <v>2245</v>
      </c>
      <c r="C896" s="1" t="s">
        <v>1658</v>
      </c>
      <c r="D896" s="1" t="s">
        <v>2279</v>
      </c>
      <c r="E896" s="1" t="s">
        <v>1596</v>
      </c>
    </row>
    <row r="897" spans="1:5" ht="36" customHeight="1">
      <c r="A897" s="1" t="s">
        <v>1580</v>
      </c>
      <c r="B897" s="1" t="s">
        <v>2245</v>
      </c>
      <c r="C897" s="1" t="s">
        <v>1926</v>
      </c>
      <c r="D897" s="1" t="s">
        <v>2280</v>
      </c>
      <c r="E897" s="1" t="s">
        <v>1596</v>
      </c>
    </row>
    <row r="898" spans="1:5" ht="36" customHeight="1">
      <c r="A898" s="1" t="s">
        <v>1580</v>
      </c>
      <c r="B898" s="1" t="s">
        <v>2245</v>
      </c>
      <c r="C898" s="1" t="s">
        <v>1927</v>
      </c>
      <c r="D898" s="1" t="s">
        <v>2281</v>
      </c>
      <c r="E898" s="1" t="s">
        <v>1596</v>
      </c>
    </row>
    <row r="899" spans="1:5" ht="36" customHeight="1">
      <c r="A899" s="1" t="s">
        <v>1580</v>
      </c>
      <c r="B899" s="1" t="s">
        <v>2245</v>
      </c>
      <c r="C899" s="1" t="s">
        <v>1928</v>
      </c>
      <c r="D899" s="1" t="s">
        <v>2282</v>
      </c>
      <c r="E899" s="1" t="s">
        <v>1596</v>
      </c>
    </row>
    <row r="900" spans="1:5" ht="36" customHeight="1">
      <c r="A900" s="1" t="s">
        <v>1580</v>
      </c>
      <c r="B900" s="1" t="s">
        <v>2245</v>
      </c>
      <c r="C900" s="1" t="s">
        <v>2283</v>
      </c>
      <c r="D900" s="1" t="s">
        <v>2284</v>
      </c>
      <c r="E900" s="1" t="s">
        <v>1596</v>
      </c>
    </row>
    <row r="901" spans="1:5" ht="36" customHeight="1">
      <c r="A901" s="1" t="s">
        <v>1580</v>
      </c>
      <c r="B901" s="1" t="s">
        <v>2245</v>
      </c>
      <c r="C901" s="1" t="s">
        <v>2285</v>
      </c>
      <c r="D901" s="1" t="s">
        <v>1625</v>
      </c>
      <c r="E901" s="1" t="s">
        <v>1596</v>
      </c>
    </row>
    <row r="902" spans="1:5" ht="36" customHeight="1">
      <c r="A902" s="1" t="s">
        <v>1580</v>
      </c>
      <c r="B902" s="1" t="s">
        <v>2245</v>
      </c>
      <c r="C902" s="1" t="s">
        <v>1660</v>
      </c>
      <c r="D902" s="1" t="s">
        <v>2286</v>
      </c>
      <c r="E902" s="1" t="s">
        <v>1596</v>
      </c>
    </row>
    <row r="903" spans="1:5" ht="36" customHeight="1">
      <c r="A903" s="1" t="s">
        <v>1580</v>
      </c>
      <c r="B903" s="1" t="s">
        <v>2245</v>
      </c>
      <c r="C903" s="1" t="s">
        <v>1661</v>
      </c>
      <c r="D903" s="1" t="s">
        <v>1629</v>
      </c>
      <c r="E903" s="1" t="s">
        <v>1596</v>
      </c>
    </row>
    <row r="904" spans="1:5" ht="36" customHeight="1">
      <c r="A904" s="1" t="s">
        <v>1580</v>
      </c>
      <c r="B904" s="1" t="s">
        <v>2245</v>
      </c>
      <c r="C904" s="1" t="s">
        <v>1728</v>
      </c>
      <c r="D904" s="1" t="s">
        <v>2287</v>
      </c>
      <c r="E904" s="1" t="s">
        <v>1596</v>
      </c>
    </row>
    <row r="905" spans="1:5" ht="36" customHeight="1">
      <c r="A905" s="1" t="s">
        <v>1580</v>
      </c>
      <c r="B905" s="1" t="s">
        <v>2245</v>
      </c>
      <c r="C905" s="1" t="s">
        <v>1664</v>
      </c>
      <c r="D905" s="1" t="s">
        <v>2279</v>
      </c>
      <c r="E905" s="1" t="s">
        <v>1596</v>
      </c>
    </row>
    <row r="906" spans="1:5" ht="36" customHeight="1">
      <c r="A906" s="1" t="s">
        <v>1580</v>
      </c>
      <c r="B906" s="1" t="s">
        <v>2245</v>
      </c>
      <c r="C906" s="1" t="s">
        <v>1930</v>
      </c>
      <c r="D906" s="1" t="s">
        <v>2280</v>
      </c>
      <c r="E906" s="1" t="s">
        <v>1596</v>
      </c>
    </row>
    <row r="907" spans="1:5" ht="36" customHeight="1">
      <c r="A907" s="1" t="s">
        <v>1580</v>
      </c>
      <c r="B907" s="1" t="s">
        <v>2245</v>
      </c>
      <c r="C907" s="1" t="s">
        <v>1931</v>
      </c>
      <c r="D907" s="1" t="s">
        <v>2288</v>
      </c>
      <c r="E907" s="1" t="s">
        <v>1596</v>
      </c>
    </row>
    <row r="908" spans="1:5" ht="36" customHeight="1">
      <c r="A908" s="1" t="s">
        <v>1580</v>
      </c>
      <c r="B908" s="1" t="s">
        <v>2245</v>
      </c>
      <c r="C908" s="1" t="s">
        <v>1932</v>
      </c>
      <c r="D908" s="1" t="s">
        <v>2289</v>
      </c>
      <c r="E908" s="1" t="s">
        <v>1596</v>
      </c>
    </row>
    <row r="909" spans="1:5" ht="36" customHeight="1">
      <c r="A909" s="1" t="s">
        <v>1580</v>
      </c>
      <c r="B909" s="1" t="s">
        <v>2245</v>
      </c>
      <c r="C909" s="1" t="s">
        <v>1699</v>
      </c>
      <c r="D909" s="1" t="s">
        <v>2290</v>
      </c>
      <c r="E909" s="1" t="s">
        <v>1596</v>
      </c>
    </row>
    <row r="910" spans="1:5" ht="36" customHeight="1">
      <c r="A910" s="1" t="s">
        <v>1580</v>
      </c>
      <c r="B910" s="1" t="s">
        <v>2245</v>
      </c>
      <c r="C910" s="1" t="s">
        <v>1816</v>
      </c>
      <c r="D910" s="1" t="s">
        <v>2291</v>
      </c>
      <c r="E910" s="1" t="s">
        <v>1596</v>
      </c>
    </row>
    <row r="911" spans="1:5" ht="36" customHeight="1">
      <c r="A911" s="1" t="s">
        <v>1580</v>
      </c>
      <c r="B911" s="1" t="s">
        <v>2245</v>
      </c>
      <c r="C911" s="1" t="s">
        <v>1730</v>
      </c>
      <c r="D911" s="1" t="s">
        <v>617</v>
      </c>
      <c r="E911" s="1" t="s">
        <v>1596</v>
      </c>
    </row>
    <row r="912" spans="1:5" ht="36" customHeight="1">
      <c r="A912" s="1" t="s">
        <v>1580</v>
      </c>
      <c r="B912" s="1" t="s">
        <v>2245</v>
      </c>
      <c r="C912" s="1" t="s">
        <v>1732</v>
      </c>
      <c r="D912" s="1" t="s">
        <v>1782</v>
      </c>
      <c r="E912" s="1" t="s">
        <v>1596</v>
      </c>
    </row>
    <row r="913" spans="1:5" ht="36" customHeight="1">
      <c r="A913" s="1" t="s">
        <v>1580</v>
      </c>
      <c r="B913" s="1" t="s">
        <v>2245</v>
      </c>
      <c r="C913" s="1" t="s">
        <v>1939</v>
      </c>
      <c r="D913" s="1" t="s">
        <v>2292</v>
      </c>
      <c r="E913" s="1" t="s">
        <v>1596</v>
      </c>
    </row>
    <row r="914" spans="1:5" ht="36" customHeight="1">
      <c r="A914" s="1" t="s">
        <v>1580</v>
      </c>
      <c r="B914" s="1" t="s">
        <v>2245</v>
      </c>
      <c r="C914" s="1" t="s">
        <v>1940</v>
      </c>
      <c r="D914" s="1" t="s">
        <v>2293</v>
      </c>
      <c r="E914" s="1" t="s">
        <v>1596</v>
      </c>
    </row>
    <row r="915" spans="1:5" ht="36" customHeight="1">
      <c r="A915" s="1" t="s">
        <v>1580</v>
      </c>
      <c r="B915" s="1" t="s">
        <v>2245</v>
      </c>
      <c r="C915" s="1" t="s">
        <v>1943</v>
      </c>
      <c r="D915" s="1" t="s">
        <v>1715</v>
      </c>
      <c r="E915" s="1" t="s">
        <v>1596</v>
      </c>
    </row>
    <row r="916" spans="1:5" ht="36" customHeight="1">
      <c r="A916" s="1" t="s">
        <v>1580</v>
      </c>
      <c r="B916" s="1" t="s">
        <v>2245</v>
      </c>
      <c r="C916" s="1" t="s">
        <v>1822</v>
      </c>
      <c r="D916" s="1" t="s">
        <v>622</v>
      </c>
      <c r="E916" s="1" t="s">
        <v>1596</v>
      </c>
    </row>
    <row r="917" spans="1:5" ht="36" customHeight="1">
      <c r="A917" s="1" t="s">
        <v>1580</v>
      </c>
      <c r="B917" s="1" t="s">
        <v>2245</v>
      </c>
      <c r="C917" s="1" t="s">
        <v>1824</v>
      </c>
      <c r="D917" s="1" t="s">
        <v>2247</v>
      </c>
      <c r="E917" s="1" t="s">
        <v>1596</v>
      </c>
    </row>
    <row r="918" spans="1:5" ht="36" customHeight="1">
      <c r="A918" s="1" t="s">
        <v>1580</v>
      </c>
      <c r="B918" s="1" t="s">
        <v>2245</v>
      </c>
      <c r="C918" s="1" t="s">
        <v>1949</v>
      </c>
      <c r="D918" s="1" t="s">
        <v>1782</v>
      </c>
      <c r="E918" s="1" t="s">
        <v>1596</v>
      </c>
    </row>
    <row r="919" spans="1:5" ht="36" customHeight="1">
      <c r="A919" s="1" t="s">
        <v>1580</v>
      </c>
      <c r="B919" s="1" t="s">
        <v>2245</v>
      </c>
      <c r="C919" s="1" t="s">
        <v>2294</v>
      </c>
      <c r="D919" s="1" t="s">
        <v>1715</v>
      </c>
      <c r="E919" s="1" t="s">
        <v>1596</v>
      </c>
    </row>
    <row r="920" spans="1:5" ht="36" customHeight="1">
      <c r="A920" s="1" t="s">
        <v>1580</v>
      </c>
      <c r="B920" s="1" t="s">
        <v>2245</v>
      </c>
      <c r="C920" s="1" t="s">
        <v>2295</v>
      </c>
      <c r="D920" s="1" t="s">
        <v>2296</v>
      </c>
      <c r="E920" s="1" t="s">
        <v>1596</v>
      </c>
    </row>
    <row r="921" spans="1:5" ht="36" customHeight="1">
      <c r="A921" s="1" t="s">
        <v>1580</v>
      </c>
      <c r="B921" s="1" t="s">
        <v>2245</v>
      </c>
      <c r="C921" s="1" t="s">
        <v>1734</v>
      </c>
      <c r="D921" s="1" t="s">
        <v>673</v>
      </c>
      <c r="E921" s="1" t="s">
        <v>1596</v>
      </c>
    </row>
    <row r="922" spans="1:5" ht="36" customHeight="1">
      <c r="A922" s="1" t="s">
        <v>1580</v>
      </c>
      <c r="B922" s="1" t="s">
        <v>2245</v>
      </c>
      <c r="C922" s="1" t="s">
        <v>1706</v>
      </c>
      <c r="D922" s="1" t="s">
        <v>2297</v>
      </c>
      <c r="E922" s="1" t="s">
        <v>1596</v>
      </c>
    </row>
    <row r="923" spans="1:5" ht="36" customHeight="1">
      <c r="A923" s="1" t="s">
        <v>1580</v>
      </c>
      <c r="B923" s="1" t="s">
        <v>2245</v>
      </c>
      <c r="C923" s="1" t="s">
        <v>1669</v>
      </c>
      <c r="D923" s="1" t="s">
        <v>2298</v>
      </c>
      <c r="E923" s="1" t="s">
        <v>1596</v>
      </c>
    </row>
    <row r="924" spans="1:5" ht="36" customHeight="1">
      <c r="A924" s="1" t="s">
        <v>1580</v>
      </c>
      <c r="B924" s="1" t="s">
        <v>2245</v>
      </c>
      <c r="C924" s="1" t="s">
        <v>2299</v>
      </c>
      <c r="D924" s="1" t="s">
        <v>2300</v>
      </c>
      <c r="E924" s="1" t="s">
        <v>1596</v>
      </c>
    </row>
    <row r="925" spans="1:5" ht="36" customHeight="1">
      <c r="A925" s="1" t="s">
        <v>1580</v>
      </c>
      <c r="B925" s="1" t="s">
        <v>2245</v>
      </c>
      <c r="C925" s="1" t="s">
        <v>2301</v>
      </c>
      <c r="D925" s="1" t="s">
        <v>2302</v>
      </c>
      <c r="E925" s="1" t="s">
        <v>1596</v>
      </c>
    </row>
    <row r="926" spans="1:5" ht="36" customHeight="1">
      <c r="A926" s="1" t="s">
        <v>1580</v>
      </c>
      <c r="B926" s="1" t="s">
        <v>2245</v>
      </c>
      <c r="C926" s="1" t="s">
        <v>2303</v>
      </c>
      <c r="D926" s="1" t="s">
        <v>676</v>
      </c>
      <c r="E926" s="1" t="s">
        <v>1596</v>
      </c>
    </row>
    <row r="927" spans="1:5" ht="36" customHeight="1">
      <c r="A927" s="1" t="s">
        <v>1580</v>
      </c>
      <c r="B927" s="1" t="s">
        <v>2245</v>
      </c>
      <c r="C927" s="1" t="s">
        <v>2304</v>
      </c>
      <c r="D927" s="1" t="s">
        <v>2298</v>
      </c>
      <c r="E927" s="1" t="s">
        <v>1596</v>
      </c>
    </row>
    <row r="928" spans="1:5" ht="36" customHeight="1">
      <c r="A928" s="1" t="s">
        <v>1580</v>
      </c>
      <c r="B928" s="1" t="s">
        <v>2245</v>
      </c>
      <c r="C928" s="1" t="s">
        <v>2057</v>
      </c>
      <c r="D928" s="1" t="s">
        <v>2305</v>
      </c>
      <c r="E928" s="1" t="s">
        <v>1596</v>
      </c>
    </row>
    <row r="929" spans="1:5" ht="36" customHeight="1">
      <c r="A929" s="1" t="s">
        <v>1580</v>
      </c>
      <c r="B929" s="1" t="s">
        <v>2245</v>
      </c>
      <c r="C929" s="1" t="s">
        <v>2306</v>
      </c>
      <c r="D929" s="1" t="s">
        <v>2307</v>
      </c>
      <c r="E929" s="1" t="s">
        <v>1596</v>
      </c>
    </row>
    <row r="930" spans="1:5" ht="36" customHeight="1">
      <c r="A930" s="1" t="s">
        <v>1580</v>
      </c>
      <c r="B930" s="1" t="s">
        <v>2245</v>
      </c>
      <c r="C930" s="1" t="s">
        <v>2308</v>
      </c>
      <c r="D930" s="1" t="s">
        <v>2309</v>
      </c>
      <c r="E930" s="1" t="s">
        <v>1596</v>
      </c>
    </row>
    <row r="931" spans="1:5" ht="36" customHeight="1">
      <c r="A931" s="1" t="s">
        <v>1580</v>
      </c>
      <c r="B931" s="1" t="s">
        <v>2245</v>
      </c>
      <c r="C931" s="1" t="s">
        <v>1832</v>
      </c>
      <c r="D931" s="1" t="s">
        <v>1668</v>
      </c>
      <c r="E931" s="1" t="s">
        <v>1596</v>
      </c>
    </row>
    <row r="932" spans="1:5" ht="36" customHeight="1">
      <c r="A932" s="1" t="s">
        <v>1580</v>
      </c>
      <c r="B932" s="1" t="s">
        <v>2245</v>
      </c>
      <c r="C932" s="1" t="s">
        <v>1833</v>
      </c>
      <c r="D932" s="1" t="s">
        <v>1670</v>
      </c>
      <c r="E932" s="1" t="s">
        <v>1596</v>
      </c>
    </row>
    <row r="933" spans="1:5" ht="36" customHeight="1">
      <c r="A933" s="1" t="s">
        <v>1580</v>
      </c>
      <c r="B933" s="1" t="s">
        <v>2245</v>
      </c>
      <c r="C933" s="1" t="s">
        <v>2148</v>
      </c>
      <c r="D933" s="1" t="s">
        <v>1672</v>
      </c>
      <c r="E933" s="1" t="s">
        <v>1596</v>
      </c>
    </row>
    <row r="934" spans="1:5" ht="36" customHeight="1">
      <c r="A934" s="1" t="s">
        <v>1580</v>
      </c>
      <c r="B934" s="1" t="s">
        <v>1714</v>
      </c>
      <c r="C934" s="1" t="s">
        <v>1594</v>
      </c>
      <c r="D934" s="1" t="s">
        <v>1828</v>
      </c>
      <c r="E934" s="1" t="s">
        <v>1596</v>
      </c>
    </row>
    <row r="935" spans="1:5" ht="36" customHeight="1">
      <c r="A935" s="1" t="s">
        <v>1580</v>
      </c>
      <c r="B935" s="1" t="s">
        <v>1714</v>
      </c>
      <c r="C935" s="1" t="s">
        <v>1597</v>
      </c>
      <c r="D935" s="1" t="s">
        <v>1598</v>
      </c>
      <c r="E935" s="1" t="s">
        <v>1596</v>
      </c>
    </row>
    <row r="936" spans="1:5" ht="36" customHeight="1">
      <c r="A936" s="1" t="s">
        <v>1580</v>
      </c>
      <c r="B936" s="1" t="s">
        <v>1714</v>
      </c>
      <c r="C936" s="1" t="s">
        <v>1599</v>
      </c>
      <c r="D936" s="1" t="s">
        <v>1600</v>
      </c>
      <c r="E936" s="1" t="s">
        <v>1596</v>
      </c>
    </row>
    <row r="937" spans="1:5" ht="36" customHeight="1">
      <c r="A937" s="1" t="s">
        <v>1580</v>
      </c>
      <c r="B937" s="1" t="s">
        <v>1714</v>
      </c>
      <c r="C937" s="1" t="s">
        <v>1601</v>
      </c>
      <c r="D937" s="1" t="s">
        <v>1602</v>
      </c>
      <c r="E937" s="1" t="s">
        <v>1596</v>
      </c>
    </row>
    <row r="938" spans="1:5" ht="36" customHeight="1">
      <c r="A938" s="1" t="s">
        <v>1580</v>
      </c>
      <c r="B938" s="1" t="s">
        <v>1714</v>
      </c>
      <c r="C938" s="1" t="s">
        <v>1603</v>
      </c>
      <c r="D938" s="1" t="s">
        <v>2310</v>
      </c>
      <c r="E938" s="1" t="s">
        <v>1596</v>
      </c>
    </row>
    <row r="939" spans="1:5" ht="36" customHeight="1">
      <c r="A939" s="1" t="s">
        <v>1580</v>
      </c>
      <c r="B939" s="1" t="s">
        <v>1714</v>
      </c>
      <c r="C939" s="1" t="s">
        <v>1605</v>
      </c>
      <c r="D939" s="1" t="s">
        <v>1676</v>
      </c>
      <c r="E939" s="1" t="s">
        <v>1596</v>
      </c>
    </row>
    <row r="940" spans="1:5" ht="36" customHeight="1">
      <c r="A940" s="1" t="s">
        <v>1580</v>
      </c>
      <c r="B940" s="1" t="s">
        <v>1714</v>
      </c>
      <c r="C940" s="1" t="s">
        <v>1677</v>
      </c>
      <c r="D940" s="1" t="s">
        <v>1678</v>
      </c>
      <c r="E940" s="1" t="s">
        <v>1596</v>
      </c>
    </row>
    <row r="941" spans="1:5" ht="36" customHeight="1">
      <c r="A941" s="1" t="s">
        <v>1580</v>
      </c>
      <c r="B941" s="1" t="s">
        <v>1714</v>
      </c>
      <c r="C941" s="1" t="s">
        <v>1679</v>
      </c>
      <c r="D941" s="1" t="s">
        <v>1160</v>
      </c>
      <c r="E941" s="1" t="s">
        <v>1596</v>
      </c>
    </row>
    <row r="942" spans="1:5" ht="36" customHeight="1">
      <c r="A942" s="1" t="s">
        <v>1580</v>
      </c>
      <c r="B942" s="1" t="s">
        <v>1714</v>
      </c>
      <c r="C942" s="1" t="s">
        <v>1680</v>
      </c>
      <c r="D942" s="1" t="s">
        <v>1681</v>
      </c>
      <c r="E942" s="1" t="s">
        <v>1596</v>
      </c>
    </row>
    <row r="943" spans="1:5" ht="36" customHeight="1">
      <c r="A943" s="1" t="s">
        <v>1580</v>
      </c>
      <c r="B943" s="1" t="s">
        <v>1714</v>
      </c>
      <c r="C943" s="1" t="s">
        <v>1682</v>
      </c>
      <c r="D943" s="1" t="s">
        <v>1683</v>
      </c>
      <c r="E943" s="1" t="s">
        <v>1596</v>
      </c>
    </row>
    <row r="944" spans="1:5" ht="36" customHeight="1">
      <c r="A944" s="1" t="s">
        <v>1580</v>
      </c>
      <c r="B944" s="1" t="s">
        <v>1714</v>
      </c>
      <c r="C944" s="1" t="s">
        <v>1684</v>
      </c>
      <c r="D944" s="1" t="s">
        <v>1685</v>
      </c>
      <c r="E944" s="1" t="s">
        <v>1596</v>
      </c>
    </row>
    <row r="945" spans="1:5" ht="36" customHeight="1">
      <c r="A945" s="1" t="s">
        <v>1580</v>
      </c>
      <c r="B945" s="1" t="s">
        <v>1714</v>
      </c>
      <c r="C945" s="1" t="s">
        <v>1686</v>
      </c>
      <c r="D945" s="1" t="s">
        <v>1687</v>
      </c>
      <c r="E945" s="1" t="s">
        <v>1596</v>
      </c>
    </row>
    <row r="946" spans="1:5" ht="36" customHeight="1">
      <c r="A946" s="1" t="s">
        <v>1580</v>
      </c>
      <c r="B946" s="1" t="s">
        <v>1714</v>
      </c>
      <c r="C946" s="1" t="s">
        <v>1607</v>
      </c>
      <c r="D946" s="1" t="s">
        <v>1091</v>
      </c>
      <c r="E946" s="1" t="s">
        <v>1596</v>
      </c>
    </row>
    <row r="947" spans="1:5" ht="36" customHeight="1">
      <c r="A947" s="1" t="s">
        <v>1580</v>
      </c>
      <c r="B947" s="1" t="s">
        <v>1714</v>
      </c>
      <c r="C947" s="1" t="s">
        <v>1608</v>
      </c>
      <c r="D947" s="1" t="s">
        <v>1598</v>
      </c>
      <c r="E947" s="1" t="s">
        <v>1596</v>
      </c>
    </row>
    <row r="948" spans="1:5" ht="36" customHeight="1">
      <c r="A948" s="1" t="s">
        <v>1580</v>
      </c>
      <c r="B948" s="1" t="s">
        <v>1714</v>
      </c>
      <c r="C948" s="1" t="s">
        <v>1609</v>
      </c>
      <c r="D948" s="1" t="s">
        <v>2311</v>
      </c>
      <c r="E948" s="1" t="s">
        <v>1596</v>
      </c>
    </row>
    <row r="949" spans="1:5" ht="36" customHeight="1">
      <c r="A949" s="1" t="s">
        <v>1580</v>
      </c>
      <c r="B949" s="1" t="s">
        <v>1714</v>
      </c>
      <c r="C949" s="1" t="s">
        <v>1610</v>
      </c>
      <c r="D949" s="1" t="s">
        <v>2312</v>
      </c>
      <c r="E949" s="1" t="s">
        <v>1596</v>
      </c>
    </row>
    <row r="950" spans="1:5" ht="36" customHeight="1">
      <c r="A950" s="1" t="s">
        <v>1580</v>
      </c>
      <c r="B950" s="1" t="s">
        <v>1714</v>
      </c>
      <c r="C950" s="1" t="s">
        <v>1612</v>
      </c>
      <c r="D950" s="1" t="s">
        <v>2313</v>
      </c>
      <c r="E950" s="1" t="s">
        <v>1596</v>
      </c>
    </row>
    <row r="951" spans="1:5" ht="36" customHeight="1">
      <c r="A951" s="1" t="s">
        <v>1580</v>
      </c>
      <c r="B951" s="1" t="s">
        <v>1714</v>
      </c>
      <c r="C951" s="1" t="s">
        <v>1614</v>
      </c>
      <c r="D951" s="1" t="s">
        <v>1622</v>
      </c>
      <c r="E951" s="1" t="s">
        <v>1596</v>
      </c>
    </row>
    <row r="952" spans="1:5" ht="48" customHeight="1">
      <c r="A952" s="1" t="s">
        <v>1580</v>
      </c>
      <c r="B952" s="1" t="s">
        <v>1714</v>
      </c>
      <c r="C952" s="1" t="s">
        <v>1624</v>
      </c>
      <c r="D952" s="1" t="s">
        <v>2314</v>
      </c>
      <c r="E952" s="1" t="s">
        <v>1596</v>
      </c>
    </row>
    <row r="953" spans="1:5" ht="36" customHeight="1">
      <c r="A953" s="1" t="s">
        <v>1580</v>
      </c>
      <c r="B953" s="1" t="s">
        <v>1714</v>
      </c>
      <c r="C953" s="1" t="s">
        <v>1638</v>
      </c>
      <c r="D953" s="1" t="s">
        <v>2315</v>
      </c>
      <c r="E953" s="1" t="s">
        <v>1596</v>
      </c>
    </row>
    <row r="954" spans="1:5" ht="36" customHeight="1">
      <c r="A954" s="1" t="s">
        <v>1580</v>
      </c>
      <c r="B954" s="1" t="s">
        <v>1714</v>
      </c>
      <c r="C954" s="1" t="s">
        <v>1909</v>
      </c>
      <c r="D954" s="1" t="s">
        <v>2316</v>
      </c>
      <c r="E954" s="1" t="s">
        <v>1596</v>
      </c>
    </row>
    <row r="955" spans="1:5" ht="36" customHeight="1">
      <c r="A955" s="1" t="s">
        <v>1580</v>
      </c>
      <c r="B955" s="1" t="s">
        <v>1714</v>
      </c>
      <c r="C955" s="1" t="s">
        <v>1651</v>
      </c>
      <c r="D955" s="1" t="s">
        <v>2317</v>
      </c>
      <c r="E955" s="1" t="s">
        <v>1596</v>
      </c>
    </row>
    <row r="956" spans="1:5" ht="36" customHeight="1">
      <c r="A956" s="1" t="s">
        <v>1580</v>
      </c>
      <c r="B956" s="1" t="s">
        <v>1714</v>
      </c>
      <c r="C956" s="1" t="s">
        <v>1808</v>
      </c>
      <c r="D956" s="1" t="s">
        <v>2318</v>
      </c>
      <c r="E956" s="1" t="s">
        <v>1596</v>
      </c>
    </row>
    <row r="957" spans="1:5" ht="36" customHeight="1">
      <c r="A957" s="1" t="s">
        <v>1580</v>
      </c>
      <c r="B957" s="1" t="s">
        <v>1714</v>
      </c>
      <c r="C957" s="1" t="s">
        <v>1809</v>
      </c>
      <c r="D957" s="1" t="s">
        <v>2319</v>
      </c>
      <c r="E957" s="1" t="s">
        <v>1596</v>
      </c>
    </row>
    <row r="958" spans="1:5" ht="36" customHeight="1">
      <c r="A958" s="1" t="s">
        <v>1580</v>
      </c>
      <c r="B958" s="1" t="s">
        <v>1714</v>
      </c>
      <c r="C958" s="1" t="s">
        <v>1658</v>
      </c>
      <c r="D958" s="1" t="s">
        <v>2320</v>
      </c>
      <c r="E958" s="1" t="s">
        <v>1596</v>
      </c>
    </row>
    <row r="959" spans="1:5" ht="36" customHeight="1">
      <c r="A959" s="1" t="s">
        <v>1580</v>
      </c>
      <c r="B959" s="1" t="s">
        <v>1714</v>
      </c>
      <c r="C959" s="1" t="s">
        <v>1662</v>
      </c>
      <c r="D959" s="1" t="s">
        <v>2321</v>
      </c>
      <c r="E959" s="1" t="s">
        <v>1596</v>
      </c>
    </row>
    <row r="960" spans="1:5" ht="36" customHeight="1">
      <c r="A960" s="1" t="s">
        <v>1580</v>
      </c>
      <c r="B960" s="1" t="s">
        <v>1714</v>
      </c>
      <c r="C960" s="1" t="s">
        <v>1664</v>
      </c>
      <c r="D960" s="1" t="s">
        <v>2322</v>
      </c>
      <c r="E960" s="1" t="s">
        <v>1596</v>
      </c>
    </row>
    <row r="961" spans="1:5" ht="48" customHeight="1">
      <c r="A961" s="1" t="s">
        <v>1580</v>
      </c>
      <c r="B961" s="1" t="s">
        <v>1714</v>
      </c>
      <c r="C961" s="1" t="s">
        <v>1732</v>
      </c>
      <c r="D961" s="1" t="s">
        <v>2323</v>
      </c>
      <c r="E961" s="1" t="s">
        <v>1596</v>
      </c>
    </row>
    <row r="962" spans="1:5" ht="36" customHeight="1">
      <c r="A962" s="1" t="s">
        <v>1580</v>
      </c>
      <c r="B962" s="1" t="s">
        <v>1714</v>
      </c>
      <c r="C962" s="1" t="s">
        <v>1667</v>
      </c>
      <c r="D962" s="1" t="s">
        <v>207</v>
      </c>
      <c r="E962" s="1" t="s">
        <v>1596</v>
      </c>
    </row>
    <row r="963" spans="1:5" ht="36" customHeight="1">
      <c r="A963" s="1" t="s">
        <v>1580</v>
      </c>
      <c r="B963" s="1" t="s">
        <v>1714</v>
      </c>
      <c r="C963" s="1" t="s">
        <v>1734</v>
      </c>
      <c r="D963" s="1" t="s">
        <v>1747</v>
      </c>
      <c r="E963" s="1" t="s">
        <v>1596</v>
      </c>
    </row>
    <row r="964" spans="1:5" ht="36" customHeight="1">
      <c r="A964" s="1" t="s">
        <v>1580</v>
      </c>
      <c r="B964" s="1" t="s">
        <v>1714</v>
      </c>
      <c r="C964" s="1" t="s">
        <v>1706</v>
      </c>
      <c r="D964" s="1" t="s">
        <v>2324</v>
      </c>
      <c r="E964" s="1" t="s">
        <v>1596</v>
      </c>
    </row>
    <row r="965" spans="1:5" ht="36" customHeight="1">
      <c r="A965" s="1" t="s">
        <v>1580</v>
      </c>
      <c r="B965" s="1" t="s">
        <v>1714</v>
      </c>
      <c r="C965" s="1" t="s">
        <v>2325</v>
      </c>
      <c r="D965" s="1" t="s">
        <v>2326</v>
      </c>
      <c r="E965" s="1" t="s">
        <v>1596</v>
      </c>
    </row>
    <row r="966" spans="1:5" ht="36" customHeight="1">
      <c r="A966" s="1" t="s">
        <v>1580</v>
      </c>
      <c r="B966" s="1" t="s">
        <v>1714</v>
      </c>
      <c r="C966" s="1" t="s">
        <v>2327</v>
      </c>
      <c r="D966" s="1" t="s">
        <v>1633</v>
      </c>
      <c r="E966" s="1" t="s">
        <v>1596</v>
      </c>
    </row>
    <row r="967" spans="1:5" ht="36" customHeight="1">
      <c r="A967" s="1" t="s">
        <v>1580</v>
      </c>
      <c r="B967" s="1" t="s">
        <v>1714</v>
      </c>
      <c r="C967" s="1" t="s">
        <v>1708</v>
      </c>
      <c r="D967" s="1" t="s">
        <v>1751</v>
      </c>
      <c r="E967" s="1" t="s">
        <v>1596</v>
      </c>
    </row>
    <row r="968" spans="1:5" ht="36" customHeight="1">
      <c r="A968" s="1" t="s">
        <v>1580</v>
      </c>
      <c r="B968" s="1" t="s">
        <v>1714</v>
      </c>
      <c r="C968" s="1" t="s">
        <v>1710</v>
      </c>
      <c r="D968" s="1" t="s">
        <v>1622</v>
      </c>
      <c r="E968" s="1" t="s">
        <v>1596</v>
      </c>
    </row>
    <row r="969" spans="1:5" ht="36" customHeight="1">
      <c r="A969" s="1" t="s">
        <v>1580</v>
      </c>
      <c r="B969" s="1" t="s">
        <v>1714</v>
      </c>
      <c r="C969" s="1" t="s">
        <v>2303</v>
      </c>
      <c r="D969" s="1" t="s">
        <v>1754</v>
      </c>
      <c r="E969" s="1" t="s">
        <v>1596</v>
      </c>
    </row>
    <row r="970" spans="1:5" ht="36" customHeight="1">
      <c r="A970" s="1" t="s">
        <v>1580</v>
      </c>
      <c r="B970" s="1" t="s">
        <v>1714</v>
      </c>
      <c r="C970" s="1" t="s">
        <v>2304</v>
      </c>
      <c r="D970" s="1" t="s">
        <v>2328</v>
      </c>
      <c r="E970" s="1" t="s">
        <v>1596</v>
      </c>
    </row>
    <row r="971" spans="1:5" ht="48" customHeight="1">
      <c r="A971" s="1" t="s">
        <v>1580</v>
      </c>
      <c r="B971" s="1" t="s">
        <v>1714</v>
      </c>
      <c r="C971" s="1" t="s">
        <v>2329</v>
      </c>
      <c r="D971" s="1" t="s">
        <v>2330</v>
      </c>
      <c r="E971" s="1" t="s">
        <v>1596</v>
      </c>
    </row>
    <row r="972" spans="1:5" ht="36" customHeight="1">
      <c r="A972" s="1" t="s">
        <v>1580</v>
      </c>
      <c r="B972" s="1" t="s">
        <v>1714</v>
      </c>
      <c r="C972" s="1" t="s">
        <v>1829</v>
      </c>
      <c r="D972" s="1" t="s">
        <v>2331</v>
      </c>
      <c r="E972" s="1" t="s">
        <v>1596</v>
      </c>
    </row>
    <row r="973" spans="1:5" ht="36" customHeight="1">
      <c r="A973" s="1" t="s">
        <v>1580</v>
      </c>
      <c r="B973" s="1" t="s">
        <v>1714</v>
      </c>
      <c r="C973" s="1" t="s">
        <v>1830</v>
      </c>
      <c r="D973" s="1" t="s">
        <v>1622</v>
      </c>
      <c r="E973" s="1" t="s">
        <v>1596</v>
      </c>
    </row>
    <row r="974" spans="1:5" ht="36" customHeight="1">
      <c r="A974" s="1" t="s">
        <v>1580</v>
      </c>
      <c r="B974" s="1" t="s">
        <v>1714</v>
      </c>
      <c r="C974" s="1" t="s">
        <v>1993</v>
      </c>
      <c r="D974" s="1" t="s">
        <v>1756</v>
      </c>
      <c r="E974" s="1" t="s">
        <v>1596</v>
      </c>
    </row>
    <row r="975" spans="1:5" ht="36" customHeight="1">
      <c r="A975" s="1" t="s">
        <v>1580</v>
      </c>
      <c r="B975" s="1" t="s">
        <v>1714</v>
      </c>
      <c r="C975" s="1" t="s">
        <v>1995</v>
      </c>
      <c r="D975" s="1" t="s">
        <v>2332</v>
      </c>
      <c r="E975" s="1" t="s">
        <v>1596</v>
      </c>
    </row>
    <row r="976" spans="1:5" ht="36" customHeight="1">
      <c r="A976" s="1" t="s">
        <v>1580</v>
      </c>
      <c r="B976" s="1" t="s">
        <v>1714</v>
      </c>
      <c r="C976" s="1" t="s">
        <v>2002</v>
      </c>
      <c r="D976" s="1" t="s">
        <v>1758</v>
      </c>
      <c r="E976" s="1" t="s">
        <v>1596</v>
      </c>
    </row>
    <row r="977" spans="1:5" ht="36" customHeight="1">
      <c r="A977" s="1" t="s">
        <v>1580</v>
      </c>
      <c r="B977" s="1" t="s">
        <v>1714</v>
      </c>
      <c r="C977" s="1" t="s">
        <v>1846</v>
      </c>
      <c r="D977" s="1" t="s">
        <v>2333</v>
      </c>
      <c r="E977" s="1" t="s">
        <v>1596</v>
      </c>
    </row>
    <row r="978" spans="1:5" ht="36" customHeight="1">
      <c r="A978" s="1" t="s">
        <v>1580</v>
      </c>
      <c r="B978" s="1" t="s">
        <v>1714</v>
      </c>
      <c r="C978" s="1" t="s">
        <v>2334</v>
      </c>
      <c r="D978" s="1" t="s">
        <v>2335</v>
      </c>
      <c r="E978" s="1" t="s">
        <v>1596</v>
      </c>
    </row>
    <row r="979" spans="1:5" ht="36" customHeight="1">
      <c r="A979" s="1" t="s">
        <v>1580</v>
      </c>
      <c r="B979" s="1" t="s">
        <v>1714</v>
      </c>
      <c r="C979" s="1" t="s">
        <v>1847</v>
      </c>
      <c r="D979" s="1" t="s">
        <v>2336</v>
      </c>
      <c r="E979" s="1" t="s">
        <v>1596</v>
      </c>
    </row>
    <row r="980" spans="1:5" ht="36" customHeight="1">
      <c r="A980" s="1" t="s">
        <v>1580</v>
      </c>
      <c r="B980" s="1" t="s">
        <v>1714</v>
      </c>
      <c r="C980" s="1" t="s">
        <v>1848</v>
      </c>
      <c r="D980" s="1" t="s">
        <v>1622</v>
      </c>
      <c r="E980" s="1" t="s">
        <v>1596</v>
      </c>
    </row>
    <row r="981" spans="1:5" ht="36" customHeight="1">
      <c r="A981" s="1" t="s">
        <v>1580</v>
      </c>
      <c r="B981" s="1" t="s">
        <v>1714</v>
      </c>
      <c r="C981" s="1" t="s">
        <v>2008</v>
      </c>
      <c r="D981" s="1" t="s">
        <v>2337</v>
      </c>
      <c r="E981" s="1" t="s">
        <v>1596</v>
      </c>
    </row>
    <row r="982" spans="1:5" ht="36" customHeight="1">
      <c r="A982" s="1" t="s">
        <v>1580</v>
      </c>
      <c r="B982" s="1" t="s">
        <v>1714</v>
      </c>
      <c r="C982" s="1" t="s">
        <v>2338</v>
      </c>
      <c r="D982" s="1" t="s">
        <v>2339</v>
      </c>
      <c r="E982" s="1" t="s">
        <v>1596</v>
      </c>
    </row>
    <row r="983" spans="1:5" ht="36" customHeight="1">
      <c r="A983" s="1" t="s">
        <v>1580</v>
      </c>
      <c r="B983" s="1" t="s">
        <v>1714</v>
      </c>
      <c r="C983" s="1" t="s">
        <v>1850</v>
      </c>
      <c r="D983" s="1" t="s">
        <v>2340</v>
      </c>
      <c r="E983" s="1" t="s">
        <v>1596</v>
      </c>
    </row>
    <row r="984" spans="1:5" ht="36" customHeight="1">
      <c r="A984" s="1" t="s">
        <v>1580</v>
      </c>
      <c r="B984" s="1" t="s">
        <v>1714</v>
      </c>
      <c r="C984" s="1" t="s">
        <v>1748</v>
      </c>
      <c r="D984" s="1" t="s">
        <v>1828</v>
      </c>
      <c r="E984" s="1" t="s">
        <v>1596</v>
      </c>
    </row>
    <row r="985" spans="1:5" ht="36" customHeight="1">
      <c r="A985" s="1" t="s">
        <v>1580</v>
      </c>
      <c r="B985" s="1" t="s">
        <v>1714</v>
      </c>
      <c r="C985" s="1" t="s">
        <v>1750</v>
      </c>
      <c r="D985" s="1" t="s">
        <v>1598</v>
      </c>
      <c r="E985" s="1" t="s">
        <v>1596</v>
      </c>
    </row>
    <row r="986" spans="1:5" ht="36" customHeight="1">
      <c r="A986" s="1" t="s">
        <v>1580</v>
      </c>
      <c r="B986" s="1" t="s">
        <v>1714</v>
      </c>
      <c r="C986" s="1" t="s">
        <v>1752</v>
      </c>
      <c r="D986" s="1" t="s">
        <v>1600</v>
      </c>
      <c r="E986" s="1" t="s">
        <v>1596</v>
      </c>
    </row>
    <row r="987" spans="1:5" ht="36" customHeight="1">
      <c r="A987" s="1" t="s">
        <v>1580</v>
      </c>
      <c r="B987" s="1" t="s">
        <v>1714</v>
      </c>
      <c r="C987" s="1" t="s">
        <v>2016</v>
      </c>
      <c r="D987" s="1" t="s">
        <v>1602</v>
      </c>
      <c r="E987" s="1" t="s">
        <v>1596</v>
      </c>
    </row>
    <row r="988" spans="1:5" ht="36" customHeight="1">
      <c r="A988" s="1" t="s">
        <v>1580</v>
      </c>
      <c r="B988" s="1" t="s">
        <v>1714</v>
      </c>
      <c r="C988" s="1" t="s">
        <v>2341</v>
      </c>
      <c r="D988" s="1" t="s">
        <v>1764</v>
      </c>
      <c r="E988" s="1" t="s">
        <v>1596</v>
      </c>
    </row>
    <row r="989" spans="1:5" ht="36" customHeight="1">
      <c r="A989" s="1" t="s">
        <v>1580</v>
      </c>
      <c r="B989" s="1" t="s">
        <v>1714</v>
      </c>
      <c r="C989" s="1" t="s">
        <v>1858</v>
      </c>
      <c r="D989" s="1" t="s">
        <v>1676</v>
      </c>
      <c r="E989" s="1" t="s">
        <v>1596</v>
      </c>
    </row>
    <row r="990" spans="1:5" ht="36" customHeight="1">
      <c r="A990" s="1" t="s">
        <v>1580</v>
      </c>
      <c r="B990" s="1" t="s">
        <v>1714</v>
      </c>
      <c r="C990" s="1" t="s">
        <v>1861</v>
      </c>
      <c r="D990" s="1" t="s">
        <v>1678</v>
      </c>
      <c r="E990" s="1" t="s">
        <v>1596</v>
      </c>
    </row>
    <row r="991" spans="1:5" ht="36" customHeight="1">
      <c r="A991" s="1" t="s">
        <v>1580</v>
      </c>
      <c r="B991" s="1" t="s">
        <v>1714</v>
      </c>
      <c r="C991" s="1" t="s">
        <v>2342</v>
      </c>
      <c r="D991" s="1" t="s">
        <v>1160</v>
      </c>
      <c r="E991" s="1" t="s">
        <v>1596</v>
      </c>
    </row>
    <row r="992" spans="1:5" ht="36" customHeight="1">
      <c r="A992" s="1" t="s">
        <v>1580</v>
      </c>
      <c r="B992" s="1" t="s">
        <v>1714</v>
      </c>
      <c r="C992" s="1" t="s">
        <v>2343</v>
      </c>
      <c r="D992" s="1" t="s">
        <v>1681</v>
      </c>
      <c r="E992" s="1" t="s">
        <v>1596</v>
      </c>
    </row>
    <row r="993" spans="1:5" ht="36" customHeight="1">
      <c r="A993" s="1" t="s">
        <v>1580</v>
      </c>
      <c r="B993" s="1" t="s">
        <v>1714</v>
      </c>
      <c r="C993" s="1" t="s">
        <v>2344</v>
      </c>
      <c r="D993" s="1" t="s">
        <v>1683</v>
      </c>
      <c r="E993" s="1" t="s">
        <v>1596</v>
      </c>
    </row>
    <row r="994" spans="1:5" ht="36" customHeight="1">
      <c r="A994" s="1" t="s">
        <v>1580</v>
      </c>
      <c r="B994" s="1" t="s">
        <v>1714</v>
      </c>
      <c r="C994" s="1" t="s">
        <v>1863</v>
      </c>
      <c r="D994" s="1" t="s">
        <v>1685</v>
      </c>
      <c r="E994" s="1" t="s">
        <v>1596</v>
      </c>
    </row>
    <row r="995" spans="1:5" ht="36" customHeight="1">
      <c r="A995" s="1" t="s">
        <v>1580</v>
      </c>
      <c r="B995" s="1" t="s">
        <v>1714</v>
      </c>
      <c r="C995" s="1" t="s">
        <v>1865</v>
      </c>
      <c r="D995" s="1" t="s">
        <v>1687</v>
      </c>
      <c r="E995" s="1" t="s">
        <v>1596</v>
      </c>
    </row>
    <row r="996" spans="1:5" ht="36" customHeight="1">
      <c r="A996" s="1" t="s">
        <v>1580</v>
      </c>
      <c r="B996" s="1" t="s">
        <v>1714</v>
      </c>
      <c r="C996" s="1" t="s">
        <v>1866</v>
      </c>
      <c r="D996" s="1" t="s">
        <v>1091</v>
      </c>
      <c r="E996" s="1" t="s">
        <v>1596</v>
      </c>
    </row>
    <row r="997" spans="1:5" ht="36" customHeight="1">
      <c r="A997" s="1" t="s">
        <v>1580</v>
      </c>
      <c r="B997" s="1" t="s">
        <v>1714</v>
      </c>
      <c r="C997" s="1" t="s">
        <v>1868</v>
      </c>
      <c r="D997" s="1" t="s">
        <v>1598</v>
      </c>
      <c r="E997" s="1" t="s">
        <v>1596</v>
      </c>
    </row>
    <row r="998" spans="1:5" ht="36" customHeight="1">
      <c r="A998" s="1" t="s">
        <v>1580</v>
      </c>
      <c r="B998" s="1" t="s">
        <v>1714</v>
      </c>
      <c r="C998" s="1" t="s">
        <v>2242</v>
      </c>
      <c r="D998" s="1" t="s">
        <v>1775</v>
      </c>
      <c r="E998" s="1" t="s">
        <v>1596</v>
      </c>
    </row>
    <row r="999" spans="1:5" ht="48" customHeight="1">
      <c r="A999" s="1" t="s">
        <v>1580</v>
      </c>
      <c r="B999" s="1" t="s">
        <v>1714</v>
      </c>
      <c r="C999" s="1" t="s">
        <v>2023</v>
      </c>
      <c r="D999" s="1" t="s">
        <v>2345</v>
      </c>
      <c r="E999" s="1" t="s">
        <v>1596</v>
      </c>
    </row>
    <row r="1000" spans="1:5" ht="36" customHeight="1">
      <c r="A1000" s="1" t="s">
        <v>1580</v>
      </c>
      <c r="B1000" s="1" t="s">
        <v>1714</v>
      </c>
      <c r="C1000" s="1" t="s">
        <v>2346</v>
      </c>
      <c r="D1000" s="1" t="s">
        <v>2347</v>
      </c>
      <c r="E1000" s="1" t="s">
        <v>1596</v>
      </c>
    </row>
    <row r="1001" spans="1:5" ht="36" customHeight="1">
      <c r="A1001" s="1" t="s">
        <v>1580</v>
      </c>
      <c r="B1001" s="1" t="s">
        <v>1714</v>
      </c>
      <c r="C1001" s="1" t="s">
        <v>2025</v>
      </c>
      <c r="D1001" s="1" t="s">
        <v>2348</v>
      </c>
      <c r="E1001" s="1" t="s">
        <v>1596</v>
      </c>
    </row>
    <row r="1002" spans="1:5" ht="36" customHeight="1">
      <c r="A1002" s="1" t="s">
        <v>1580</v>
      </c>
      <c r="B1002" s="1" t="s">
        <v>1714</v>
      </c>
      <c r="C1002" s="1" t="s">
        <v>2349</v>
      </c>
      <c r="D1002" s="1" t="s">
        <v>2350</v>
      </c>
      <c r="E1002" s="1" t="s">
        <v>1596</v>
      </c>
    </row>
    <row r="1003" spans="1:5" ht="36" customHeight="1">
      <c r="A1003" s="1" t="s">
        <v>1580</v>
      </c>
      <c r="B1003" s="1" t="s">
        <v>1714</v>
      </c>
      <c r="C1003" s="1" t="s">
        <v>2351</v>
      </c>
      <c r="D1003" s="1" t="s">
        <v>2352</v>
      </c>
      <c r="E1003" s="1" t="s">
        <v>1596</v>
      </c>
    </row>
    <row r="1004" spans="1:5" ht="36" customHeight="1">
      <c r="A1004" s="1" t="s">
        <v>1580</v>
      </c>
      <c r="B1004" s="1" t="s">
        <v>1714</v>
      </c>
      <c r="C1004" s="1" t="s">
        <v>2032</v>
      </c>
      <c r="D1004" s="1" t="s">
        <v>2353</v>
      </c>
      <c r="E1004" s="1" t="s">
        <v>1596</v>
      </c>
    </row>
    <row r="1005" spans="1:5" ht="36" customHeight="1">
      <c r="A1005" s="1" t="s">
        <v>1580</v>
      </c>
      <c r="B1005" s="1" t="s">
        <v>1714</v>
      </c>
      <c r="C1005" s="1" t="s">
        <v>2354</v>
      </c>
      <c r="D1005" s="1" t="s">
        <v>2350</v>
      </c>
      <c r="E1005" s="1" t="s">
        <v>1596</v>
      </c>
    </row>
    <row r="1006" spans="1:5" ht="36" customHeight="1">
      <c r="A1006" s="1" t="s">
        <v>1580</v>
      </c>
      <c r="B1006" s="1" t="s">
        <v>1714</v>
      </c>
      <c r="C1006" s="1" t="s">
        <v>2355</v>
      </c>
      <c r="D1006" s="1" t="s">
        <v>2356</v>
      </c>
      <c r="E1006" s="1" t="s">
        <v>1596</v>
      </c>
    </row>
    <row r="1007" spans="1:5" ht="36" customHeight="1">
      <c r="A1007" s="1" t="s">
        <v>1580</v>
      </c>
      <c r="B1007" s="1" t="s">
        <v>1714</v>
      </c>
      <c r="C1007" s="1" t="s">
        <v>2357</v>
      </c>
      <c r="D1007" s="1" t="s">
        <v>1423</v>
      </c>
      <c r="E1007" s="1" t="s">
        <v>1596</v>
      </c>
    </row>
    <row r="1008" spans="1:5" ht="36" customHeight="1">
      <c r="A1008" s="1" t="s">
        <v>1580</v>
      </c>
      <c r="B1008" s="1" t="s">
        <v>1714</v>
      </c>
      <c r="C1008" s="1" t="s">
        <v>2358</v>
      </c>
      <c r="D1008" s="1" t="s">
        <v>2359</v>
      </c>
      <c r="E1008" s="1" t="s">
        <v>1596</v>
      </c>
    </row>
    <row r="1009" spans="1:5" ht="36" customHeight="1">
      <c r="A1009" s="1" t="s">
        <v>1580</v>
      </c>
      <c r="B1009" s="1" t="s">
        <v>1714</v>
      </c>
      <c r="C1009" s="1" t="s">
        <v>2360</v>
      </c>
      <c r="D1009" s="1" t="s">
        <v>2361</v>
      </c>
      <c r="E1009" s="1" t="s">
        <v>1596</v>
      </c>
    </row>
    <row r="1010" spans="1:5" ht="36" customHeight="1">
      <c r="A1010" s="1" t="s">
        <v>1580</v>
      </c>
      <c r="B1010" s="1" t="s">
        <v>1714</v>
      </c>
      <c r="C1010" s="1" t="s">
        <v>2362</v>
      </c>
      <c r="D1010" s="1" t="s">
        <v>2363</v>
      </c>
      <c r="E1010" s="1" t="s">
        <v>1596</v>
      </c>
    </row>
    <row r="1011" spans="1:5" ht="36" customHeight="1">
      <c r="A1011" s="1" t="s">
        <v>1580</v>
      </c>
      <c r="B1011" s="1" t="s">
        <v>1714</v>
      </c>
      <c r="C1011" s="1" t="s">
        <v>2364</v>
      </c>
      <c r="D1011" s="1" t="s">
        <v>2365</v>
      </c>
      <c r="E1011" s="1" t="s">
        <v>1596</v>
      </c>
    </row>
    <row r="1012" spans="1:5" ht="36" customHeight="1">
      <c r="A1012" s="1" t="s">
        <v>1580</v>
      </c>
      <c r="B1012" s="1" t="s">
        <v>1714</v>
      </c>
      <c r="C1012" s="1" t="s">
        <v>2366</v>
      </c>
      <c r="D1012" s="1" t="s">
        <v>1668</v>
      </c>
      <c r="E1012" s="1" t="s">
        <v>1596</v>
      </c>
    </row>
    <row r="1013" spans="1:5" ht="36" customHeight="1">
      <c r="A1013" s="1" t="s">
        <v>1580</v>
      </c>
      <c r="B1013" s="1" t="s">
        <v>1714</v>
      </c>
      <c r="C1013" s="1" t="s">
        <v>2367</v>
      </c>
      <c r="D1013" s="1" t="s">
        <v>1670</v>
      </c>
      <c r="E1013" s="1" t="s">
        <v>1596</v>
      </c>
    </row>
    <row r="1014" spans="1:5" ht="36" customHeight="1">
      <c r="A1014" s="1" t="s">
        <v>1580</v>
      </c>
      <c r="B1014" s="1" t="s">
        <v>1714</v>
      </c>
      <c r="C1014" s="1" t="s">
        <v>2368</v>
      </c>
      <c r="D1014" s="1" t="s">
        <v>1672</v>
      </c>
      <c r="E1014" s="1" t="s">
        <v>1596</v>
      </c>
    </row>
    <row r="1015" spans="1:5" ht="36" customHeight="1">
      <c r="A1015" s="1" t="s">
        <v>1580</v>
      </c>
      <c r="B1015" s="1" t="s">
        <v>2369</v>
      </c>
      <c r="C1015" s="1" t="s">
        <v>1594</v>
      </c>
      <c r="D1015" s="1" t="s">
        <v>1828</v>
      </c>
      <c r="E1015" s="1" t="s">
        <v>1596</v>
      </c>
    </row>
    <row r="1016" spans="1:5" ht="36" customHeight="1">
      <c r="A1016" s="1" t="s">
        <v>1580</v>
      </c>
      <c r="B1016" s="1" t="s">
        <v>2369</v>
      </c>
      <c r="C1016" s="1" t="s">
        <v>1597</v>
      </c>
      <c r="D1016" s="1" t="s">
        <v>1598</v>
      </c>
      <c r="E1016" s="1" t="s">
        <v>1596</v>
      </c>
    </row>
    <row r="1017" spans="1:5" ht="36" customHeight="1">
      <c r="A1017" s="1" t="s">
        <v>1580</v>
      </c>
      <c r="B1017" s="1" t="s">
        <v>2369</v>
      </c>
      <c r="C1017" s="1" t="s">
        <v>1599</v>
      </c>
      <c r="D1017" s="1" t="s">
        <v>1600</v>
      </c>
      <c r="E1017" s="1" t="s">
        <v>1596</v>
      </c>
    </row>
    <row r="1018" spans="1:5" ht="36" customHeight="1">
      <c r="A1018" s="1" t="s">
        <v>1580</v>
      </c>
      <c r="B1018" s="1" t="s">
        <v>2369</v>
      </c>
      <c r="C1018" s="1" t="s">
        <v>1601</v>
      </c>
      <c r="D1018" s="1" t="s">
        <v>1602</v>
      </c>
      <c r="E1018" s="1" t="s">
        <v>1596</v>
      </c>
    </row>
    <row r="1019" spans="1:5" ht="36" customHeight="1">
      <c r="A1019" s="1" t="s">
        <v>1580</v>
      </c>
      <c r="B1019" s="1" t="s">
        <v>2369</v>
      </c>
      <c r="C1019" s="1" t="s">
        <v>1603</v>
      </c>
      <c r="D1019" s="1" t="s">
        <v>2370</v>
      </c>
      <c r="E1019" s="1" t="s">
        <v>1596</v>
      </c>
    </row>
    <row r="1020" spans="1:5" ht="36" customHeight="1">
      <c r="A1020" s="1" t="s">
        <v>1580</v>
      </c>
      <c r="B1020" s="1" t="s">
        <v>2369</v>
      </c>
      <c r="C1020" s="1" t="s">
        <v>1605</v>
      </c>
      <c r="D1020" s="1" t="s">
        <v>1676</v>
      </c>
      <c r="E1020" s="1" t="s">
        <v>1596</v>
      </c>
    </row>
    <row r="1021" spans="1:5" ht="36" customHeight="1">
      <c r="A1021" s="1" t="s">
        <v>1580</v>
      </c>
      <c r="B1021" s="1" t="s">
        <v>2369</v>
      </c>
      <c r="C1021" s="1" t="s">
        <v>1677</v>
      </c>
      <c r="D1021" s="1" t="s">
        <v>1678</v>
      </c>
      <c r="E1021" s="1" t="s">
        <v>1596</v>
      </c>
    </row>
    <row r="1022" spans="1:5" ht="36" customHeight="1">
      <c r="A1022" s="1" t="s">
        <v>1580</v>
      </c>
      <c r="B1022" s="1" t="s">
        <v>2369</v>
      </c>
      <c r="C1022" s="1" t="s">
        <v>1679</v>
      </c>
      <c r="D1022" s="1" t="s">
        <v>1160</v>
      </c>
      <c r="E1022" s="1" t="s">
        <v>1596</v>
      </c>
    </row>
    <row r="1023" spans="1:5" ht="36" customHeight="1">
      <c r="A1023" s="1" t="s">
        <v>1580</v>
      </c>
      <c r="B1023" s="1" t="s">
        <v>2369</v>
      </c>
      <c r="C1023" s="1" t="s">
        <v>1680</v>
      </c>
      <c r="D1023" s="1" t="s">
        <v>1681</v>
      </c>
      <c r="E1023" s="1" t="s">
        <v>1596</v>
      </c>
    </row>
    <row r="1024" spans="1:5" ht="36" customHeight="1">
      <c r="A1024" s="1" t="s">
        <v>1580</v>
      </c>
      <c r="B1024" s="1" t="s">
        <v>2369</v>
      </c>
      <c r="C1024" s="1" t="s">
        <v>1682</v>
      </c>
      <c r="D1024" s="1" t="s">
        <v>1683</v>
      </c>
      <c r="E1024" s="1" t="s">
        <v>1596</v>
      </c>
    </row>
    <row r="1025" spans="1:5" ht="36" customHeight="1">
      <c r="A1025" s="1" t="s">
        <v>1580</v>
      </c>
      <c r="B1025" s="1" t="s">
        <v>2369</v>
      </c>
      <c r="C1025" s="1" t="s">
        <v>1684</v>
      </c>
      <c r="D1025" s="1" t="s">
        <v>1685</v>
      </c>
      <c r="E1025" s="1" t="s">
        <v>1596</v>
      </c>
    </row>
    <row r="1026" spans="1:5" ht="36" customHeight="1">
      <c r="A1026" s="1" t="s">
        <v>1580</v>
      </c>
      <c r="B1026" s="1" t="s">
        <v>2369</v>
      </c>
      <c r="C1026" s="1" t="s">
        <v>1686</v>
      </c>
      <c r="D1026" s="1" t="s">
        <v>1687</v>
      </c>
      <c r="E1026" s="1" t="s">
        <v>1596</v>
      </c>
    </row>
    <row r="1027" spans="1:5" ht="36" customHeight="1">
      <c r="A1027" s="1" t="s">
        <v>1580</v>
      </c>
      <c r="B1027" s="1" t="s">
        <v>2369</v>
      </c>
      <c r="C1027" s="1" t="s">
        <v>1607</v>
      </c>
      <c r="D1027" s="1" t="s">
        <v>1091</v>
      </c>
      <c r="E1027" s="1" t="s">
        <v>1596</v>
      </c>
    </row>
    <row r="1028" spans="1:5" ht="36" customHeight="1">
      <c r="A1028" s="1" t="s">
        <v>1580</v>
      </c>
      <c r="B1028" s="1" t="s">
        <v>2369</v>
      </c>
      <c r="C1028" s="1" t="s">
        <v>1608</v>
      </c>
      <c r="D1028" s="1" t="s">
        <v>1598</v>
      </c>
      <c r="E1028" s="1" t="s">
        <v>1596</v>
      </c>
    </row>
    <row r="1029" spans="1:5" ht="36" customHeight="1">
      <c r="A1029" s="1" t="s">
        <v>1580</v>
      </c>
      <c r="B1029" s="1" t="s">
        <v>2369</v>
      </c>
      <c r="C1029" s="1" t="s">
        <v>1609</v>
      </c>
      <c r="D1029" s="1" t="s">
        <v>2371</v>
      </c>
      <c r="E1029" s="1" t="s">
        <v>1596</v>
      </c>
    </row>
    <row r="1030" spans="1:5" ht="36" customHeight="1">
      <c r="A1030" s="1" t="s">
        <v>1580</v>
      </c>
      <c r="B1030" s="1" t="s">
        <v>2369</v>
      </c>
      <c r="C1030" s="1" t="s">
        <v>1717</v>
      </c>
      <c r="D1030" s="1" t="s">
        <v>2372</v>
      </c>
      <c r="E1030" s="1" t="s">
        <v>1596</v>
      </c>
    </row>
    <row r="1031" spans="1:5" ht="63.95" customHeight="1">
      <c r="A1031" s="1" t="s">
        <v>1580</v>
      </c>
      <c r="B1031" s="1" t="s">
        <v>2369</v>
      </c>
      <c r="C1031" s="1" t="s">
        <v>1610</v>
      </c>
      <c r="D1031" s="1" t="s">
        <v>2373</v>
      </c>
      <c r="E1031" s="1" t="s">
        <v>1786</v>
      </c>
    </row>
    <row r="1032" spans="1:5" ht="36" customHeight="1">
      <c r="A1032" s="1" t="s">
        <v>1580</v>
      </c>
      <c r="B1032" s="1" t="s">
        <v>2369</v>
      </c>
      <c r="C1032" s="1" t="s">
        <v>1787</v>
      </c>
      <c r="D1032" s="1" t="s">
        <v>2374</v>
      </c>
      <c r="E1032" s="1" t="s">
        <v>1786</v>
      </c>
    </row>
    <row r="1033" spans="1:5" ht="36" customHeight="1">
      <c r="A1033" s="1" t="s">
        <v>1580</v>
      </c>
      <c r="B1033" s="1" t="s">
        <v>2369</v>
      </c>
      <c r="C1033" s="1" t="s">
        <v>1720</v>
      </c>
      <c r="D1033" s="1" t="s">
        <v>2375</v>
      </c>
      <c r="E1033" s="1" t="s">
        <v>1786</v>
      </c>
    </row>
    <row r="1034" spans="1:5" ht="36" customHeight="1">
      <c r="A1034" s="1" t="s">
        <v>1580</v>
      </c>
      <c r="B1034" s="1" t="s">
        <v>2369</v>
      </c>
      <c r="C1034" s="1" t="s">
        <v>1612</v>
      </c>
      <c r="D1034" s="1" t="s">
        <v>2376</v>
      </c>
      <c r="E1034" s="1" t="s">
        <v>1596</v>
      </c>
    </row>
    <row r="1035" spans="1:5" ht="36" customHeight="1">
      <c r="A1035" s="1" t="s">
        <v>1580</v>
      </c>
      <c r="B1035" s="1" t="s">
        <v>2369</v>
      </c>
      <c r="C1035" s="1" t="s">
        <v>1614</v>
      </c>
      <c r="D1035" s="1" t="s">
        <v>1622</v>
      </c>
      <c r="E1035" s="1" t="s">
        <v>1596</v>
      </c>
    </row>
    <row r="1036" spans="1:5" ht="36" customHeight="1">
      <c r="A1036" s="1" t="s">
        <v>1580</v>
      </c>
      <c r="B1036" s="1" t="s">
        <v>2369</v>
      </c>
      <c r="C1036" s="1" t="s">
        <v>1791</v>
      </c>
      <c r="D1036" s="1" t="s">
        <v>1792</v>
      </c>
      <c r="E1036" s="1" t="s">
        <v>1596</v>
      </c>
    </row>
    <row r="1037" spans="1:5" ht="48" customHeight="1">
      <c r="A1037" s="1" t="s">
        <v>1580</v>
      </c>
      <c r="B1037" s="1" t="s">
        <v>2369</v>
      </c>
      <c r="C1037" s="1" t="s">
        <v>1617</v>
      </c>
      <c r="D1037" s="1" t="s">
        <v>2377</v>
      </c>
      <c r="E1037" s="1" t="s">
        <v>1786</v>
      </c>
    </row>
    <row r="1038" spans="1:5" ht="36" customHeight="1">
      <c r="A1038" s="1" t="s">
        <v>1580</v>
      </c>
      <c r="B1038" s="1" t="s">
        <v>2369</v>
      </c>
      <c r="C1038" s="1" t="s">
        <v>1619</v>
      </c>
      <c r="D1038" s="1" t="s">
        <v>2378</v>
      </c>
      <c r="E1038" s="1" t="s">
        <v>1596</v>
      </c>
    </row>
    <row r="1039" spans="1:5" ht="36" customHeight="1">
      <c r="A1039" s="1" t="s">
        <v>1580</v>
      </c>
      <c r="B1039" s="1" t="s">
        <v>2369</v>
      </c>
      <c r="C1039" s="1" t="s">
        <v>1621</v>
      </c>
      <c r="D1039" s="1" t="s">
        <v>1622</v>
      </c>
      <c r="E1039" s="1" t="s">
        <v>1596</v>
      </c>
    </row>
    <row r="1040" spans="1:5" ht="36" customHeight="1">
      <c r="A1040" s="1" t="s">
        <v>1580</v>
      </c>
      <c r="B1040" s="1" t="s">
        <v>2369</v>
      </c>
      <c r="C1040" s="1" t="s">
        <v>1722</v>
      </c>
      <c r="D1040" s="1" t="s">
        <v>1798</v>
      </c>
      <c r="E1040" s="1" t="s">
        <v>1596</v>
      </c>
    </row>
    <row r="1041" spans="1:5" ht="48" customHeight="1">
      <c r="A1041" s="1" t="s">
        <v>1580</v>
      </c>
      <c r="B1041" s="1" t="s">
        <v>2369</v>
      </c>
      <c r="C1041" s="1" t="s">
        <v>1624</v>
      </c>
      <c r="D1041" s="1" t="s">
        <v>2379</v>
      </c>
      <c r="E1041" s="1" t="s">
        <v>1786</v>
      </c>
    </row>
    <row r="1042" spans="1:5" ht="36" customHeight="1">
      <c r="A1042" s="1" t="s">
        <v>1580</v>
      </c>
      <c r="B1042" s="1" t="s">
        <v>2369</v>
      </c>
      <c r="C1042" s="1" t="s">
        <v>1800</v>
      </c>
      <c r="D1042" s="1" t="s">
        <v>2380</v>
      </c>
      <c r="E1042" s="1" t="s">
        <v>1786</v>
      </c>
    </row>
    <row r="1043" spans="1:5" ht="36" customHeight="1">
      <c r="A1043" s="1" t="s">
        <v>1580</v>
      </c>
      <c r="B1043" s="1" t="s">
        <v>2369</v>
      </c>
      <c r="C1043" s="1" t="s">
        <v>1801</v>
      </c>
      <c r="D1043" s="1" t="s">
        <v>2381</v>
      </c>
      <c r="E1043" s="1" t="s">
        <v>1786</v>
      </c>
    </row>
    <row r="1044" spans="1:5" ht="36" customHeight="1">
      <c r="A1044" s="1" t="s">
        <v>1580</v>
      </c>
      <c r="B1044" s="1" t="s">
        <v>2369</v>
      </c>
      <c r="C1044" s="1" t="s">
        <v>1626</v>
      </c>
      <c r="D1044" s="1" t="s">
        <v>2382</v>
      </c>
      <c r="E1044" s="1" t="s">
        <v>1596</v>
      </c>
    </row>
    <row r="1045" spans="1:5" ht="36" customHeight="1">
      <c r="A1045" s="1" t="s">
        <v>1580</v>
      </c>
      <c r="B1045" s="1" t="s">
        <v>2369</v>
      </c>
      <c r="C1045" s="1" t="s">
        <v>1628</v>
      </c>
      <c r="D1045" s="1" t="s">
        <v>1622</v>
      </c>
      <c r="E1045" s="1" t="s">
        <v>1596</v>
      </c>
    </row>
    <row r="1046" spans="1:5" ht="36" customHeight="1">
      <c r="A1046" s="1" t="s">
        <v>1580</v>
      </c>
      <c r="B1046" s="1" t="s">
        <v>2369</v>
      </c>
      <c r="C1046" s="1" t="s">
        <v>1802</v>
      </c>
      <c r="D1046" s="1" t="s">
        <v>1803</v>
      </c>
      <c r="E1046" s="1" t="s">
        <v>1596</v>
      </c>
    </row>
    <row r="1047" spans="1:5" ht="48" customHeight="1">
      <c r="A1047" s="1" t="s">
        <v>1580</v>
      </c>
      <c r="B1047" s="1" t="s">
        <v>2369</v>
      </c>
      <c r="C1047" s="1" t="s">
        <v>1632</v>
      </c>
      <c r="D1047" s="1" t="s">
        <v>2383</v>
      </c>
      <c r="E1047" s="1" t="s">
        <v>1786</v>
      </c>
    </row>
    <row r="1048" spans="1:5" ht="36" customHeight="1">
      <c r="A1048" s="1" t="s">
        <v>1580</v>
      </c>
      <c r="B1048" s="1" t="s">
        <v>2369</v>
      </c>
      <c r="C1048" s="1" t="s">
        <v>1805</v>
      </c>
      <c r="D1048" s="1" t="s">
        <v>2374</v>
      </c>
      <c r="E1048" s="1" t="s">
        <v>1786</v>
      </c>
    </row>
    <row r="1049" spans="1:5" ht="36" customHeight="1">
      <c r="A1049" s="1" t="s">
        <v>1580</v>
      </c>
      <c r="B1049" s="1" t="s">
        <v>2369</v>
      </c>
      <c r="C1049" s="1" t="s">
        <v>1806</v>
      </c>
      <c r="D1049" s="1" t="s">
        <v>2375</v>
      </c>
      <c r="E1049" s="1" t="s">
        <v>1786</v>
      </c>
    </row>
    <row r="1050" spans="1:5" ht="36" customHeight="1">
      <c r="A1050" s="1" t="s">
        <v>1580</v>
      </c>
      <c r="B1050" s="1" t="s">
        <v>2369</v>
      </c>
      <c r="C1050" s="1" t="s">
        <v>1634</v>
      </c>
      <c r="D1050" s="1" t="s">
        <v>2384</v>
      </c>
      <c r="E1050" s="1" t="s">
        <v>1596</v>
      </c>
    </row>
    <row r="1051" spans="1:5" ht="36" customHeight="1">
      <c r="A1051" s="1" t="s">
        <v>1580</v>
      </c>
      <c r="B1051" s="1" t="s">
        <v>2369</v>
      </c>
      <c r="C1051" s="1" t="s">
        <v>1635</v>
      </c>
      <c r="D1051" s="1" t="s">
        <v>1622</v>
      </c>
      <c r="E1051" s="1" t="s">
        <v>1596</v>
      </c>
    </row>
    <row r="1052" spans="1:5" ht="36" customHeight="1">
      <c r="A1052" s="1" t="s">
        <v>1580</v>
      </c>
      <c r="B1052" s="1" t="s">
        <v>2369</v>
      </c>
      <c r="C1052" s="1" t="s">
        <v>1724</v>
      </c>
      <c r="D1052" s="1" t="s">
        <v>2077</v>
      </c>
      <c r="E1052" s="1" t="s">
        <v>1596</v>
      </c>
    </row>
    <row r="1053" spans="1:5" ht="48" customHeight="1">
      <c r="A1053" s="1" t="s">
        <v>1580</v>
      </c>
      <c r="B1053" s="1" t="s">
        <v>2369</v>
      </c>
      <c r="C1053" s="1" t="s">
        <v>1638</v>
      </c>
      <c r="D1053" s="1" t="s">
        <v>2385</v>
      </c>
      <c r="E1053" s="1" t="s">
        <v>1786</v>
      </c>
    </row>
    <row r="1054" spans="1:5" ht="36" customHeight="1">
      <c r="A1054" s="1" t="s">
        <v>1580</v>
      </c>
      <c r="B1054" s="1" t="s">
        <v>2369</v>
      </c>
      <c r="C1054" s="1" t="s">
        <v>1913</v>
      </c>
      <c r="D1054" s="1" t="s">
        <v>2049</v>
      </c>
      <c r="E1054" s="1" t="s">
        <v>1596</v>
      </c>
    </row>
    <row r="1055" spans="1:5" ht="48" customHeight="1">
      <c r="A1055" s="1" t="s">
        <v>1580</v>
      </c>
      <c r="B1055" s="1" t="s">
        <v>2369</v>
      </c>
      <c r="C1055" s="1" t="s">
        <v>1645</v>
      </c>
      <c r="D1055" s="1" t="s">
        <v>2386</v>
      </c>
      <c r="E1055" s="1" t="s">
        <v>1786</v>
      </c>
    </row>
    <row r="1056" spans="1:5" ht="36" customHeight="1">
      <c r="A1056" s="1" t="s">
        <v>1580</v>
      </c>
      <c r="B1056" s="1" t="s">
        <v>2369</v>
      </c>
      <c r="C1056" s="1" t="s">
        <v>1726</v>
      </c>
      <c r="D1056" s="1" t="s">
        <v>1823</v>
      </c>
      <c r="E1056" s="1" t="s">
        <v>1596</v>
      </c>
    </row>
    <row r="1057" spans="1:5" ht="36" customHeight="1">
      <c r="A1057" s="1" t="s">
        <v>1580</v>
      </c>
      <c r="B1057" s="1" t="s">
        <v>2369</v>
      </c>
      <c r="C1057" s="1" t="s">
        <v>1651</v>
      </c>
      <c r="D1057" s="1" t="s">
        <v>2387</v>
      </c>
      <c r="E1057" s="1" t="s">
        <v>1786</v>
      </c>
    </row>
    <row r="1058" spans="1:5" ht="36" customHeight="1">
      <c r="A1058" s="1" t="s">
        <v>1580</v>
      </c>
      <c r="B1058" s="1" t="s">
        <v>2369</v>
      </c>
      <c r="C1058" s="1" t="s">
        <v>1658</v>
      </c>
      <c r="D1058" s="1" t="s">
        <v>1828</v>
      </c>
      <c r="E1058" s="1" t="s">
        <v>1596</v>
      </c>
    </row>
    <row r="1059" spans="1:5" ht="36" customHeight="1">
      <c r="A1059" s="1" t="s">
        <v>1580</v>
      </c>
      <c r="B1059" s="1" t="s">
        <v>2369</v>
      </c>
      <c r="C1059" s="1" t="s">
        <v>1660</v>
      </c>
      <c r="D1059" s="1" t="s">
        <v>1598</v>
      </c>
      <c r="E1059" s="1" t="s">
        <v>1596</v>
      </c>
    </row>
    <row r="1060" spans="1:5" ht="36" customHeight="1">
      <c r="A1060" s="1" t="s">
        <v>1580</v>
      </c>
      <c r="B1060" s="1" t="s">
        <v>2369</v>
      </c>
      <c r="C1060" s="1" t="s">
        <v>1661</v>
      </c>
      <c r="D1060" s="1" t="s">
        <v>1600</v>
      </c>
      <c r="E1060" s="1" t="s">
        <v>1596</v>
      </c>
    </row>
    <row r="1061" spans="1:5" ht="36" customHeight="1">
      <c r="A1061" s="1" t="s">
        <v>1580</v>
      </c>
      <c r="B1061" s="1" t="s">
        <v>2369</v>
      </c>
      <c r="C1061" s="1" t="s">
        <v>1665</v>
      </c>
      <c r="D1061" s="1" t="s">
        <v>1602</v>
      </c>
      <c r="E1061" s="1" t="s">
        <v>1596</v>
      </c>
    </row>
    <row r="1062" spans="1:5" ht="36" customHeight="1">
      <c r="A1062" s="1" t="s">
        <v>1580</v>
      </c>
      <c r="B1062" s="1" t="s">
        <v>2369</v>
      </c>
      <c r="C1062" s="1" t="s">
        <v>1666</v>
      </c>
      <c r="D1062" s="1" t="s">
        <v>1764</v>
      </c>
      <c r="E1062" s="1" t="s">
        <v>1596</v>
      </c>
    </row>
    <row r="1063" spans="1:5" ht="36" customHeight="1">
      <c r="A1063" s="1" t="s">
        <v>1580</v>
      </c>
      <c r="B1063" s="1" t="s">
        <v>2369</v>
      </c>
      <c r="C1063" s="1" t="s">
        <v>1699</v>
      </c>
      <c r="D1063" s="1" t="s">
        <v>1676</v>
      </c>
      <c r="E1063" s="1" t="s">
        <v>1596</v>
      </c>
    </row>
    <row r="1064" spans="1:5" ht="36" customHeight="1">
      <c r="A1064" s="1" t="s">
        <v>1580</v>
      </c>
      <c r="B1064" s="1" t="s">
        <v>2369</v>
      </c>
      <c r="C1064" s="1" t="s">
        <v>1701</v>
      </c>
      <c r="D1064" s="1" t="s">
        <v>1678</v>
      </c>
      <c r="E1064" s="1" t="s">
        <v>1596</v>
      </c>
    </row>
    <row r="1065" spans="1:5" ht="36" customHeight="1">
      <c r="A1065" s="1" t="s">
        <v>1580</v>
      </c>
      <c r="B1065" s="1" t="s">
        <v>2369</v>
      </c>
      <c r="C1065" s="1" t="s">
        <v>1934</v>
      </c>
      <c r="D1065" s="1" t="s">
        <v>1160</v>
      </c>
      <c r="E1065" s="1" t="s">
        <v>1596</v>
      </c>
    </row>
    <row r="1066" spans="1:5" ht="36" customHeight="1">
      <c r="A1066" s="1" t="s">
        <v>1580</v>
      </c>
      <c r="B1066" s="1" t="s">
        <v>2369</v>
      </c>
      <c r="C1066" s="1" t="s">
        <v>1935</v>
      </c>
      <c r="D1066" s="1" t="s">
        <v>1681</v>
      </c>
      <c r="E1066" s="1" t="s">
        <v>1596</v>
      </c>
    </row>
    <row r="1067" spans="1:5" ht="36" customHeight="1">
      <c r="A1067" s="1" t="s">
        <v>1580</v>
      </c>
      <c r="B1067" s="1" t="s">
        <v>2369</v>
      </c>
      <c r="C1067" s="1" t="s">
        <v>1936</v>
      </c>
      <c r="D1067" s="1" t="s">
        <v>1683</v>
      </c>
      <c r="E1067" s="1" t="s">
        <v>1596</v>
      </c>
    </row>
    <row r="1068" spans="1:5" ht="36" customHeight="1">
      <c r="A1068" s="1" t="s">
        <v>1580</v>
      </c>
      <c r="B1068" s="1" t="s">
        <v>2369</v>
      </c>
      <c r="C1068" s="1" t="s">
        <v>2133</v>
      </c>
      <c r="D1068" s="1" t="s">
        <v>1685</v>
      </c>
      <c r="E1068" s="1" t="s">
        <v>1596</v>
      </c>
    </row>
    <row r="1069" spans="1:5" ht="36" customHeight="1">
      <c r="A1069" s="1" t="s">
        <v>1580</v>
      </c>
      <c r="B1069" s="1" t="s">
        <v>2369</v>
      </c>
      <c r="C1069" s="1" t="s">
        <v>2388</v>
      </c>
      <c r="D1069" s="1" t="s">
        <v>1687</v>
      </c>
      <c r="E1069" s="1" t="s">
        <v>1596</v>
      </c>
    </row>
    <row r="1070" spans="1:5" ht="36" customHeight="1">
      <c r="A1070" s="1" t="s">
        <v>1580</v>
      </c>
      <c r="B1070" s="1" t="s">
        <v>2369</v>
      </c>
      <c r="C1070" s="1" t="s">
        <v>1703</v>
      </c>
      <c r="D1070" s="1" t="s">
        <v>1091</v>
      </c>
      <c r="E1070" s="1" t="s">
        <v>1596</v>
      </c>
    </row>
    <row r="1071" spans="1:5" ht="36" customHeight="1">
      <c r="A1071" s="1" t="s">
        <v>1580</v>
      </c>
      <c r="B1071" s="1" t="s">
        <v>2369</v>
      </c>
      <c r="C1071" s="1" t="s">
        <v>1704</v>
      </c>
      <c r="D1071" s="1" t="s">
        <v>1598</v>
      </c>
      <c r="E1071" s="1" t="s">
        <v>1596</v>
      </c>
    </row>
    <row r="1072" spans="1:5" ht="36" customHeight="1">
      <c r="A1072" s="1" t="s">
        <v>1580</v>
      </c>
      <c r="B1072" s="1" t="s">
        <v>2369</v>
      </c>
      <c r="C1072" s="1" t="s">
        <v>1948</v>
      </c>
      <c r="D1072" s="1" t="s">
        <v>2371</v>
      </c>
      <c r="E1072" s="1" t="s">
        <v>1596</v>
      </c>
    </row>
    <row r="1073" spans="1:5" ht="36" customHeight="1">
      <c r="A1073" s="1" t="s">
        <v>1580</v>
      </c>
      <c r="B1073" s="1" t="s">
        <v>2369</v>
      </c>
      <c r="C1073" s="1" t="s">
        <v>1822</v>
      </c>
      <c r="D1073" s="1" t="s">
        <v>2389</v>
      </c>
      <c r="E1073" s="1" t="s">
        <v>1596</v>
      </c>
    </row>
    <row r="1074" spans="1:5" ht="36" customHeight="1">
      <c r="A1074" s="1" t="s">
        <v>1580</v>
      </c>
      <c r="B1074" s="1" t="s">
        <v>2369</v>
      </c>
      <c r="C1074" s="1" t="s">
        <v>1824</v>
      </c>
      <c r="D1074" s="1" t="s">
        <v>2390</v>
      </c>
      <c r="E1074" s="1" t="s">
        <v>1786</v>
      </c>
    </row>
    <row r="1075" spans="1:5" ht="36" customHeight="1">
      <c r="A1075" s="1" t="s">
        <v>1580</v>
      </c>
      <c r="B1075" s="1" t="s">
        <v>2369</v>
      </c>
      <c r="C1075" s="1" t="s">
        <v>1826</v>
      </c>
      <c r="D1075" s="1" t="s">
        <v>2391</v>
      </c>
      <c r="E1075" s="1" t="s">
        <v>1786</v>
      </c>
    </row>
    <row r="1076" spans="1:5" ht="36" customHeight="1">
      <c r="A1076" s="1" t="s">
        <v>1580</v>
      </c>
      <c r="B1076" s="1" t="s">
        <v>2369</v>
      </c>
      <c r="C1076" s="1" t="s">
        <v>1827</v>
      </c>
      <c r="D1076" s="1" t="s">
        <v>2391</v>
      </c>
      <c r="E1076" s="1" t="s">
        <v>1786</v>
      </c>
    </row>
    <row r="1077" spans="1:5" ht="36" customHeight="1">
      <c r="A1077" s="1" t="s">
        <v>1580</v>
      </c>
      <c r="B1077" s="1" t="s">
        <v>2369</v>
      </c>
      <c r="C1077" s="1" t="s">
        <v>2392</v>
      </c>
      <c r="D1077" s="1" t="s">
        <v>2391</v>
      </c>
      <c r="E1077" s="1" t="s">
        <v>1596</v>
      </c>
    </row>
    <row r="1078" spans="1:5" ht="36" customHeight="1">
      <c r="A1078" s="1" t="s">
        <v>1580</v>
      </c>
      <c r="B1078" s="1" t="s">
        <v>2369</v>
      </c>
      <c r="C1078" s="1" t="s">
        <v>2393</v>
      </c>
      <c r="D1078" s="1" t="s">
        <v>2391</v>
      </c>
      <c r="E1078" s="1" t="s">
        <v>1596</v>
      </c>
    </row>
    <row r="1079" spans="1:5" ht="36" customHeight="1">
      <c r="A1079" s="1" t="s">
        <v>1580</v>
      </c>
      <c r="B1079" s="1" t="s">
        <v>2369</v>
      </c>
      <c r="C1079" s="1" t="s">
        <v>1734</v>
      </c>
      <c r="D1079" s="1" t="s">
        <v>2394</v>
      </c>
      <c r="E1079" s="1" t="s">
        <v>1596</v>
      </c>
    </row>
    <row r="1080" spans="1:5" ht="36" customHeight="1">
      <c r="A1080" s="1" t="s">
        <v>1580</v>
      </c>
      <c r="B1080" s="1" t="s">
        <v>2369</v>
      </c>
      <c r="C1080" s="1" t="s">
        <v>1706</v>
      </c>
      <c r="D1080" s="1" t="s">
        <v>2395</v>
      </c>
      <c r="E1080" s="1" t="s">
        <v>1596</v>
      </c>
    </row>
    <row r="1081" spans="1:5" ht="36" customHeight="1">
      <c r="A1081" s="1" t="s">
        <v>1580</v>
      </c>
      <c r="B1081" s="1" t="s">
        <v>2369</v>
      </c>
      <c r="C1081" s="1" t="s">
        <v>2325</v>
      </c>
      <c r="D1081" s="1" t="s">
        <v>2396</v>
      </c>
      <c r="E1081" s="1" t="s">
        <v>1596</v>
      </c>
    </row>
    <row r="1082" spans="1:5" ht="36" customHeight="1">
      <c r="A1082" s="1" t="s">
        <v>1580</v>
      </c>
      <c r="B1082" s="1" t="s">
        <v>2369</v>
      </c>
      <c r="C1082" s="1" t="s">
        <v>2327</v>
      </c>
      <c r="D1082" s="1" t="s">
        <v>2397</v>
      </c>
      <c r="E1082" s="1" t="s">
        <v>1596</v>
      </c>
    </row>
    <row r="1083" spans="1:5" ht="36" customHeight="1">
      <c r="A1083" s="1" t="s">
        <v>1580</v>
      </c>
      <c r="B1083" s="1" t="s">
        <v>2369</v>
      </c>
      <c r="C1083" s="1" t="s">
        <v>1708</v>
      </c>
      <c r="D1083" s="1" t="s">
        <v>1397</v>
      </c>
      <c r="E1083" s="1" t="s">
        <v>1596</v>
      </c>
    </row>
    <row r="1084" spans="1:5" ht="36" customHeight="1">
      <c r="A1084" s="1" t="s">
        <v>1580</v>
      </c>
      <c r="B1084" s="1" t="s">
        <v>2369</v>
      </c>
      <c r="C1084" s="1" t="s">
        <v>1710</v>
      </c>
      <c r="D1084" s="1" t="s">
        <v>2359</v>
      </c>
      <c r="E1084" s="1" t="s">
        <v>1596</v>
      </c>
    </row>
    <row r="1085" spans="1:5" ht="36" customHeight="1">
      <c r="A1085" s="1" t="s">
        <v>1580</v>
      </c>
      <c r="B1085" s="1" t="s">
        <v>2369</v>
      </c>
      <c r="C1085" s="1" t="s">
        <v>2303</v>
      </c>
      <c r="D1085" s="1" t="s">
        <v>2398</v>
      </c>
      <c r="E1085" s="1" t="s">
        <v>1596</v>
      </c>
    </row>
    <row r="1086" spans="1:5" ht="48" customHeight="1">
      <c r="A1086" s="1" t="s">
        <v>1580</v>
      </c>
      <c r="B1086" s="1" t="s">
        <v>2369</v>
      </c>
      <c r="C1086" s="1" t="s">
        <v>2304</v>
      </c>
      <c r="D1086" s="1" t="s">
        <v>2399</v>
      </c>
      <c r="E1086" s="1" t="s">
        <v>1786</v>
      </c>
    </row>
    <row r="1087" spans="1:5" ht="36" customHeight="1">
      <c r="A1087" s="1" t="s">
        <v>1580</v>
      </c>
      <c r="B1087" s="1" t="s">
        <v>2369</v>
      </c>
      <c r="C1087" s="1" t="s">
        <v>2400</v>
      </c>
      <c r="D1087" s="1" t="s">
        <v>2401</v>
      </c>
      <c r="E1087" s="1" t="s">
        <v>1786</v>
      </c>
    </row>
    <row r="1088" spans="1:5" ht="36" customHeight="1">
      <c r="A1088" s="1" t="s">
        <v>1580</v>
      </c>
      <c r="B1088" s="1" t="s">
        <v>2369</v>
      </c>
      <c r="C1088" s="1" t="s">
        <v>2329</v>
      </c>
      <c r="D1088" s="1" t="s">
        <v>2402</v>
      </c>
      <c r="E1088" s="1" t="s">
        <v>1786</v>
      </c>
    </row>
    <row r="1089" spans="1:5" ht="36" customHeight="1">
      <c r="A1089" s="1" t="s">
        <v>1580</v>
      </c>
      <c r="B1089" s="1" t="s">
        <v>2369</v>
      </c>
      <c r="C1089" s="1" t="s">
        <v>1829</v>
      </c>
      <c r="D1089" s="1" t="s">
        <v>1376</v>
      </c>
      <c r="E1089" s="1" t="s">
        <v>1596</v>
      </c>
    </row>
    <row r="1090" spans="1:5" ht="36" customHeight="1">
      <c r="A1090" s="1" t="s">
        <v>1580</v>
      </c>
      <c r="B1090" s="1" t="s">
        <v>2369</v>
      </c>
      <c r="C1090" s="1" t="s">
        <v>1830</v>
      </c>
      <c r="D1090" s="1" t="s">
        <v>1622</v>
      </c>
      <c r="E1090" s="1" t="s">
        <v>1596</v>
      </c>
    </row>
    <row r="1091" spans="1:5" ht="36" customHeight="1">
      <c r="A1091" s="1" t="s">
        <v>1580</v>
      </c>
      <c r="B1091" s="1" t="s">
        <v>2369</v>
      </c>
      <c r="C1091" s="1" t="s">
        <v>1737</v>
      </c>
      <c r="D1091" s="1" t="s">
        <v>1817</v>
      </c>
      <c r="E1091" s="1" t="s">
        <v>1596</v>
      </c>
    </row>
    <row r="1092" spans="1:5" ht="36" customHeight="1">
      <c r="A1092" s="1" t="s">
        <v>1580</v>
      </c>
      <c r="B1092" s="1" t="s">
        <v>2369</v>
      </c>
      <c r="C1092" s="1" t="s">
        <v>1739</v>
      </c>
      <c r="D1092" s="1" t="s">
        <v>2403</v>
      </c>
      <c r="E1092" s="1" t="s">
        <v>1786</v>
      </c>
    </row>
    <row r="1093" spans="1:5" ht="36" customHeight="1">
      <c r="A1093" s="1" t="s">
        <v>1580</v>
      </c>
      <c r="B1093" s="1" t="s">
        <v>2369</v>
      </c>
      <c r="C1093" s="1" t="s">
        <v>1836</v>
      </c>
      <c r="D1093" s="1" t="s">
        <v>2404</v>
      </c>
      <c r="E1093" s="1" t="s">
        <v>1786</v>
      </c>
    </row>
    <row r="1094" spans="1:5" ht="36" customHeight="1">
      <c r="A1094" s="1" t="s">
        <v>1580</v>
      </c>
      <c r="B1094" s="1" t="s">
        <v>2369</v>
      </c>
      <c r="C1094" s="1" t="s">
        <v>1837</v>
      </c>
      <c r="D1094" s="1" t="s">
        <v>2405</v>
      </c>
      <c r="E1094" s="1" t="s">
        <v>1786</v>
      </c>
    </row>
    <row r="1095" spans="1:5" ht="36" customHeight="1">
      <c r="A1095" s="1" t="s">
        <v>1580</v>
      </c>
      <c r="B1095" s="1" t="s">
        <v>2369</v>
      </c>
      <c r="C1095" s="1" t="s">
        <v>1838</v>
      </c>
      <c r="D1095" s="1" t="s">
        <v>2384</v>
      </c>
      <c r="E1095" s="1" t="s">
        <v>1596</v>
      </c>
    </row>
    <row r="1096" spans="1:5" ht="36" customHeight="1">
      <c r="A1096" s="1" t="s">
        <v>1580</v>
      </c>
      <c r="B1096" s="1" t="s">
        <v>2369</v>
      </c>
      <c r="C1096" s="1" t="s">
        <v>1839</v>
      </c>
      <c r="D1096" s="1" t="s">
        <v>1622</v>
      </c>
      <c r="E1096" s="1" t="s">
        <v>1596</v>
      </c>
    </row>
    <row r="1097" spans="1:5" ht="36" customHeight="1">
      <c r="A1097" s="1" t="s">
        <v>1580</v>
      </c>
      <c r="B1097" s="1" t="s">
        <v>2369</v>
      </c>
      <c r="C1097" s="1" t="s">
        <v>1980</v>
      </c>
      <c r="D1097" s="1" t="s">
        <v>2406</v>
      </c>
      <c r="E1097" s="1" t="s">
        <v>1596</v>
      </c>
    </row>
    <row r="1098" spans="1:5" ht="36" customHeight="1">
      <c r="A1098" s="1" t="s">
        <v>1580</v>
      </c>
      <c r="B1098" s="1" t="s">
        <v>2369</v>
      </c>
      <c r="C1098" s="1" t="s">
        <v>1982</v>
      </c>
      <c r="D1098" s="1" t="s">
        <v>2407</v>
      </c>
      <c r="E1098" s="1" t="s">
        <v>1786</v>
      </c>
    </row>
    <row r="1099" spans="1:5" ht="36" customHeight="1">
      <c r="A1099" s="1" t="s">
        <v>1580</v>
      </c>
      <c r="B1099" s="1" t="s">
        <v>2369</v>
      </c>
      <c r="C1099" s="1" t="s">
        <v>2408</v>
      </c>
      <c r="D1099" s="1" t="s">
        <v>2404</v>
      </c>
      <c r="E1099" s="1" t="s">
        <v>1786</v>
      </c>
    </row>
    <row r="1100" spans="1:5" ht="36" customHeight="1">
      <c r="A1100" s="1" t="s">
        <v>1580</v>
      </c>
      <c r="B1100" s="1" t="s">
        <v>2369</v>
      </c>
      <c r="C1100" s="1" t="s">
        <v>2409</v>
      </c>
      <c r="D1100" s="1" t="s">
        <v>2405</v>
      </c>
      <c r="E1100" s="1" t="s">
        <v>1786</v>
      </c>
    </row>
    <row r="1101" spans="1:5" ht="36" customHeight="1">
      <c r="A1101" s="1" t="s">
        <v>1580</v>
      </c>
      <c r="B1101" s="1" t="s">
        <v>2369</v>
      </c>
      <c r="C1101" s="1" t="s">
        <v>2410</v>
      </c>
      <c r="D1101" s="1" t="s">
        <v>2384</v>
      </c>
      <c r="E1101" s="1" t="s">
        <v>1596</v>
      </c>
    </row>
    <row r="1102" spans="1:5" ht="36" customHeight="1">
      <c r="A1102" s="1" t="s">
        <v>1580</v>
      </c>
      <c r="B1102" s="1" t="s">
        <v>2369</v>
      </c>
      <c r="C1102" s="1" t="s">
        <v>2411</v>
      </c>
      <c r="D1102" s="1" t="s">
        <v>1622</v>
      </c>
      <c r="E1102" s="1" t="s">
        <v>1596</v>
      </c>
    </row>
    <row r="1103" spans="1:5" ht="36" customHeight="1">
      <c r="A1103" s="1" t="s">
        <v>1580</v>
      </c>
      <c r="B1103" s="1" t="s">
        <v>2369</v>
      </c>
      <c r="C1103" s="1" t="s">
        <v>1840</v>
      </c>
      <c r="D1103" s="1" t="s">
        <v>2412</v>
      </c>
      <c r="E1103" s="1" t="s">
        <v>1596</v>
      </c>
    </row>
    <row r="1104" spans="1:5" ht="63.95" customHeight="1">
      <c r="A1104" s="1" t="s">
        <v>1580</v>
      </c>
      <c r="B1104" s="1" t="s">
        <v>2369</v>
      </c>
      <c r="C1104" s="1" t="s">
        <v>1741</v>
      </c>
      <c r="D1104" s="1" t="s">
        <v>2413</v>
      </c>
      <c r="E1104" s="1" t="s">
        <v>1786</v>
      </c>
    </row>
    <row r="1105" spans="1:5" ht="36" customHeight="1">
      <c r="A1105" s="1" t="s">
        <v>1580</v>
      </c>
      <c r="B1105" s="1" t="s">
        <v>2369</v>
      </c>
      <c r="C1105" s="1" t="s">
        <v>1842</v>
      </c>
      <c r="D1105" s="1" t="s">
        <v>2414</v>
      </c>
      <c r="E1105" s="1" t="s">
        <v>1786</v>
      </c>
    </row>
    <row r="1106" spans="1:5" ht="48" customHeight="1">
      <c r="A1106" s="1" t="s">
        <v>1580</v>
      </c>
      <c r="B1106" s="1" t="s">
        <v>2369</v>
      </c>
      <c r="C1106" s="1" t="s">
        <v>1743</v>
      </c>
      <c r="D1106" s="1" t="s">
        <v>2415</v>
      </c>
      <c r="E1106" s="1" t="s">
        <v>1786</v>
      </c>
    </row>
    <row r="1107" spans="1:5" ht="36" customHeight="1">
      <c r="A1107" s="1" t="s">
        <v>1580</v>
      </c>
      <c r="B1107" s="1" t="s">
        <v>2369</v>
      </c>
      <c r="C1107" s="1" t="s">
        <v>2232</v>
      </c>
      <c r="D1107" s="1" t="s">
        <v>2384</v>
      </c>
      <c r="E1107" s="1" t="s">
        <v>1596</v>
      </c>
    </row>
    <row r="1108" spans="1:5" ht="36" customHeight="1">
      <c r="A1108" s="1" t="s">
        <v>1580</v>
      </c>
      <c r="B1108" s="1" t="s">
        <v>2369</v>
      </c>
      <c r="C1108" s="1" t="s">
        <v>2234</v>
      </c>
      <c r="D1108" s="1" t="s">
        <v>1622</v>
      </c>
      <c r="E1108" s="1" t="s">
        <v>1596</v>
      </c>
    </row>
    <row r="1109" spans="1:5" ht="36" customHeight="1">
      <c r="A1109" s="1" t="s">
        <v>1580</v>
      </c>
      <c r="B1109" s="1" t="s">
        <v>2369</v>
      </c>
      <c r="C1109" s="1" t="s">
        <v>1993</v>
      </c>
      <c r="D1109" s="1" t="s">
        <v>1965</v>
      </c>
      <c r="E1109" s="1" t="s">
        <v>1596</v>
      </c>
    </row>
    <row r="1110" spans="1:5" ht="36" customHeight="1">
      <c r="A1110" s="1" t="s">
        <v>1580</v>
      </c>
      <c r="B1110" s="1" t="s">
        <v>2369</v>
      </c>
      <c r="C1110" s="1" t="s">
        <v>1995</v>
      </c>
      <c r="D1110" s="1" t="s">
        <v>2416</v>
      </c>
      <c r="E1110" s="1" t="s">
        <v>1786</v>
      </c>
    </row>
    <row r="1111" spans="1:5" ht="36" customHeight="1">
      <c r="A1111" s="1" t="s">
        <v>1580</v>
      </c>
      <c r="B1111" s="1" t="s">
        <v>2369</v>
      </c>
      <c r="C1111" s="1" t="s">
        <v>2417</v>
      </c>
      <c r="D1111" s="1" t="s">
        <v>2418</v>
      </c>
      <c r="E1111" s="1" t="s">
        <v>1786</v>
      </c>
    </row>
    <row r="1112" spans="1:5" ht="36" customHeight="1">
      <c r="A1112" s="1" t="s">
        <v>1580</v>
      </c>
      <c r="B1112" s="1" t="s">
        <v>2369</v>
      </c>
      <c r="C1112" s="1" t="s">
        <v>2419</v>
      </c>
      <c r="D1112" s="1" t="s">
        <v>2420</v>
      </c>
      <c r="E1112" s="1" t="s">
        <v>1786</v>
      </c>
    </row>
    <row r="1113" spans="1:5" ht="36" customHeight="1">
      <c r="A1113" s="1" t="s">
        <v>1580</v>
      </c>
      <c r="B1113" s="1" t="s">
        <v>2369</v>
      </c>
      <c r="C1113" s="1" t="s">
        <v>2421</v>
      </c>
      <c r="D1113" s="1" t="s">
        <v>2384</v>
      </c>
      <c r="E1113" s="1" t="s">
        <v>1596</v>
      </c>
    </row>
    <row r="1114" spans="1:5" ht="36" customHeight="1">
      <c r="A1114" s="1" t="s">
        <v>1580</v>
      </c>
      <c r="B1114" s="1" t="s">
        <v>2369</v>
      </c>
      <c r="C1114" s="1" t="s">
        <v>2422</v>
      </c>
      <c r="D1114" s="1" t="s">
        <v>1622</v>
      </c>
      <c r="E1114" s="1" t="s">
        <v>1596</v>
      </c>
    </row>
    <row r="1115" spans="1:5" ht="36" customHeight="1">
      <c r="A1115" s="1" t="s">
        <v>1580</v>
      </c>
      <c r="B1115" s="1" t="s">
        <v>2369</v>
      </c>
      <c r="C1115" s="1" t="s">
        <v>2000</v>
      </c>
      <c r="D1115" s="1" t="s">
        <v>1668</v>
      </c>
      <c r="E1115" s="1" t="s">
        <v>1596</v>
      </c>
    </row>
    <row r="1116" spans="1:5" ht="36" customHeight="1">
      <c r="A1116" s="1" t="s">
        <v>1580</v>
      </c>
      <c r="B1116" s="1" t="s">
        <v>2369</v>
      </c>
      <c r="C1116" s="1" t="s">
        <v>2423</v>
      </c>
      <c r="D1116" s="1" t="s">
        <v>1670</v>
      </c>
      <c r="E1116" s="1" t="s">
        <v>1596</v>
      </c>
    </row>
    <row r="1117" spans="1:5" ht="36" customHeight="1">
      <c r="A1117" s="1" t="s">
        <v>1580</v>
      </c>
      <c r="B1117" s="1" t="s">
        <v>2369</v>
      </c>
      <c r="C1117" s="1" t="s">
        <v>2424</v>
      </c>
      <c r="D1117" s="1" t="s">
        <v>1672</v>
      </c>
      <c r="E1117" s="1" t="s">
        <v>1596</v>
      </c>
    </row>
    <row r="1118" spans="1:5" ht="36" customHeight="1">
      <c r="A1118" s="1" t="s">
        <v>1580</v>
      </c>
      <c r="B1118" s="1" t="s">
        <v>2425</v>
      </c>
      <c r="C1118" s="1" t="s">
        <v>1594</v>
      </c>
      <c r="D1118" s="1" t="s">
        <v>1828</v>
      </c>
      <c r="E1118" s="1" t="s">
        <v>1596</v>
      </c>
    </row>
    <row r="1119" spans="1:5" ht="36" customHeight="1">
      <c r="A1119" s="1" t="s">
        <v>1580</v>
      </c>
      <c r="B1119" s="1" t="s">
        <v>2425</v>
      </c>
      <c r="C1119" s="1" t="s">
        <v>1597</v>
      </c>
      <c r="D1119" s="1" t="s">
        <v>1598</v>
      </c>
      <c r="E1119" s="1" t="s">
        <v>1596</v>
      </c>
    </row>
    <row r="1120" spans="1:5" ht="36" customHeight="1">
      <c r="A1120" s="1" t="s">
        <v>1580</v>
      </c>
      <c r="B1120" s="1" t="s">
        <v>2425</v>
      </c>
      <c r="C1120" s="1" t="s">
        <v>1599</v>
      </c>
      <c r="D1120" s="1" t="s">
        <v>1600</v>
      </c>
      <c r="E1120" s="1" t="s">
        <v>1596</v>
      </c>
    </row>
    <row r="1121" spans="1:5" ht="36" customHeight="1">
      <c r="A1121" s="1" t="s">
        <v>1580</v>
      </c>
      <c r="B1121" s="1" t="s">
        <v>2425</v>
      </c>
      <c r="C1121" s="1" t="s">
        <v>1601</v>
      </c>
      <c r="D1121" s="1" t="s">
        <v>1602</v>
      </c>
      <c r="E1121" s="1" t="s">
        <v>1596</v>
      </c>
    </row>
    <row r="1122" spans="1:5" ht="36" customHeight="1">
      <c r="A1122" s="1" t="s">
        <v>1580</v>
      </c>
      <c r="B1122" s="1" t="s">
        <v>2425</v>
      </c>
      <c r="C1122" s="1" t="s">
        <v>1603</v>
      </c>
      <c r="D1122" s="1" t="s">
        <v>2426</v>
      </c>
      <c r="E1122" s="1" t="s">
        <v>1596</v>
      </c>
    </row>
    <row r="1123" spans="1:5" ht="36" customHeight="1">
      <c r="A1123" s="1" t="s">
        <v>1580</v>
      </c>
      <c r="B1123" s="1" t="s">
        <v>2425</v>
      </c>
      <c r="C1123" s="1" t="s">
        <v>1605</v>
      </c>
      <c r="D1123" s="1" t="s">
        <v>1676</v>
      </c>
      <c r="E1123" s="1" t="s">
        <v>1596</v>
      </c>
    </row>
    <row r="1124" spans="1:5" ht="36" customHeight="1">
      <c r="A1124" s="1" t="s">
        <v>1580</v>
      </c>
      <c r="B1124" s="1" t="s">
        <v>2425</v>
      </c>
      <c r="C1124" s="1" t="s">
        <v>1677</v>
      </c>
      <c r="D1124" s="1" t="s">
        <v>1678</v>
      </c>
      <c r="E1124" s="1" t="s">
        <v>1596</v>
      </c>
    </row>
    <row r="1125" spans="1:5" ht="36" customHeight="1">
      <c r="A1125" s="1" t="s">
        <v>1580</v>
      </c>
      <c r="B1125" s="1" t="s">
        <v>2425</v>
      </c>
      <c r="C1125" s="1" t="s">
        <v>1679</v>
      </c>
      <c r="D1125" s="1" t="s">
        <v>1160</v>
      </c>
      <c r="E1125" s="1" t="s">
        <v>1596</v>
      </c>
    </row>
    <row r="1126" spans="1:5" ht="36" customHeight="1">
      <c r="A1126" s="1" t="s">
        <v>1580</v>
      </c>
      <c r="B1126" s="1" t="s">
        <v>2425</v>
      </c>
      <c r="C1126" s="1" t="s">
        <v>1680</v>
      </c>
      <c r="D1126" s="1" t="s">
        <v>1681</v>
      </c>
      <c r="E1126" s="1" t="s">
        <v>1596</v>
      </c>
    </row>
    <row r="1127" spans="1:5" ht="36" customHeight="1">
      <c r="A1127" s="1" t="s">
        <v>1580</v>
      </c>
      <c r="B1127" s="1" t="s">
        <v>2425</v>
      </c>
      <c r="C1127" s="1" t="s">
        <v>1682</v>
      </c>
      <c r="D1127" s="1" t="s">
        <v>1683</v>
      </c>
      <c r="E1127" s="1" t="s">
        <v>1596</v>
      </c>
    </row>
    <row r="1128" spans="1:5" ht="36" customHeight="1">
      <c r="A1128" s="1" t="s">
        <v>1580</v>
      </c>
      <c r="B1128" s="1" t="s">
        <v>2425</v>
      </c>
      <c r="C1128" s="1" t="s">
        <v>1684</v>
      </c>
      <c r="D1128" s="1" t="s">
        <v>1685</v>
      </c>
      <c r="E1128" s="1" t="s">
        <v>1596</v>
      </c>
    </row>
    <row r="1129" spans="1:5" ht="36" customHeight="1">
      <c r="A1129" s="1" t="s">
        <v>1580</v>
      </c>
      <c r="B1129" s="1" t="s">
        <v>2425</v>
      </c>
      <c r="C1129" s="1" t="s">
        <v>1686</v>
      </c>
      <c r="D1129" s="1" t="s">
        <v>1687</v>
      </c>
      <c r="E1129" s="1" t="s">
        <v>1596</v>
      </c>
    </row>
    <row r="1130" spans="1:5" ht="36" customHeight="1">
      <c r="A1130" s="1" t="s">
        <v>1580</v>
      </c>
      <c r="B1130" s="1" t="s">
        <v>2425</v>
      </c>
      <c r="C1130" s="1" t="s">
        <v>1607</v>
      </c>
      <c r="D1130" s="1" t="s">
        <v>1091</v>
      </c>
      <c r="E1130" s="1" t="s">
        <v>1596</v>
      </c>
    </row>
    <row r="1131" spans="1:5" ht="36" customHeight="1">
      <c r="A1131" s="1" t="s">
        <v>1580</v>
      </c>
      <c r="B1131" s="1" t="s">
        <v>2425</v>
      </c>
      <c r="C1131" s="1" t="s">
        <v>1608</v>
      </c>
      <c r="D1131" s="1" t="s">
        <v>1598</v>
      </c>
      <c r="E1131" s="1" t="s">
        <v>1596</v>
      </c>
    </row>
    <row r="1132" spans="1:5" ht="36" customHeight="1">
      <c r="A1132" s="1" t="s">
        <v>1580</v>
      </c>
      <c r="B1132" s="1" t="s">
        <v>2425</v>
      </c>
      <c r="C1132" s="1" t="s">
        <v>1609</v>
      </c>
      <c r="D1132" s="1" t="s">
        <v>2371</v>
      </c>
      <c r="E1132" s="1" t="s">
        <v>1596</v>
      </c>
    </row>
    <row r="1133" spans="1:5" ht="36" customHeight="1">
      <c r="A1133" s="1" t="s">
        <v>1580</v>
      </c>
      <c r="B1133" s="1" t="s">
        <v>2425</v>
      </c>
      <c r="C1133" s="1" t="s">
        <v>1717</v>
      </c>
      <c r="D1133" s="1" t="s">
        <v>1784</v>
      </c>
      <c r="E1133" s="1" t="s">
        <v>1596</v>
      </c>
    </row>
    <row r="1134" spans="1:5" ht="63.95" customHeight="1">
      <c r="A1134" s="1" t="s">
        <v>1580</v>
      </c>
      <c r="B1134" s="1" t="s">
        <v>2425</v>
      </c>
      <c r="C1134" s="1" t="s">
        <v>1610</v>
      </c>
      <c r="D1134" s="1" t="s">
        <v>2427</v>
      </c>
      <c r="E1134" s="1" t="s">
        <v>1786</v>
      </c>
    </row>
    <row r="1135" spans="1:5" ht="36" customHeight="1">
      <c r="A1135" s="1" t="s">
        <v>1580</v>
      </c>
      <c r="B1135" s="1" t="s">
        <v>2425</v>
      </c>
      <c r="C1135" s="1" t="s">
        <v>1787</v>
      </c>
      <c r="D1135" s="1" t="s">
        <v>1788</v>
      </c>
      <c r="E1135" s="1" t="s">
        <v>1786</v>
      </c>
    </row>
    <row r="1136" spans="1:5" ht="36" customHeight="1">
      <c r="A1136" s="1" t="s">
        <v>1580</v>
      </c>
      <c r="B1136" s="1" t="s">
        <v>2425</v>
      </c>
      <c r="C1136" s="1" t="s">
        <v>1720</v>
      </c>
      <c r="D1136" s="1" t="s">
        <v>2428</v>
      </c>
      <c r="E1136" s="1" t="s">
        <v>1786</v>
      </c>
    </row>
    <row r="1137" spans="1:5" ht="36" customHeight="1">
      <c r="A1137" s="1" t="s">
        <v>1580</v>
      </c>
      <c r="B1137" s="1" t="s">
        <v>2425</v>
      </c>
      <c r="C1137" s="1" t="s">
        <v>1612</v>
      </c>
      <c r="D1137" s="1" t="s">
        <v>1790</v>
      </c>
      <c r="E1137" s="1" t="s">
        <v>1596</v>
      </c>
    </row>
    <row r="1138" spans="1:5" ht="36" customHeight="1">
      <c r="A1138" s="1" t="s">
        <v>1580</v>
      </c>
      <c r="B1138" s="1" t="s">
        <v>2425</v>
      </c>
      <c r="C1138" s="1" t="s">
        <v>1614</v>
      </c>
      <c r="D1138" s="1" t="s">
        <v>1622</v>
      </c>
      <c r="E1138" s="1" t="s">
        <v>1596</v>
      </c>
    </row>
    <row r="1139" spans="1:5" ht="36" customHeight="1">
      <c r="A1139" s="1" t="s">
        <v>1580</v>
      </c>
      <c r="B1139" s="1" t="s">
        <v>2425</v>
      </c>
      <c r="C1139" s="1" t="s">
        <v>1791</v>
      </c>
      <c r="D1139" s="1" t="s">
        <v>1792</v>
      </c>
      <c r="E1139" s="1" t="s">
        <v>1596</v>
      </c>
    </row>
    <row r="1140" spans="1:5" ht="144" customHeight="1">
      <c r="A1140" s="1" t="s">
        <v>1580</v>
      </c>
      <c r="B1140" s="1" t="s">
        <v>2425</v>
      </c>
      <c r="C1140" s="1" t="s">
        <v>1617</v>
      </c>
      <c r="D1140" s="1" t="s">
        <v>2429</v>
      </c>
      <c r="E1140" s="1" t="s">
        <v>1786</v>
      </c>
    </row>
    <row r="1141" spans="1:5" ht="36" customHeight="1">
      <c r="A1141" s="1" t="s">
        <v>1580</v>
      </c>
      <c r="B1141" s="1" t="s">
        <v>2425</v>
      </c>
      <c r="C1141" s="1" t="s">
        <v>1793</v>
      </c>
      <c r="D1141" s="1" t="s">
        <v>1794</v>
      </c>
      <c r="E1141" s="1" t="s">
        <v>1786</v>
      </c>
    </row>
    <row r="1142" spans="1:5" ht="36" customHeight="1">
      <c r="A1142" s="1" t="s">
        <v>1580</v>
      </c>
      <c r="B1142" s="1" t="s">
        <v>2425</v>
      </c>
      <c r="C1142" s="1" t="s">
        <v>1795</v>
      </c>
      <c r="D1142" s="1" t="s">
        <v>1796</v>
      </c>
      <c r="E1142" s="1" t="s">
        <v>1786</v>
      </c>
    </row>
    <row r="1143" spans="1:5" ht="36" customHeight="1">
      <c r="A1143" s="1" t="s">
        <v>1580</v>
      </c>
      <c r="B1143" s="1" t="s">
        <v>2425</v>
      </c>
      <c r="C1143" s="1" t="s">
        <v>1619</v>
      </c>
      <c r="D1143" s="1" t="s">
        <v>558</v>
      </c>
      <c r="E1143" s="1" t="s">
        <v>1596</v>
      </c>
    </row>
    <row r="1144" spans="1:5" ht="36" customHeight="1">
      <c r="A1144" s="1" t="s">
        <v>1580</v>
      </c>
      <c r="B1144" s="1" t="s">
        <v>2425</v>
      </c>
      <c r="C1144" s="1" t="s">
        <v>1621</v>
      </c>
      <c r="D1144" s="1" t="s">
        <v>1797</v>
      </c>
      <c r="E1144" s="1" t="s">
        <v>1596</v>
      </c>
    </row>
    <row r="1145" spans="1:5" ht="36" customHeight="1">
      <c r="A1145" s="1" t="s">
        <v>1580</v>
      </c>
      <c r="B1145" s="1" t="s">
        <v>2425</v>
      </c>
      <c r="C1145" s="1" t="s">
        <v>1722</v>
      </c>
      <c r="D1145" s="1" t="s">
        <v>1798</v>
      </c>
      <c r="E1145" s="1" t="s">
        <v>1596</v>
      </c>
    </row>
    <row r="1146" spans="1:5" ht="63.95" customHeight="1">
      <c r="A1146" s="1" t="s">
        <v>1580</v>
      </c>
      <c r="B1146" s="1" t="s">
        <v>2425</v>
      </c>
      <c r="C1146" s="1" t="s">
        <v>1624</v>
      </c>
      <c r="D1146" s="1" t="s">
        <v>1799</v>
      </c>
      <c r="E1146" s="1" t="s">
        <v>1786</v>
      </c>
    </row>
    <row r="1147" spans="1:5" ht="36" customHeight="1">
      <c r="A1147" s="1" t="s">
        <v>1580</v>
      </c>
      <c r="B1147" s="1" t="s">
        <v>2425</v>
      </c>
      <c r="C1147" s="1" t="s">
        <v>1800</v>
      </c>
      <c r="D1147" s="1" t="s">
        <v>1794</v>
      </c>
      <c r="E1147" s="1" t="s">
        <v>1786</v>
      </c>
    </row>
    <row r="1148" spans="1:5" ht="36" customHeight="1">
      <c r="A1148" s="1" t="s">
        <v>1580</v>
      </c>
      <c r="B1148" s="1" t="s">
        <v>2425</v>
      </c>
      <c r="C1148" s="1" t="s">
        <v>1801</v>
      </c>
      <c r="D1148" s="1" t="s">
        <v>1796</v>
      </c>
      <c r="E1148" s="1" t="s">
        <v>1786</v>
      </c>
    </row>
    <row r="1149" spans="1:5" ht="36" customHeight="1">
      <c r="A1149" s="1" t="s">
        <v>1580</v>
      </c>
      <c r="B1149" s="1" t="s">
        <v>2425</v>
      </c>
      <c r="C1149" s="1" t="s">
        <v>1802</v>
      </c>
      <c r="D1149" s="1" t="s">
        <v>1803</v>
      </c>
      <c r="E1149" s="1" t="s">
        <v>1596</v>
      </c>
    </row>
    <row r="1150" spans="1:5" ht="48" customHeight="1">
      <c r="A1150" s="1" t="s">
        <v>1580</v>
      </c>
      <c r="B1150" s="1" t="s">
        <v>2425</v>
      </c>
      <c r="C1150" s="1" t="s">
        <v>1632</v>
      </c>
      <c r="D1150" s="1" t="s">
        <v>1804</v>
      </c>
      <c r="E1150" s="1" t="s">
        <v>1786</v>
      </c>
    </row>
    <row r="1151" spans="1:5" ht="36" customHeight="1">
      <c r="A1151" s="1" t="s">
        <v>1580</v>
      </c>
      <c r="B1151" s="1" t="s">
        <v>2425</v>
      </c>
      <c r="C1151" s="1" t="s">
        <v>1805</v>
      </c>
      <c r="D1151" s="1" t="s">
        <v>1794</v>
      </c>
      <c r="E1151" s="1" t="s">
        <v>1786</v>
      </c>
    </row>
    <row r="1152" spans="1:5" ht="36" customHeight="1">
      <c r="A1152" s="1" t="s">
        <v>1580</v>
      </c>
      <c r="B1152" s="1" t="s">
        <v>2425</v>
      </c>
      <c r="C1152" s="1" t="s">
        <v>1806</v>
      </c>
      <c r="D1152" s="1" t="s">
        <v>1796</v>
      </c>
      <c r="E1152" s="1" t="s">
        <v>1786</v>
      </c>
    </row>
    <row r="1153" spans="1:5" ht="36" customHeight="1">
      <c r="A1153" s="1" t="s">
        <v>1580</v>
      </c>
      <c r="B1153" s="1" t="s">
        <v>2425</v>
      </c>
      <c r="C1153" s="1" t="s">
        <v>1638</v>
      </c>
      <c r="D1153" s="1" t="s">
        <v>1828</v>
      </c>
      <c r="E1153" s="1" t="s">
        <v>1596</v>
      </c>
    </row>
    <row r="1154" spans="1:5" ht="36" customHeight="1">
      <c r="A1154" s="1" t="s">
        <v>1580</v>
      </c>
      <c r="B1154" s="1" t="s">
        <v>2425</v>
      </c>
      <c r="C1154" s="1" t="s">
        <v>1640</v>
      </c>
      <c r="D1154" s="1" t="s">
        <v>1598</v>
      </c>
      <c r="E1154" s="1" t="s">
        <v>1596</v>
      </c>
    </row>
    <row r="1155" spans="1:5" ht="36" customHeight="1">
      <c r="A1155" s="1" t="s">
        <v>1580</v>
      </c>
      <c r="B1155" s="1" t="s">
        <v>2425</v>
      </c>
      <c r="C1155" s="1" t="s">
        <v>1642</v>
      </c>
      <c r="D1155" s="1" t="s">
        <v>1600</v>
      </c>
      <c r="E1155" s="1" t="s">
        <v>1596</v>
      </c>
    </row>
    <row r="1156" spans="1:5" ht="36" customHeight="1">
      <c r="A1156" s="1" t="s">
        <v>1580</v>
      </c>
      <c r="B1156" s="1" t="s">
        <v>2425</v>
      </c>
      <c r="C1156" s="1" t="s">
        <v>1647</v>
      </c>
      <c r="D1156" s="1" t="s">
        <v>1602</v>
      </c>
      <c r="E1156" s="1" t="s">
        <v>1596</v>
      </c>
    </row>
    <row r="1157" spans="1:5" ht="36" customHeight="1">
      <c r="A1157" s="1" t="s">
        <v>1580</v>
      </c>
      <c r="B1157" s="1" t="s">
        <v>2425</v>
      </c>
      <c r="C1157" s="1" t="s">
        <v>1648</v>
      </c>
      <c r="D1157" s="1" t="s">
        <v>1764</v>
      </c>
      <c r="E1157" s="1" t="s">
        <v>1596</v>
      </c>
    </row>
    <row r="1158" spans="1:5" ht="36" customHeight="1">
      <c r="A1158" s="1" t="s">
        <v>1580</v>
      </c>
      <c r="B1158" s="1" t="s">
        <v>2425</v>
      </c>
      <c r="C1158" s="1" t="s">
        <v>1649</v>
      </c>
      <c r="D1158" s="1" t="s">
        <v>1676</v>
      </c>
      <c r="E1158" s="1" t="s">
        <v>1596</v>
      </c>
    </row>
    <row r="1159" spans="1:5" ht="36" customHeight="1">
      <c r="A1159" s="1" t="s">
        <v>1580</v>
      </c>
      <c r="B1159" s="1" t="s">
        <v>2425</v>
      </c>
      <c r="C1159" s="1" t="s">
        <v>1651</v>
      </c>
      <c r="D1159" s="1" t="s">
        <v>1678</v>
      </c>
      <c r="E1159" s="1" t="s">
        <v>1596</v>
      </c>
    </row>
    <row r="1160" spans="1:5" ht="36" customHeight="1">
      <c r="A1160" s="1" t="s">
        <v>1580</v>
      </c>
      <c r="B1160" s="1" t="s">
        <v>2425</v>
      </c>
      <c r="C1160" s="1" t="s">
        <v>1807</v>
      </c>
      <c r="D1160" s="1" t="s">
        <v>1160</v>
      </c>
      <c r="E1160" s="1" t="s">
        <v>1596</v>
      </c>
    </row>
    <row r="1161" spans="1:5" ht="36" customHeight="1">
      <c r="A1161" s="1" t="s">
        <v>1580</v>
      </c>
      <c r="B1161" s="1" t="s">
        <v>2425</v>
      </c>
      <c r="C1161" s="1" t="s">
        <v>1808</v>
      </c>
      <c r="D1161" s="1" t="s">
        <v>1681</v>
      </c>
      <c r="E1161" s="1" t="s">
        <v>1596</v>
      </c>
    </row>
    <row r="1162" spans="1:5" ht="36" customHeight="1">
      <c r="A1162" s="1" t="s">
        <v>1580</v>
      </c>
      <c r="B1162" s="1" t="s">
        <v>2425</v>
      </c>
      <c r="C1162" s="1" t="s">
        <v>1809</v>
      </c>
      <c r="D1162" s="1" t="s">
        <v>1683</v>
      </c>
      <c r="E1162" s="1" t="s">
        <v>1596</v>
      </c>
    </row>
    <row r="1163" spans="1:5" ht="36" customHeight="1">
      <c r="A1163" s="1" t="s">
        <v>1580</v>
      </c>
      <c r="B1163" s="1" t="s">
        <v>2425</v>
      </c>
      <c r="C1163" s="1" t="s">
        <v>1810</v>
      </c>
      <c r="D1163" s="1" t="s">
        <v>1685</v>
      </c>
      <c r="E1163" s="1" t="s">
        <v>1596</v>
      </c>
    </row>
    <row r="1164" spans="1:5" ht="36" customHeight="1">
      <c r="A1164" s="1" t="s">
        <v>1580</v>
      </c>
      <c r="B1164" s="1" t="s">
        <v>2425</v>
      </c>
      <c r="C1164" s="1" t="s">
        <v>1696</v>
      </c>
      <c r="D1164" s="1" t="s">
        <v>1687</v>
      </c>
      <c r="E1164" s="1" t="s">
        <v>1596</v>
      </c>
    </row>
    <row r="1165" spans="1:5" ht="36" customHeight="1">
      <c r="A1165" s="1" t="s">
        <v>1580</v>
      </c>
      <c r="B1165" s="1" t="s">
        <v>2425</v>
      </c>
      <c r="C1165" s="1" t="s">
        <v>1653</v>
      </c>
      <c r="D1165" s="1" t="s">
        <v>1091</v>
      </c>
      <c r="E1165" s="1" t="s">
        <v>1596</v>
      </c>
    </row>
    <row r="1166" spans="1:5" ht="36" customHeight="1">
      <c r="A1166" s="1" t="s">
        <v>1580</v>
      </c>
      <c r="B1166" s="1" t="s">
        <v>2425</v>
      </c>
      <c r="C1166" s="1" t="s">
        <v>1655</v>
      </c>
      <c r="D1166" s="1" t="s">
        <v>1598</v>
      </c>
      <c r="E1166" s="1" t="s">
        <v>1596</v>
      </c>
    </row>
    <row r="1167" spans="1:5" ht="36" customHeight="1">
      <c r="A1167" s="1" t="s">
        <v>1580</v>
      </c>
      <c r="B1167" s="1" t="s">
        <v>2425</v>
      </c>
      <c r="C1167" s="1" t="s">
        <v>1662</v>
      </c>
      <c r="D1167" s="1" t="s">
        <v>2371</v>
      </c>
      <c r="E1167" s="1" t="s">
        <v>1596</v>
      </c>
    </row>
    <row r="1168" spans="1:5" ht="36" customHeight="1">
      <c r="A1168" s="1" t="s">
        <v>1580</v>
      </c>
      <c r="B1168" s="1" t="s">
        <v>2425</v>
      </c>
      <c r="C1168" s="1" t="s">
        <v>1728</v>
      </c>
      <c r="D1168" s="1" t="s">
        <v>1811</v>
      </c>
      <c r="E1168" s="1" t="s">
        <v>1596</v>
      </c>
    </row>
    <row r="1169" spans="1:5" ht="63.95" customHeight="1">
      <c r="A1169" s="1" t="s">
        <v>1580</v>
      </c>
      <c r="B1169" s="1" t="s">
        <v>2425</v>
      </c>
      <c r="C1169" s="1" t="s">
        <v>1664</v>
      </c>
      <c r="D1169" s="1" t="s">
        <v>2430</v>
      </c>
      <c r="E1169" s="1" t="s">
        <v>1786</v>
      </c>
    </row>
    <row r="1170" spans="1:5" ht="36" customHeight="1">
      <c r="A1170" s="1" t="s">
        <v>1580</v>
      </c>
      <c r="B1170" s="1" t="s">
        <v>2425</v>
      </c>
      <c r="C1170" s="1" t="s">
        <v>1813</v>
      </c>
      <c r="D1170" s="1" t="s">
        <v>1794</v>
      </c>
      <c r="E1170" s="1" t="s">
        <v>1786</v>
      </c>
    </row>
    <row r="1171" spans="1:5" ht="36" customHeight="1">
      <c r="A1171" s="1" t="s">
        <v>1580</v>
      </c>
      <c r="B1171" s="1" t="s">
        <v>2425</v>
      </c>
      <c r="C1171" s="1" t="s">
        <v>1815</v>
      </c>
      <c r="D1171" s="1" t="s">
        <v>1796</v>
      </c>
      <c r="E1171" s="1" t="s">
        <v>1786</v>
      </c>
    </row>
    <row r="1172" spans="1:5" ht="36" customHeight="1">
      <c r="A1172" s="1" t="s">
        <v>1580</v>
      </c>
      <c r="B1172" s="1" t="s">
        <v>2425</v>
      </c>
      <c r="C1172" s="1" t="s">
        <v>1665</v>
      </c>
      <c r="D1172" s="1" t="s">
        <v>558</v>
      </c>
      <c r="E1172" s="1" t="s">
        <v>1596</v>
      </c>
    </row>
    <row r="1173" spans="1:5" ht="36" customHeight="1">
      <c r="A1173" s="1" t="s">
        <v>1580</v>
      </c>
      <c r="B1173" s="1" t="s">
        <v>2425</v>
      </c>
      <c r="C1173" s="1" t="s">
        <v>1666</v>
      </c>
      <c r="D1173" s="1" t="s">
        <v>1622</v>
      </c>
      <c r="E1173" s="1" t="s">
        <v>1596</v>
      </c>
    </row>
    <row r="1174" spans="1:5" ht="36" customHeight="1">
      <c r="A1174" s="1" t="s">
        <v>1580</v>
      </c>
      <c r="B1174" s="1" t="s">
        <v>2425</v>
      </c>
      <c r="C1174" s="1" t="s">
        <v>1816</v>
      </c>
      <c r="D1174" s="1" t="s">
        <v>1817</v>
      </c>
      <c r="E1174" s="1" t="s">
        <v>1596</v>
      </c>
    </row>
    <row r="1175" spans="1:5" ht="36" customHeight="1">
      <c r="A1175" s="1" t="s">
        <v>1580</v>
      </c>
      <c r="B1175" s="1" t="s">
        <v>2425</v>
      </c>
      <c r="C1175" s="1" t="s">
        <v>1701</v>
      </c>
      <c r="D1175" s="1" t="s">
        <v>2431</v>
      </c>
      <c r="E1175" s="1" t="s">
        <v>1596</v>
      </c>
    </row>
    <row r="1176" spans="1:5" ht="36" customHeight="1">
      <c r="A1176" s="1" t="s">
        <v>1580</v>
      </c>
      <c r="B1176" s="1" t="s">
        <v>2425</v>
      </c>
      <c r="C1176" s="1" t="s">
        <v>1703</v>
      </c>
      <c r="D1176" s="1" t="s">
        <v>2432</v>
      </c>
      <c r="E1176" s="1" t="s">
        <v>1596</v>
      </c>
    </row>
    <row r="1177" spans="1:5" ht="36" customHeight="1">
      <c r="A1177" s="1" t="s">
        <v>1580</v>
      </c>
      <c r="B1177" s="1" t="s">
        <v>2425</v>
      </c>
      <c r="C1177" s="1" t="s">
        <v>1704</v>
      </c>
      <c r="D1177" s="1" t="s">
        <v>1622</v>
      </c>
      <c r="E1177" s="1" t="s">
        <v>1596</v>
      </c>
    </row>
    <row r="1178" spans="1:5" ht="36" customHeight="1">
      <c r="A1178" s="1" t="s">
        <v>1580</v>
      </c>
      <c r="B1178" s="1" t="s">
        <v>2425</v>
      </c>
      <c r="C1178" s="1" t="s">
        <v>1730</v>
      </c>
      <c r="D1178" s="1" t="s">
        <v>443</v>
      </c>
      <c r="E1178" s="1" t="s">
        <v>1596</v>
      </c>
    </row>
    <row r="1179" spans="1:5" ht="63.95" customHeight="1">
      <c r="A1179" s="1" t="s">
        <v>1580</v>
      </c>
      <c r="B1179" s="1" t="s">
        <v>2425</v>
      </c>
      <c r="C1179" s="1" t="s">
        <v>1732</v>
      </c>
      <c r="D1179" s="1" t="s">
        <v>2433</v>
      </c>
      <c r="E1179" s="1" t="s">
        <v>1786</v>
      </c>
    </row>
    <row r="1180" spans="1:5" ht="36" customHeight="1">
      <c r="A1180" s="1" t="s">
        <v>1580</v>
      </c>
      <c r="B1180" s="1" t="s">
        <v>2425</v>
      </c>
      <c r="C1180" s="1" t="s">
        <v>1820</v>
      </c>
      <c r="D1180" s="1" t="s">
        <v>1794</v>
      </c>
      <c r="E1180" s="1" t="s">
        <v>1786</v>
      </c>
    </row>
    <row r="1181" spans="1:5" ht="36" customHeight="1">
      <c r="A1181" s="1" t="s">
        <v>1580</v>
      </c>
      <c r="B1181" s="1" t="s">
        <v>2425</v>
      </c>
      <c r="C1181" s="1" t="s">
        <v>1821</v>
      </c>
      <c r="D1181" s="1" t="s">
        <v>1796</v>
      </c>
      <c r="E1181" s="1" t="s">
        <v>1786</v>
      </c>
    </row>
    <row r="1182" spans="1:5" ht="36" customHeight="1">
      <c r="A1182" s="1" t="s">
        <v>1580</v>
      </c>
      <c r="B1182" s="1" t="s">
        <v>2425</v>
      </c>
      <c r="C1182" s="1" t="s">
        <v>1945</v>
      </c>
      <c r="D1182" s="1" t="s">
        <v>558</v>
      </c>
      <c r="E1182" s="1" t="s">
        <v>1596</v>
      </c>
    </row>
    <row r="1183" spans="1:5" ht="36" customHeight="1">
      <c r="A1183" s="1" t="s">
        <v>1580</v>
      </c>
      <c r="B1183" s="1" t="s">
        <v>2425</v>
      </c>
      <c r="C1183" s="1" t="s">
        <v>1946</v>
      </c>
      <c r="D1183" s="1" t="s">
        <v>1622</v>
      </c>
      <c r="E1183" s="1" t="s">
        <v>1596</v>
      </c>
    </row>
    <row r="1184" spans="1:5" ht="36" customHeight="1">
      <c r="A1184" s="1" t="s">
        <v>1580</v>
      </c>
      <c r="B1184" s="1" t="s">
        <v>2425</v>
      </c>
      <c r="C1184" s="1" t="s">
        <v>1822</v>
      </c>
      <c r="D1184" s="1" t="s">
        <v>1823</v>
      </c>
      <c r="E1184" s="1" t="s">
        <v>1596</v>
      </c>
    </row>
    <row r="1185" spans="1:5" ht="111.95" customHeight="1">
      <c r="A1185" s="1" t="s">
        <v>1580</v>
      </c>
      <c r="B1185" s="1" t="s">
        <v>2425</v>
      </c>
      <c r="C1185" s="1" t="s">
        <v>1824</v>
      </c>
      <c r="D1185" s="1" t="s">
        <v>2434</v>
      </c>
      <c r="E1185" s="1" t="s">
        <v>1786</v>
      </c>
    </row>
    <row r="1186" spans="1:5" ht="36" customHeight="1">
      <c r="A1186" s="1" t="s">
        <v>1580</v>
      </c>
      <c r="B1186" s="1" t="s">
        <v>2425</v>
      </c>
      <c r="C1186" s="1" t="s">
        <v>1826</v>
      </c>
      <c r="D1186" s="1" t="s">
        <v>1794</v>
      </c>
      <c r="E1186" s="1" t="s">
        <v>1786</v>
      </c>
    </row>
    <row r="1187" spans="1:5" ht="36" customHeight="1">
      <c r="A1187" s="1" t="s">
        <v>1580</v>
      </c>
      <c r="B1187" s="1" t="s">
        <v>2425</v>
      </c>
      <c r="C1187" s="1" t="s">
        <v>1827</v>
      </c>
      <c r="D1187" s="1" t="s">
        <v>1796</v>
      </c>
      <c r="E1187" s="1" t="s">
        <v>1786</v>
      </c>
    </row>
    <row r="1188" spans="1:5" ht="36" customHeight="1">
      <c r="A1188" s="1" t="s">
        <v>1580</v>
      </c>
      <c r="B1188" s="1" t="s">
        <v>2425</v>
      </c>
      <c r="C1188" s="1" t="s">
        <v>1706</v>
      </c>
      <c r="D1188" s="1" t="s">
        <v>1828</v>
      </c>
      <c r="E1188" s="1" t="s">
        <v>1596</v>
      </c>
    </row>
    <row r="1189" spans="1:5" ht="36" customHeight="1">
      <c r="A1189" s="1" t="s">
        <v>1580</v>
      </c>
      <c r="B1189" s="1" t="s">
        <v>2425</v>
      </c>
      <c r="C1189" s="1" t="s">
        <v>1708</v>
      </c>
      <c r="D1189" s="1" t="s">
        <v>1598</v>
      </c>
      <c r="E1189" s="1" t="s">
        <v>1596</v>
      </c>
    </row>
    <row r="1190" spans="1:5" ht="36" customHeight="1">
      <c r="A1190" s="1" t="s">
        <v>1580</v>
      </c>
      <c r="B1190" s="1" t="s">
        <v>2425</v>
      </c>
      <c r="C1190" s="1" t="s">
        <v>1710</v>
      </c>
      <c r="D1190" s="1" t="s">
        <v>1600</v>
      </c>
      <c r="E1190" s="1" t="s">
        <v>1596</v>
      </c>
    </row>
    <row r="1191" spans="1:5" ht="36" customHeight="1">
      <c r="A1191" s="1" t="s">
        <v>1580</v>
      </c>
      <c r="B1191" s="1" t="s">
        <v>2425</v>
      </c>
      <c r="C1191" s="1" t="s">
        <v>1829</v>
      </c>
      <c r="D1191" s="1" t="s">
        <v>1602</v>
      </c>
      <c r="E1191" s="1" t="s">
        <v>1596</v>
      </c>
    </row>
    <row r="1192" spans="1:5" ht="36" customHeight="1">
      <c r="A1192" s="1" t="s">
        <v>1580</v>
      </c>
      <c r="B1192" s="1" t="s">
        <v>2425</v>
      </c>
      <c r="C1192" s="1" t="s">
        <v>1830</v>
      </c>
      <c r="D1192" s="1" t="s">
        <v>1831</v>
      </c>
      <c r="E1192" s="1" t="s">
        <v>1596</v>
      </c>
    </row>
    <row r="1193" spans="1:5" ht="36" customHeight="1">
      <c r="A1193" s="1" t="s">
        <v>1580</v>
      </c>
      <c r="B1193" s="1" t="s">
        <v>2425</v>
      </c>
      <c r="C1193" s="1" t="s">
        <v>1832</v>
      </c>
      <c r="D1193" s="1" t="s">
        <v>1676</v>
      </c>
      <c r="E1193" s="1" t="s">
        <v>1596</v>
      </c>
    </row>
    <row r="1194" spans="1:5" ht="36" customHeight="1">
      <c r="A1194" s="1" t="s">
        <v>1580</v>
      </c>
      <c r="B1194" s="1" t="s">
        <v>2425</v>
      </c>
      <c r="C1194" s="1" t="s">
        <v>1739</v>
      </c>
      <c r="D1194" s="1" t="s">
        <v>1678</v>
      </c>
      <c r="E1194" s="1" t="s">
        <v>1596</v>
      </c>
    </row>
    <row r="1195" spans="1:5" ht="36" customHeight="1">
      <c r="A1195" s="1" t="s">
        <v>1580</v>
      </c>
      <c r="B1195" s="1" t="s">
        <v>2425</v>
      </c>
      <c r="C1195" s="1" t="s">
        <v>1833</v>
      </c>
      <c r="D1195" s="1" t="s">
        <v>1160</v>
      </c>
      <c r="E1195" s="1" t="s">
        <v>1596</v>
      </c>
    </row>
    <row r="1196" spans="1:5" ht="36" customHeight="1">
      <c r="A1196" s="1" t="s">
        <v>1580</v>
      </c>
      <c r="B1196" s="1" t="s">
        <v>2425</v>
      </c>
      <c r="C1196" s="1" t="s">
        <v>1834</v>
      </c>
      <c r="D1196" s="1" t="s">
        <v>1681</v>
      </c>
      <c r="E1196" s="1" t="s">
        <v>1596</v>
      </c>
    </row>
    <row r="1197" spans="1:5" ht="36" customHeight="1">
      <c r="A1197" s="1" t="s">
        <v>1580</v>
      </c>
      <c r="B1197" s="1" t="s">
        <v>2425</v>
      </c>
      <c r="C1197" s="1" t="s">
        <v>1835</v>
      </c>
      <c r="D1197" s="1" t="s">
        <v>1683</v>
      </c>
      <c r="E1197" s="1" t="s">
        <v>1596</v>
      </c>
    </row>
    <row r="1198" spans="1:5" ht="36" customHeight="1">
      <c r="A1198" s="1" t="s">
        <v>1580</v>
      </c>
      <c r="B1198" s="1" t="s">
        <v>2425</v>
      </c>
      <c r="C1198" s="1" t="s">
        <v>1836</v>
      </c>
      <c r="D1198" s="1" t="s">
        <v>1685</v>
      </c>
      <c r="E1198" s="1" t="s">
        <v>1596</v>
      </c>
    </row>
    <row r="1199" spans="1:5" ht="36" customHeight="1">
      <c r="A1199" s="1" t="s">
        <v>1580</v>
      </c>
      <c r="B1199" s="1" t="s">
        <v>2425</v>
      </c>
      <c r="C1199" s="1" t="s">
        <v>1837</v>
      </c>
      <c r="D1199" s="1" t="s">
        <v>1687</v>
      </c>
      <c r="E1199" s="1" t="s">
        <v>1596</v>
      </c>
    </row>
    <row r="1200" spans="1:5" ht="36" customHeight="1">
      <c r="A1200" s="1" t="s">
        <v>1580</v>
      </c>
      <c r="B1200" s="1" t="s">
        <v>2425</v>
      </c>
      <c r="C1200" s="1" t="s">
        <v>1838</v>
      </c>
      <c r="D1200" s="1" t="s">
        <v>1091</v>
      </c>
      <c r="E1200" s="1" t="s">
        <v>1596</v>
      </c>
    </row>
    <row r="1201" spans="1:5" ht="36" customHeight="1">
      <c r="A1201" s="1" t="s">
        <v>1580</v>
      </c>
      <c r="B1201" s="1" t="s">
        <v>2425</v>
      </c>
      <c r="C1201" s="1" t="s">
        <v>1839</v>
      </c>
      <c r="D1201" s="1" t="s">
        <v>1598</v>
      </c>
      <c r="E1201" s="1" t="s">
        <v>1596</v>
      </c>
    </row>
    <row r="1202" spans="1:5" ht="36" customHeight="1">
      <c r="A1202" s="1" t="s">
        <v>1580</v>
      </c>
      <c r="B1202" s="1" t="s">
        <v>2425</v>
      </c>
      <c r="C1202" s="1" t="s">
        <v>1711</v>
      </c>
      <c r="D1202" s="1" t="s">
        <v>2371</v>
      </c>
      <c r="E1202" s="1" t="s">
        <v>1596</v>
      </c>
    </row>
    <row r="1203" spans="1:5" ht="36" customHeight="1">
      <c r="A1203" s="1" t="s">
        <v>1580</v>
      </c>
      <c r="B1203" s="1" t="s">
        <v>2425</v>
      </c>
      <c r="C1203" s="1" t="s">
        <v>1840</v>
      </c>
      <c r="D1203" s="1" t="s">
        <v>1841</v>
      </c>
      <c r="E1203" s="1" t="s">
        <v>1596</v>
      </c>
    </row>
    <row r="1204" spans="1:5" ht="272.10000000000002" customHeight="1">
      <c r="A1204" s="1" t="s">
        <v>1580</v>
      </c>
      <c r="B1204" s="1" t="s">
        <v>2425</v>
      </c>
      <c r="C1204" s="1" t="s">
        <v>1741</v>
      </c>
      <c r="D1204" s="1" t="s">
        <v>2435</v>
      </c>
      <c r="E1204" s="1" t="s">
        <v>1786</v>
      </c>
    </row>
    <row r="1205" spans="1:5" ht="36" customHeight="1">
      <c r="A1205" s="1" t="s">
        <v>1580</v>
      </c>
      <c r="B1205" s="1" t="s">
        <v>2425</v>
      </c>
      <c r="C1205" s="1" t="s">
        <v>1842</v>
      </c>
      <c r="D1205" s="1" t="s">
        <v>1794</v>
      </c>
      <c r="E1205" s="1" t="s">
        <v>1786</v>
      </c>
    </row>
    <row r="1206" spans="1:5" ht="36" customHeight="1">
      <c r="A1206" s="1" t="s">
        <v>1580</v>
      </c>
      <c r="B1206" s="1" t="s">
        <v>2425</v>
      </c>
      <c r="C1206" s="1" t="s">
        <v>1743</v>
      </c>
      <c r="D1206" s="1" t="s">
        <v>1796</v>
      </c>
      <c r="E1206" s="1" t="s">
        <v>1786</v>
      </c>
    </row>
    <row r="1207" spans="1:5" ht="36" customHeight="1">
      <c r="A1207" s="1" t="s">
        <v>1580</v>
      </c>
      <c r="B1207" s="1" t="s">
        <v>2425</v>
      </c>
      <c r="C1207" s="1" t="s">
        <v>2232</v>
      </c>
      <c r="D1207" s="1" t="s">
        <v>558</v>
      </c>
      <c r="E1207" s="1" t="s">
        <v>1596</v>
      </c>
    </row>
    <row r="1208" spans="1:5" ht="36" customHeight="1">
      <c r="A1208" s="1" t="s">
        <v>1580</v>
      </c>
      <c r="B1208" s="1" t="s">
        <v>2425</v>
      </c>
      <c r="C1208" s="1" t="s">
        <v>2234</v>
      </c>
      <c r="D1208" s="1" t="s">
        <v>1797</v>
      </c>
      <c r="E1208" s="1" t="s">
        <v>1596</v>
      </c>
    </row>
    <row r="1209" spans="1:5" ht="36" customHeight="1">
      <c r="A1209" s="1" t="s">
        <v>1580</v>
      </c>
      <c r="B1209" s="1" t="s">
        <v>2425</v>
      </c>
      <c r="C1209" s="1" t="s">
        <v>1843</v>
      </c>
      <c r="D1209" s="1" t="s">
        <v>1668</v>
      </c>
      <c r="E1209" s="1" t="s">
        <v>1596</v>
      </c>
    </row>
    <row r="1210" spans="1:5" ht="36" customHeight="1">
      <c r="A1210" s="1" t="s">
        <v>1580</v>
      </c>
      <c r="B1210" s="1" t="s">
        <v>2425</v>
      </c>
      <c r="C1210" s="1" t="s">
        <v>1844</v>
      </c>
      <c r="D1210" s="1" t="s">
        <v>1670</v>
      </c>
      <c r="E1210" s="1" t="s">
        <v>1596</v>
      </c>
    </row>
    <row r="1211" spans="1:5" ht="36" customHeight="1">
      <c r="A1211" s="1" t="s">
        <v>1580</v>
      </c>
      <c r="B1211" s="1" t="s">
        <v>2425</v>
      </c>
      <c r="C1211" s="1" t="s">
        <v>1845</v>
      </c>
      <c r="D1211" s="1" t="s">
        <v>1672</v>
      </c>
      <c r="E1211" s="1" t="s">
        <v>1596</v>
      </c>
    </row>
    <row r="1212" spans="1:5" ht="36" customHeight="1">
      <c r="A1212" s="1" t="s">
        <v>1580</v>
      </c>
      <c r="B1212" s="1" t="s">
        <v>2436</v>
      </c>
      <c r="C1212" s="1" t="s">
        <v>1594</v>
      </c>
      <c r="D1212" s="1" t="s">
        <v>2437</v>
      </c>
      <c r="E1212" s="1" t="s">
        <v>1596</v>
      </c>
    </row>
    <row r="1213" spans="1:5" ht="36" customHeight="1">
      <c r="A1213" s="1" t="s">
        <v>1580</v>
      </c>
      <c r="B1213" s="1" t="s">
        <v>2436</v>
      </c>
      <c r="C1213" s="1" t="s">
        <v>1597</v>
      </c>
      <c r="D1213" s="1" t="s">
        <v>1598</v>
      </c>
      <c r="E1213" s="1" t="s">
        <v>1596</v>
      </c>
    </row>
    <row r="1214" spans="1:5" ht="36" customHeight="1">
      <c r="A1214" s="1" t="s">
        <v>1580</v>
      </c>
      <c r="B1214" s="1" t="s">
        <v>2436</v>
      </c>
      <c r="C1214" s="1" t="s">
        <v>1599</v>
      </c>
      <c r="D1214" s="1" t="s">
        <v>1600</v>
      </c>
      <c r="E1214" s="1" t="s">
        <v>1596</v>
      </c>
    </row>
    <row r="1215" spans="1:5" ht="36" customHeight="1">
      <c r="A1215" s="1" t="s">
        <v>1580</v>
      </c>
      <c r="B1215" s="1" t="s">
        <v>2436</v>
      </c>
      <c r="C1215" s="1" t="s">
        <v>1601</v>
      </c>
      <c r="D1215" s="1" t="s">
        <v>1602</v>
      </c>
      <c r="E1215" s="1" t="s">
        <v>1596</v>
      </c>
    </row>
    <row r="1216" spans="1:5" ht="36" customHeight="1">
      <c r="A1216" s="1" t="s">
        <v>1580</v>
      </c>
      <c r="B1216" s="1" t="s">
        <v>2436</v>
      </c>
      <c r="C1216" s="1" t="s">
        <v>1603</v>
      </c>
      <c r="D1216" s="1" t="s">
        <v>1874</v>
      </c>
      <c r="E1216" s="1" t="s">
        <v>1596</v>
      </c>
    </row>
    <row r="1217" spans="1:5" ht="36" customHeight="1">
      <c r="A1217" s="1" t="s">
        <v>1580</v>
      </c>
      <c r="B1217" s="1" t="s">
        <v>2436</v>
      </c>
      <c r="C1217" s="1" t="s">
        <v>1605</v>
      </c>
      <c r="D1217" s="1" t="s">
        <v>1676</v>
      </c>
      <c r="E1217" s="1" t="s">
        <v>1596</v>
      </c>
    </row>
    <row r="1218" spans="1:5" ht="36" customHeight="1">
      <c r="A1218" s="1" t="s">
        <v>1580</v>
      </c>
      <c r="B1218" s="1" t="s">
        <v>2436</v>
      </c>
      <c r="C1218" s="1" t="s">
        <v>1677</v>
      </c>
      <c r="D1218" s="1" t="s">
        <v>1678</v>
      </c>
      <c r="E1218" s="1" t="s">
        <v>1596</v>
      </c>
    </row>
    <row r="1219" spans="1:5" ht="36" customHeight="1">
      <c r="A1219" s="1" t="s">
        <v>1580</v>
      </c>
      <c r="B1219" s="1" t="s">
        <v>2436</v>
      </c>
      <c r="C1219" s="1" t="s">
        <v>1679</v>
      </c>
      <c r="D1219" s="1" t="s">
        <v>1160</v>
      </c>
      <c r="E1219" s="1" t="s">
        <v>1596</v>
      </c>
    </row>
    <row r="1220" spans="1:5" ht="36" customHeight="1">
      <c r="A1220" s="1" t="s">
        <v>1580</v>
      </c>
      <c r="B1220" s="1" t="s">
        <v>2436</v>
      </c>
      <c r="C1220" s="1" t="s">
        <v>1680</v>
      </c>
      <c r="D1220" s="1" t="s">
        <v>1681</v>
      </c>
      <c r="E1220" s="1" t="s">
        <v>1596</v>
      </c>
    </row>
    <row r="1221" spans="1:5" ht="36" customHeight="1">
      <c r="A1221" s="1" t="s">
        <v>1580</v>
      </c>
      <c r="B1221" s="1" t="s">
        <v>2436</v>
      </c>
      <c r="C1221" s="1" t="s">
        <v>1682</v>
      </c>
      <c r="D1221" s="1" t="s">
        <v>1683</v>
      </c>
      <c r="E1221" s="1" t="s">
        <v>1596</v>
      </c>
    </row>
    <row r="1222" spans="1:5" ht="36" customHeight="1">
      <c r="A1222" s="1" t="s">
        <v>1580</v>
      </c>
      <c r="B1222" s="1" t="s">
        <v>2436</v>
      </c>
      <c r="C1222" s="1" t="s">
        <v>1684</v>
      </c>
      <c r="D1222" s="1" t="s">
        <v>1685</v>
      </c>
      <c r="E1222" s="1" t="s">
        <v>1596</v>
      </c>
    </row>
    <row r="1223" spans="1:5" ht="36" customHeight="1">
      <c r="A1223" s="1" t="s">
        <v>1580</v>
      </c>
      <c r="B1223" s="1" t="s">
        <v>2436</v>
      </c>
      <c r="C1223" s="1" t="s">
        <v>1686</v>
      </c>
      <c r="D1223" s="1" t="s">
        <v>1687</v>
      </c>
      <c r="E1223" s="1" t="s">
        <v>1596</v>
      </c>
    </row>
    <row r="1224" spans="1:5" ht="36" customHeight="1">
      <c r="A1224" s="1" t="s">
        <v>1580</v>
      </c>
      <c r="B1224" s="1" t="s">
        <v>2436</v>
      </c>
      <c r="C1224" s="1" t="s">
        <v>1607</v>
      </c>
      <c r="D1224" s="1" t="s">
        <v>1091</v>
      </c>
      <c r="E1224" s="1" t="s">
        <v>1596</v>
      </c>
    </row>
    <row r="1225" spans="1:5" ht="36" customHeight="1">
      <c r="A1225" s="1" t="s">
        <v>1580</v>
      </c>
      <c r="B1225" s="1" t="s">
        <v>2436</v>
      </c>
      <c r="C1225" s="1" t="s">
        <v>1608</v>
      </c>
      <c r="D1225" s="1" t="s">
        <v>1598</v>
      </c>
      <c r="E1225" s="1" t="s">
        <v>1596</v>
      </c>
    </row>
    <row r="1226" spans="1:5" ht="36" customHeight="1">
      <c r="A1226" s="1" t="s">
        <v>1580</v>
      </c>
      <c r="B1226" s="1" t="s">
        <v>2436</v>
      </c>
      <c r="C1226" s="1" t="s">
        <v>1609</v>
      </c>
      <c r="D1226" s="1" t="s">
        <v>2438</v>
      </c>
      <c r="E1226" s="1" t="s">
        <v>1596</v>
      </c>
    </row>
    <row r="1227" spans="1:5" ht="36" customHeight="1">
      <c r="A1227" s="1" t="s">
        <v>1580</v>
      </c>
      <c r="B1227" s="1" t="s">
        <v>2436</v>
      </c>
      <c r="C1227" s="1" t="s">
        <v>1717</v>
      </c>
      <c r="D1227" s="1" t="s">
        <v>608</v>
      </c>
      <c r="E1227" s="1" t="s">
        <v>1596</v>
      </c>
    </row>
    <row r="1228" spans="1:5" ht="36" customHeight="1">
      <c r="A1228" s="1" t="s">
        <v>1580</v>
      </c>
      <c r="B1228" s="1" t="s">
        <v>2436</v>
      </c>
      <c r="C1228" s="1" t="s">
        <v>1610</v>
      </c>
      <c r="D1228" s="1" t="s">
        <v>1983</v>
      </c>
      <c r="E1228" s="1" t="s">
        <v>1596</v>
      </c>
    </row>
    <row r="1229" spans="1:5" ht="36" customHeight="1">
      <c r="A1229" s="1" t="s">
        <v>1580</v>
      </c>
      <c r="B1229" s="1" t="s">
        <v>2436</v>
      </c>
      <c r="C1229" s="1" t="s">
        <v>1877</v>
      </c>
      <c r="D1229" s="1" t="s">
        <v>1903</v>
      </c>
      <c r="E1229" s="1" t="s">
        <v>1596</v>
      </c>
    </row>
    <row r="1230" spans="1:5" ht="36" customHeight="1">
      <c r="A1230" s="1" t="s">
        <v>1580</v>
      </c>
      <c r="B1230" s="1" t="s">
        <v>2436</v>
      </c>
      <c r="C1230" s="1" t="s">
        <v>1879</v>
      </c>
      <c r="D1230" s="1" t="s">
        <v>1983</v>
      </c>
      <c r="E1230" s="1" t="s">
        <v>1596</v>
      </c>
    </row>
    <row r="1231" spans="1:5" ht="36" customHeight="1">
      <c r="A1231" s="1" t="s">
        <v>1580</v>
      </c>
      <c r="B1231" s="1" t="s">
        <v>2436</v>
      </c>
      <c r="C1231" s="1" t="s">
        <v>1881</v>
      </c>
      <c r="D1231" s="1" t="s">
        <v>1983</v>
      </c>
      <c r="E1231" s="1" t="s">
        <v>1596</v>
      </c>
    </row>
    <row r="1232" spans="1:5" ht="36" customHeight="1">
      <c r="A1232" s="1" t="s">
        <v>1580</v>
      </c>
      <c r="B1232" s="1" t="s">
        <v>2436</v>
      </c>
      <c r="C1232" s="1" t="s">
        <v>1612</v>
      </c>
      <c r="D1232" s="1" t="s">
        <v>2382</v>
      </c>
      <c r="E1232" s="1" t="s">
        <v>1596</v>
      </c>
    </row>
    <row r="1233" spans="1:5" ht="36" customHeight="1">
      <c r="A1233" s="1" t="s">
        <v>1580</v>
      </c>
      <c r="B1233" s="1" t="s">
        <v>2436</v>
      </c>
      <c r="C1233" s="1" t="s">
        <v>1614</v>
      </c>
      <c r="D1233" s="1" t="s">
        <v>2439</v>
      </c>
      <c r="E1233" s="1" t="s">
        <v>1596</v>
      </c>
    </row>
    <row r="1234" spans="1:5" ht="36" customHeight="1">
      <c r="A1234" s="1" t="s">
        <v>1580</v>
      </c>
      <c r="B1234" s="1" t="s">
        <v>2436</v>
      </c>
      <c r="C1234" s="1" t="s">
        <v>1883</v>
      </c>
      <c r="D1234" s="1" t="s">
        <v>1884</v>
      </c>
      <c r="E1234" s="1" t="s">
        <v>1596</v>
      </c>
    </row>
    <row r="1235" spans="1:5" ht="36" customHeight="1">
      <c r="A1235" s="1" t="s">
        <v>1580</v>
      </c>
      <c r="B1235" s="1" t="s">
        <v>2436</v>
      </c>
      <c r="C1235" s="1" t="s">
        <v>1791</v>
      </c>
      <c r="D1235" s="1" t="s">
        <v>611</v>
      </c>
      <c r="E1235" s="1" t="s">
        <v>1596</v>
      </c>
    </row>
    <row r="1236" spans="1:5" ht="36" customHeight="1">
      <c r="A1236" s="1" t="s">
        <v>1580</v>
      </c>
      <c r="B1236" s="1" t="s">
        <v>2436</v>
      </c>
      <c r="C1236" s="1" t="s">
        <v>1617</v>
      </c>
      <c r="D1236" s="1" t="s">
        <v>2253</v>
      </c>
      <c r="E1236" s="1" t="s">
        <v>1786</v>
      </c>
    </row>
    <row r="1237" spans="1:5" ht="36" customHeight="1">
      <c r="A1237" s="1" t="s">
        <v>1580</v>
      </c>
      <c r="B1237" s="1" t="s">
        <v>2436</v>
      </c>
      <c r="C1237" s="1" t="s">
        <v>1886</v>
      </c>
      <c r="D1237" s="1" t="s">
        <v>2254</v>
      </c>
      <c r="E1237" s="1" t="s">
        <v>1786</v>
      </c>
    </row>
    <row r="1238" spans="1:5" ht="36" customHeight="1">
      <c r="A1238" s="1" t="s">
        <v>1580</v>
      </c>
      <c r="B1238" s="1" t="s">
        <v>2436</v>
      </c>
      <c r="C1238" s="1" t="s">
        <v>1888</v>
      </c>
      <c r="D1238" s="1" t="s">
        <v>2440</v>
      </c>
      <c r="E1238" s="1" t="s">
        <v>2441</v>
      </c>
    </row>
    <row r="1239" spans="1:5" ht="36" customHeight="1">
      <c r="A1239" s="1" t="s">
        <v>1580</v>
      </c>
      <c r="B1239" s="1" t="s">
        <v>2436</v>
      </c>
      <c r="C1239" s="1" t="s">
        <v>1890</v>
      </c>
      <c r="D1239" s="1" t="s">
        <v>2256</v>
      </c>
      <c r="E1239" s="1" t="s">
        <v>2441</v>
      </c>
    </row>
    <row r="1240" spans="1:5" ht="36" customHeight="1">
      <c r="A1240" s="1" t="s">
        <v>1580</v>
      </c>
      <c r="B1240" s="1" t="s">
        <v>2436</v>
      </c>
      <c r="C1240" s="1" t="s">
        <v>1619</v>
      </c>
      <c r="D1240" s="1" t="s">
        <v>2048</v>
      </c>
      <c r="E1240" s="1" t="s">
        <v>1596</v>
      </c>
    </row>
    <row r="1241" spans="1:5" ht="36" customHeight="1">
      <c r="A1241" s="1" t="s">
        <v>1580</v>
      </c>
      <c r="B1241" s="1" t="s">
        <v>2436</v>
      </c>
      <c r="C1241" s="1" t="s">
        <v>1621</v>
      </c>
      <c r="D1241" s="1" t="s">
        <v>1691</v>
      </c>
      <c r="E1241" s="1" t="s">
        <v>1596</v>
      </c>
    </row>
    <row r="1242" spans="1:5" ht="36" customHeight="1">
      <c r="A1242" s="1" t="s">
        <v>1580</v>
      </c>
      <c r="B1242" s="1" t="s">
        <v>2436</v>
      </c>
      <c r="C1242" s="1" t="s">
        <v>1891</v>
      </c>
      <c r="D1242" s="1" t="s">
        <v>1892</v>
      </c>
      <c r="E1242" s="1" t="s">
        <v>1596</v>
      </c>
    </row>
    <row r="1243" spans="1:5" ht="36" customHeight="1">
      <c r="A1243" s="1" t="s">
        <v>1580</v>
      </c>
      <c r="B1243" s="1" t="s">
        <v>2436</v>
      </c>
      <c r="C1243" s="1" t="s">
        <v>1722</v>
      </c>
      <c r="D1243" s="1" t="s">
        <v>2259</v>
      </c>
      <c r="E1243" s="1" t="s">
        <v>1596</v>
      </c>
    </row>
    <row r="1244" spans="1:5" ht="36" customHeight="1">
      <c r="A1244" s="1" t="s">
        <v>1580</v>
      </c>
      <c r="B1244" s="1" t="s">
        <v>2436</v>
      </c>
      <c r="C1244" s="1" t="s">
        <v>1624</v>
      </c>
      <c r="D1244" s="1" t="s">
        <v>2260</v>
      </c>
      <c r="E1244" s="1" t="s">
        <v>1786</v>
      </c>
    </row>
    <row r="1245" spans="1:5" ht="36" customHeight="1">
      <c r="A1245" s="1" t="s">
        <v>1580</v>
      </c>
      <c r="B1245" s="1" t="s">
        <v>2436</v>
      </c>
      <c r="C1245" s="1" t="s">
        <v>1894</v>
      </c>
      <c r="D1245" s="1" t="s">
        <v>2261</v>
      </c>
      <c r="E1245" s="1" t="s">
        <v>1786</v>
      </c>
    </row>
    <row r="1246" spans="1:5" ht="36" customHeight="1">
      <c r="A1246" s="1" t="s">
        <v>1580</v>
      </c>
      <c r="B1246" s="1" t="s">
        <v>2436</v>
      </c>
      <c r="C1246" s="1" t="s">
        <v>1896</v>
      </c>
      <c r="D1246" s="1" t="s">
        <v>2442</v>
      </c>
      <c r="E1246" s="1" t="s">
        <v>2443</v>
      </c>
    </row>
    <row r="1247" spans="1:5" ht="36" customHeight="1">
      <c r="A1247" s="1" t="s">
        <v>1580</v>
      </c>
      <c r="B1247" s="1" t="s">
        <v>2436</v>
      </c>
      <c r="C1247" s="1" t="s">
        <v>1898</v>
      </c>
      <c r="D1247" s="1" t="s">
        <v>2444</v>
      </c>
      <c r="E1247" s="1" t="s">
        <v>2445</v>
      </c>
    </row>
    <row r="1248" spans="1:5" ht="36" customHeight="1">
      <c r="A1248" s="1" t="s">
        <v>1580</v>
      </c>
      <c r="B1248" s="1" t="s">
        <v>2436</v>
      </c>
      <c r="C1248" s="1" t="s">
        <v>1626</v>
      </c>
      <c r="D1248" s="1" t="s">
        <v>2446</v>
      </c>
      <c r="E1248" s="1" t="s">
        <v>1596</v>
      </c>
    </row>
    <row r="1249" spans="1:5" ht="36" customHeight="1">
      <c r="A1249" s="1" t="s">
        <v>1580</v>
      </c>
      <c r="B1249" s="1" t="s">
        <v>2436</v>
      </c>
      <c r="C1249" s="1" t="s">
        <v>1628</v>
      </c>
      <c r="D1249" s="1" t="s">
        <v>1899</v>
      </c>
      <c r="E1249" s="1" t="s">
        <v>1596</v>
      </c>
    </row>
    <row r="1250" spans="1:5" ht="36" customHeight="1">
      <c r="A1250" s="1" t="s">
        <v>1580</v>
      </c>
      <c r="B1250" s="1" t="s">
        <v>2436</v>
      </c>
      <c r="C1250" s="1" t="s">
        <v>1900</v>
      </c>
      <c r="D1250" s="1" t="s">
        <v>1892</v>
      </c>
      <c r="E1250" s="1" t="s">
        <v>1596</v>
      </c>
    </row>
    <row r="1251" spans="1:5" ht="36" customHeight="1">
      <c r="A1251" s="1" t="s">
        <v>1580</v>
      </c>
      <c r="B1251" s="1" t="s">
        <v>2436</v>
      </c>
      <c r="C1251" s="1" t="s">
        <v>1802</v>
      </c>
      <c r="D1251" s="1" t="s">
        <v>617</v>
      </c>
      <c r="E1251" s="1" t="s">
        <v>1596</v>
      </c>
    </row>
    <row r="1252" spans="1:5" ht="36" customHeight="1">
      <c r="A1252" s="1" t="s">
        <v>1580</v>
      </c>
      <c r="B1252" s="1" t="s">
        <v>2436</v>
      </c>
      <c r="C1252" s="1" t="s">
        <v>1632</v>
      </c>
      <c r="D1252" s="1" t="s">
        <v>1782</v>
      </c>
      <c r="E1252" s="1" t="s">
        <v>1596</v>
      </c>
    </row>
    <row r="1253" spans="1:5" ht="36" customHeight="1">
      <c r="A1253" s="1" t="s">
        <v>1580</v>
      </c>
      <c r="B1253" s="1" t="s">
        <v>2436</v>
      </c>
      <c r="C1253" s="1" t="s">
        <v>1902</v>
      </c>
      <c r="D1253" s="1" t="s">
        <v>2292</v>
      </c>
      <c r="E1253" s="1" t="s">
        <v>1596</v>
      </c>
    </row>
    <row r="1254" spans="1:5" ht="36" customHeight="1">
      <c r="A1254" s="1" t="s">
        <v>1580</v>
      </c>
      <c r="B1254" s="1" t="s">
        <v>2436</v>
      </c>
      <c r="C1254" s="1" t="s">
        <v>1904</v>
      </c>
      <c r="D1254" s="1" t="s">
        <v>2447</v>
      </c>
      <c r="E1254" s="1" t="s">
        <v>2445</v>
      </c>
    </row>
    <row r="1255" spans="1:5" ht="36" customHeight="1">
      <c r="A1255" s="1" t="s">
        <v>1580</v>
      </c>
      <c r="B1255" s="1" t="s">
        <v>2436</v>
      </c>
      <c r="C1255" s="1" t="s">
        <v>1905</v>
      </c>
      <c r="D1255" s="1" t="s">
        <v>1715</v>
      </c>
      <c r="E1255" s="1" t="s">
        <v>2445</v>
      </c>
    </row>
    <row r="1256" spans="1:5" ht="36" customHeight="1">
      <c r="A1256" s="1" t="s">
        <v>1580</v>
      </c>
      <c r="B1256" s="1" t="s">
        <v>2436</v>
      </c>
      <c r="C1256" s="1" t="s">
        <v>1805</v>
      </c>
      <c r="D1256" s="1" t="s">
        <v>2448</v>
      </c>
      <c r="E1256" s="1" t="s">
        <v>1786</v>
      </c>
    </row>
    <row r="1257" spans="1:5" ht="36" customHeight="1">
      <c r="A1257" s="1" t="s">
        <v>1580</v>
      </c>
      <c r="B1257" s="1" t="s">
        <v>2436</v>
      </c>
      <c r="C1257" s="1" t="s">
        <v>1907</v>
      </c>
      <c r="D1257" s="1" t="s">
        <v>1884</v>
      </c>
      <c r="E1257" s="1" t="s">
        <v>1596</v>
      </c>
    </row>
    <row r="1258" spans="1:5" ht="36" customHeight="1">
      <c r="A1258" s="1" t="s">
        <v>1580</v>
      </c>
      <c r="B1258" s="1" t="s">
        <v>2436</v>
      </c>
      <c r="C1258" s="1" t="s">
        <v>1724</v>
      </c>
      <c r="D1258" s="1" t="s">
        <v>620</v>
      </c>
      <c r="E1258" s="1" t="s">
        <v>1596</v>
      </c>
    </row>
    <row r="1259" spans="1:5" ht="36" customHeight="1">
      <c r="A1259" s="1" t="s">
        <v>1580</v>
      </c>
      <c r="B1259" s="1" t="s">
        <v>2436</v>
      </c>
      <c r="C1259" s="1" t="s">
        <v>1638</v>
      </c>
      <c r="D1259" s="1" t="s">
        <v>1895</v>
      </c>
      <c r="E1259" s="1" t="s">
        <v>1596</v>
      </c>
    </row>
    <row r="1260" spans="1:5" ht="36" customHeight="1">
      <c r="A1260" s="1" t="s">
        <v>1580</v>
      </c>
      <c r="B1260" s="1" t="s">
        <v>2436</v>
      </c>
      <c r="C1260" s="1" t="s">
        <v>1908</v>
      </c>
      <c r="D1260" s="1" t="s">
        <v>2449</v>
      </c>
      <c r="E1260" s="1" t="s">
        <v>1596</v>
      </c>
    </row>
    <row r="1261" spans="1:5" ht="36" customHeight="1">
      <c r="A1261" s="1" t="s">
        <v>1580</v>
      </c>
      <c r="B1261" s="1" t="s">
        <v>2436</v>
      </c>
      <c r="C1261" s="1" t="s">
        <v>1909</v>
      </c>
      <c r="D1261" s="1" t="s">
        <v>2450</v>
      </c>
      <c r="E1261" s="1" t="s">
        <v>1786</v>
      </c>
    </row>
    <row r="1262" spans="1:5" ht="36" customHeight="1">
      <c r="A1262" s="1" t="s">
        <v>1580</v>
      </c>
      <c r="B1262" s="1" t="s">
        <v>2436</v>
      </c>
      <c r="C1262" s="1" t="s">
        <v>1911</v>
      </c>
      <c r="D1262" s="1" t="s">
        <v>2451</v>
      </c>
      <c r="E1262" s="1" t="s">
        <v>1786</v>
      </c>
    </row>
    <row r="1263" spans="1:5" ht="36" customHeight="1">
      <c r="A1263" s="1" t="s">
        <v>1580</v>
      </c>
      <c r="B1263" s="1" t="s">
        <v>2436</v>
      </c>
      <c r="C1263" s="1" t="s">
        <v>1912</v>
      </c>
      <c r="D1263" s="1" t="s">
        <v>1892</v>
      </c>
      <c r="E1263" s="1" t="s">
        <v>1596</v>
      </c>
    </row>
    <row r="1264" spans="1:5" ht="36" customHeight="1">
      <c r="A1264" s="1" t="s">
        <v>1580</v>
      </c>
      <c r="B1264" s="1" t="s">
        <v>2436</v>
      </c>
      <c r="C1264" s="1" t="s">
        <v>1913</v>
      </c>
      <c r="D1264" s="1" t="s">
        <v>622</v>
      </c>
      <c r="E1264" s="1" t="s">
        <v>1596</v>
      </c>
    </row>
    <row r="1265" spans="1:5" ht="36" customHeight="1">
      <c r="A1265" s="1" t="s">
        <v>1580</v>
      </c>
      <c r="B1265" s="1" t="s">
        <v>2436</v>
      </c>
      <c r="C1265" s="1" t="s">
        <v>1645</v>
      </c>
      <c r="D1265" s="1" t="s">
        <v>2247</v>
      </c>
      <c r="E1265" s="1" t="s">
        <v>1596</v>
      </c>
    </row>
    <row r="1266" spans="1:5" ht="36" customHeight="1">
      <c r="A1266" s="1" t="s">
        <v>1580</v>
      </c>
      <c r="B1266" s="1" t="s">
        <v>2436</v>
      </c>
      <c r="C1266" s="1" t="s">
        <v>1914</v>
      </c>
      <c r="D1266" s="1" t="s">
        <v>1782</v>
      </c>
      <c r="E1266" s="1" t="s">
        <v>1596</v>
      </c>
    </row>
    <row r="1267" spans="1:5" ht="36" customHeight="1">
      <c r="A1267" s="1" t="s">
        <v>1580</v>
      </c>
      <c r="B1267" s="1" t="s">
        <v>2436</v>
      </c>
      <c r="C1267" s="1" t="s">
        <v>1916</v>
      </c>
      <c r="D1267" s="1" t="s">
        <v>2452</v>
      </c>
      <c r="E1267" s="1" t="s">
        <v>1596</v>
      </c>
    </row>
    <row r="1268" spans="1:5" ht="36" customHeight="1">
      <c r="A1268" s="1" t="s">
        <v>1580</v>
      </c>
      <c r="B1268" s="1" t="s">
        <v>2436</v>
      </c>
      <c r="C1268" s="1" t="s">
        <v>1918</v>
      </c>
      <c r="D1268" s="1" t="s">
        <v>2453</v>
      </c>
      <c r="E1268" s="1" t="s">
        <v>1596</v>
      </c>
    </row>
    <row r="1269" spans="1:5" ht="36" customHeight="1">
      <c r="A1269" s="1" t="s">
        <v>1580</v>
      </c>
      <c r="B1269" s="1" t="s">
        <v>2436</v>
      </c>
      <c r="C1269" s="1" t="s">
        <v>1920</v>
      </c>
      <c r="D1269" s="1" t="s">
        <v>1884</v>
      </c>
      <c r="E1269" s="1" t="s">
        <v>1596</v>
      </c>
    </row>
    <row r="1270" spans="1:5" ht="36" customHeight="1">
      <c r="A1270" s="1" t="s">
        <v>1580</v>
      </c>
      <c r="B1270" s="1" t="s">
        <v>2436</v>
      </c>
      <c r="C1270" s="1" t="s">
        <v>1726</v>
      </c>
      <c r="D1270" s="1" t="s">
        <v>625</v>
      </c>
      <c r="E1270" s="1" t="s">
        <v>1596</v>
      </c>
    </row>
    <row r="1271" spans="1:5" ht="36" customHeight="1">
      <c r="A1271" s="1" t="s">
        <v>1580</v>
      </c>
      <c r="B1271" s="1" t="s">
        <v>2436</v>
      </c>
      <c r="C1271" s="1" t="s">
        <v>1651</v>
      </c>
      <c r="D1271" s="1" t="s">
        <v>1915</v>
      </c>
      <c r="E1271" s="1" t="s">
        <v>1596</v>
      </c>
    </row>
    <row r="1272" spans="1:5" ht="36" customHeight="1">
      <c r="A1272" s="1" t="s">
        <v>1580</v>
      </c>
      <c r="B1272" s="1" t="s">
        <v>2436</v>
      </c>
      <c r="C1272" s="1" t="s">
        <v>1807</v>
      </c>
      <c r="D1272" s="1" t="s">
        <v>1903</v>
      </c>
      <c r="E1272" s="1" t="s">
        <v>1596</v>
      </c>
    </row>
    <row r="1273" spans="1:5" ht="36" customHeight="1">
      <c r="A1273" s="1" t="s">
        <v>1580</v>
      </c>
      <c r="B1273" s="1" t="s">
        <v>2436</v>
      </c>
      <c r="C1273" s="1" t="s">
        <v>1808</v>
      </c>
      <c r="D1273" s="1" t="s">
        <v>2449</v>
      </c>
      <c r="E1273" s="1" t="s">
        <v>1596</v>
      </c>
    </row>
    <row r="1274" spans="1:5" ht="36" customHeight="1">
      <c r="A1274" s="1" t="s">
        <v>1580</v>
      </c>
      <c r="B1274" s="1" t="s">
        <v>2436</v>
      </c>
      <c r="C1274" s="1" t="s">
        <v>1809</v>
      </c>
      <c r="D1274" s="1" t="s">
        <v>1921</v>
      </c>
      <c r="E1274" s="1" t="s">
        <v>1596</v>
      </c>
    </row>
    <row r="1275" spans="1:5" ht="48" customHeight="1">
      <c r="A1275" s="1" t="s">
        <v>1580</v>
      </c>
      <c r="B1275" s="1" t="s">
        <v>2436</v>
      </c>
      <c r="C1275" s="1" t="s">
        <v>1810</v>
      </c>
      <c r="D1275" s="1" t="s">
        <v>2454</v>
      </c>
      <c r="E1275" s="1" t="s">
        <v>1596</v>
      </c>
    </row>
    <row r="1276" spans="1:5" ht="36" customHeight="1">
      <c r="A1276" s="1" t="s">
        <v>1580</v>
      </c>
      <c r="B1276" s="1" t="s">
        <v>2436</v>
      </c>
      <c r="C1276" s="1" t="s">
        <v>1655</v>
      </c>
      <c r="D1276" s="1" t="s">
        <v>1923</v>
      </c>
      <c r="E1276" s="1" t="s">
        <v>1596</v>
      </c>
    </row>
    <row r="1277" spans="1:5" ht="36" customHeight="1">
      <c r="A1277" s="1" t="s">
        <v>1580</v>
      </c>
      <c r="B1277" s="1" t="s">
        <v>2436</v>
      </c>
      <c r="C1277" s="1" t="s">
        <v>1924</v>
      </c>
      <c r="D1277" s="1" t="s">
        <v>1892</v>
      </c>
      <c r="E1277" s="1" t="s">
        <v>1596</v>
      </c>
    </row>
    <row r="1278" spans="1:5" ht="36" customHeight="1">
      <c r="A1278" s="1" t="s">
        <v>1580</v>
      </c>
      <c r="B1278" s="1" t="s">
        <v>2436</v>
      </c>
      <c r="C1278" s="1" t="s">
        <v>1925</v>
      </c>
      <c r="D1278" s="1" t="s">
        <v>627</v>
      </c>
      <c r="E1278" s="1" t="s">
        <v>1596</v>
      </c>
    </row>
    <row r="1279" spans="1:5" ht="36" customHeight="1">
      <c r="A1279" s="1" t="s">
        <v>1580</v>
      </c>
      <c r="B1279" s="1" t="s">
        <v>2436</v>
      </c>
      <c r="C1279" s="1" t="s">
        <v>1658</v>
      </c>
      <c r="D1279" s="1" t="s">
        <v>2036</v>
      </c>
      <c r="E1279" s="1" t="s">
        <v>1596</v>
      </c>
    </row>
    <row r="1280" spans="1:5" ht="36" customHeight="1">
      <c r="A1280" s="1" t="s">
        <v>1580</v>
      </c>
      <c r="B1280" s="1" t="s">
        <v>2436</v>
      </c>
      <c r="C1280" s="1" t="s">
        <v>1926</v>
      </c>
      <c r="D1280" s="1" t="s">
        <v>359</v>
      </c>
      <c r="E1280" s="1" t="s">
        <v>1596</v>
      </c>
    </row>
    <row r="1281" spans="1:5" ht="36" customHeight="1">
      <c r="A1281" s="1" t="s">
        <v>1580</v>
      </c>
      <c r="B1281" s="1" t="s">
        <v>2436</v>
      </c>
      <c r="C1281" s="1" t="s">
        <v>1927</v>
      </c>
      <c r="D1281" s="1" t="s">
        <v>2455</v>
      </c>
      <c r="E1281" s="1" t="s">
        <v>1596</v>
      </c>
    </row>
    <row r="1282" spans="1:5" ht="36" customHeight="1">
      <c r="A1282" s="1" t="s">
        <v>1580</v>
      </c>
      <c r="B1282" s="1" t="s">
        <v>2436</v>
      </c>
      <c r="C1282" s="1" t="s">
        <v>1928</v>
      </c>
      <c r="D1282" s="1" t="s">
        <v>1873</v>
      </c>
      <c r="E1282" s="1" t="s">
        <v>1596</v>
      </c>
    </row>
    <row r="1283" spans="1:5" ht="36" customHeight="1">
      <c r="A1283" s="1" t="s">
        <v>1580</v>
      </c>
      <c r="B1283" s="1" t="s">
        <v>2436</v>
      </c>
      <c r="C1283" s="1" t="s">
        <v>1660</v>
      </c>
      <c r="D1283" s="1" t="s">
        <v>549</v>
      </c>
      <c r="E1283" s="1" t="s">
        <v>1596</v>
      </c>
    </row>
    <row r="1284" spans="1:5" ht="36" customHeight="1">
      <c r="A1284" s="1" t="s">
        <v>1580</v>
      </c>
      <c r="B1284" s="1" t="s">
        <v>2436</v>
      </c>
      <c r="C1284" s="1" t="s">
        <v>1661</v>
      </c>
      <c r="D1284" s="1" t="s">
        <v>1691</v>
      </c>
      <c r="E1284" s="1" t="s">
        <v>1596</v>
      </c>
    </row>
    <row r="1285" spans="1:5" ht="36" customHeight="1">
      <c r="A1285" s="1" t="s">
        <v>1580</v>
      </c>
      <c r="B1285" s="1" t="s">
        <v>2436</v>
      </c>
      <c r="C1285" s="1" t="s">
        <v>1929</v>
      </c>
      <c r="D1285" s="1" t="s">
        <v>1892</v>
      </c>
      <c r="E1285" s="1" t="s">
        <v>1596</v>
      </c>
    </row>
    <row r="1286" spans="1:5" ht="36" customHeight="1">
      <c r="A1286" s="1" t="s">
        <v>1580</v>
      </c>
      <c r="B1286" s="1" t="s">
        <v>2436</v>
      </c>
      <c r="C1286" s="1" t="s">
        <v>1728</v>
      </c>
      <c r="D1286" s="1" t="s">
        <v>629</v>
      </c>
      <c r="E1286" s="1" t="s">
        <v>1596</v>
      </c>
    </row>
    <row r="1287" spans="1:5" ht="36" customHeight="1">
      <c r="A1287" s="1" t="s">
        <v>1580</v>
      </c>
      <c r="B1287" s="1" t="s">
        <v>2436</v>
      </c>
      <c r="C1287" s="1" t="s">
        <v>1664</v>
      </c>
      <c r="D1287" s="1" t="s">
        <v>2036</v>
      </c>
      <c r="E1287" s="1" t="s">
        <v>1596</v>
      </c>
    </row>
    <row r="1288" spans="1:5" ht="36" customHeight="1">
      <c r="A1288" s="1" t="s">
        <v>1580</v>
      </c>
      <c r="B1288" s="1" t="s">
        <v>2436</v>
      </c>
      <c r="C1288" s="1" t="s">
        <v>1930</v>
      </c>
      <c r="D1288" s="1" t="s">
        <v>1951</v>
      </c>
      <c r="E1288" s="1" t="s">
        <v>1596</v>
      </c>
    </row>
    <row r="1289" spans="1:5" ht="36" customHeight="1">
      <c r="A1289" s="1" t="s">
        <v>1580</v>
      </c>
      <c r="B1289" s="1" t="s">
        <v>2436</v>
      </c>
      <c r="C1289" s="1" t="s">
        <v>1931</v>
      </c>
      <c r="D1289" s="1" t="s">
        <v>2456</v>
      </c>
      <c r="E1289" s="1" t="s">
        <v>1596</v>
      </c>
    </row>
    <row r="1290" spans="1:5" ht="36" customHeight="1">
      <c r="A1290" s="1" t="s">
        <v>1580</v>
      </c>
      <c r="B1290" s="1" t="s">
        <v>2436</v>
      </c>
      <c r="C1290" s="1" t="s">
        <v>1932</v>
      </c>
      <c r="D1290" s="1" t="s">
        <v>2457</v>
      </c>
      <c r="E1290" s="1" t="s">
        <v>1596</v>
      </c>
    </row>
    <row r="1291" spans="1:5" ht="36" customHeight="1">
      <c r="A1291" s="1" t="s">
        <v>1580</v>
      </c>
      <c r="B1291" s="1" t="s">
        <v>2436</v>
      </c>
      <c r="C1291" s="1" t="s">
        <v>1933</v>
      </c>
      <c r="D1291" s="1" t="s">
        <v>1884</v>
      </c>
      <c r="E1291" s="1" t="s">
        <v>1596</v>
      </c>
    </row>
    <row r="1292" spans="1:5" ht="36" customHeight="1">
      <c r="A1292" s="1" t="s">
        <v>1580</v>
      </c>
      <c r="B1292" s="1" t="s">
        <v>2436</v>
      </c>
      <c r="C1292" s="1" t="s">
        <v>1816</v>
      </c>
      <c r="D1292" s="1" t="s">
        <v>631</v>
      </c>
      <c r="E1292" s="1" t="s">
        <v>1596</v>
      </c>
    </row>
    <row r="1293" spans="1:5" ht="36" customHeight="1">
      <c r="A1293" s="1" t="s">
        <v>1580</v>
      </c>
      <c r="B1293" s="1" t="s">
        <v>2436</v>
      </c>
      <c r="C1293" s="1" t="s">
        <v>1701</v>
      </c>
      <c r="D1293" s="1" t="s">
        <v>2458</v>
      </c>
      <c r="E1293" s="1" t="s">
        <v>1596</v>
      </c>
    </row>
    <row r="1294" spans="1:5" ht="36" customHeight="1">
      <c r="A1294" s="1" t="s">
        <v>1580</v>
      </c>
      <c r="B1294" s="1" t="s">
        <v>2436</v>
      </c>
      <c r="C1294" s="1" t="s">
        <v>1934</v>
      </c>
      <c r="D1294" s="1" t="s">
        <v>2459</v>
      </c>
      <c r="E1294" s="1" t="s">
        <v>1596</v>
      </c>
    </row>
    <row r="1295" spans="1:5" ht="36" customHeight="1">
      <c r="A1295" s="1" t="s">
        <v>1580</v>
      </c>
      <c r="B1295" s="1" t="s">
        <v>2436</v>
      </c>
      <c r="C1295" s="1" t="s">
        <v>1935</v>
      </c>
      <c r="D1295" s="1" t="s">
        <v>2460</v>
      </c>
      <c r="E1295" s="1" t="s">
        <v>1596</v>
      </c>
    </row>
    <row r="1296" spans="1:5" ht="36" customHeight="1">
      <c r="A1296" s="1" t="s">
        <v>1580</v>
      </c>
      <c r="B1296" s="1" t="s">
        <v>2436</v>
      </c>
      <c r="C1296" s="1" t="s">
        <v>1936</v>
      </c>
      <c r="D1296" s="1" t="s">
        <v>2461</v>
      </c>
      <c r="E1296" s="1" t="s">
        <v>1596</v>
      </c>
    </row>
    <row r="1297" spans="1:5" ht="36" customHeight="1">
      <c r="A1297" s="1" t="s">
        <v>1580</v>
      </c>
      <c r="B1297" s="1" t="s">
        <v>2436</v>
      </c>
      <c r="C1297" s="1" t="s">
        <v>1703</v>
      </c>
      <c r="D1297" s="1" t="s">
        <v>1937</v>
      </c>
      <c r="E1297" s="1" t="s">
        <v>1596</v>
      </c>
    </row>
    <row r="1298" spans="1:5" ht="36" customHeight="1">
      <c r="A1298" s="1" t="s">
        <v>1580</v>
      </c>
      <c r="B1298" s="1" t="s">
        <v>2436</v>
      </c>
      <c r="C1298" s="1" t="s">
        <v>1938</v>
      </c>
      <c r="D1298" s="1" t="s">
        <v>1892</v>
      </c>
      <c r="E1298" s="1" t="s">
        <v>1596</v>
      </c>
    </row>
    <row r="1299" spans="1:5" ht="36" customHeight="1">
      <c r="A1299" s="1" t="s">
        <v>1580</v>
      </c>
      <c r="B1299" s="1" t="s">
        <v>2436</v>
      </c>
      <c r="C1299" s="1" t="s">
        <v>1730</v>
      </c>
      <c r="D1299" s="1" t="s">
        <v>634</v>
      </c>
      <c r="E1299" s="1" t="s">
        <v>1596</v>
      </c>
    </row>
    <row r="1300" spans="1:5" ht="36" customHeight="1">
      <c r="A1300" s="1" t="s">
        <v>1580</v>
      </c>
      <c r="B1300" s="1" t="s">
        <v>2436</v>
      </c>
      <c r="C1300" s="1" t="s">
        <v>1732</v>
      </c>
      <c r="D1300" s="1" t="s">
        <v>1782</v>
      </c>
      <c r="E1300" s="1" t="s">
        <v>1596</v>
      </c>
    </row>
    <row r="1301" spans="1:5" ht="36" customHeight="1">
      <c r="A1301" s="1" t="s">
        <v>1580</v>
      </c>
      <c r="B1301" s="1" t="s">
        <v>2436</v>
      </c>
      <c r="C1301" s="1" t="s">
        <v>1939</v>
      </c>
      <c r="D1301" s="1" t="s">
        <v>2462</v>
      </c>
      <c r="E1301" s="1" t="s">
        <v>1596</v>
      </c>
    </row>
    <row r="1302" spans="1:5" ht="36" customHeight="1">
      <c r="A1302" s="1" t="s">
        <v>1580</v>
      </c>
      <c r="B1302" s="1" t="s">
        <v>2436</v>
      </c>
      <c r="C1302" s="1" t="s">
        <v>1940</v>
      </c>
      <c r="D1302" s="1" t="s">
        <v>2463</v>
      </c>
      <c r="E1302" s="1" t="s">
        <v>1596</v>
      </c>
    </row>
    <row r="1303" spans="1:5" ht="36" customHeight="1">
      <c r="A1303" s="1" t="s">
        <v>1580</v>
      </c>
      <c r="B1303" s="1" t="s">
        <v>2436</v>
      </c>
      <c r="C1303" s="1" t="s">
        <v>1943</v>
      </c>
      <c r="D1303" s="1" t="s">
        <v>2462</v>
      </c>
      <c r="E1303" s="1" t="s">
        <v>1596</v>
      </c>
    </row>
    <row r="1304" spans="1:5" ht="36" customHeight="1">
      <c r="A1304" s="1" t="s">
        <v>1580</v>
      </c>
      <c r="B1304" s="1" t="s">
        <v>2436</v>
      </c>
      <c r="C1304" s="1" t="s">
        <v>1945</v>
      </c>
      <c r="D1304" s="1" t="s">
        <v>2464</v>
      </c>
      <c r="E1304" s="1" t="s">
        <v>1596</v>
      </c>
    </row>
    <row r="1305" spans="1:5" ht="36" customHeight="1">
      <c r="A1305" s="1" t="s">
        <v>1580</v>
      </c>
      <c r="B1305" s="1" t="s">
        <v>2436</v>
      </c>
      <c r="C1305" s="1" t="s">
        <v>1946</v>
      </c>
      <c r="D1305" s="1" t="s">
        <v>2439</v>
      </c>
      <c r="E1305" s="1" t="s">
        <v>1596</v>
      </c>
    </row>
    <row r="1306" spans="1:5" ht="36" customHeight="1">
      <c r="A1306" s="1" t="s">
        <v>1580</v>
      </c>
      <c r="B1306" s="1" t="s">
        <v>2436</v>
      </c>
      <c r="C1306" s="1" t="s">
        <v>1947</v>
      </c>
      <c r="D1306" s="1" t="s">
        <v>1892</v>
      </c>
      <c r="E1306" s="1" t="s">
        <v>1596</v>
      </c>
    </row>
    <row r="1307" spans="1:5" ht="36" customHeight="1">
      <c r="A1307" s="1" t="s">
        <v>1580</v>
      </c>
      <c r="B1307" s="1" t="s">
        <v>2436</v>
      </c>
      <c r="C1307" s="1" t="s">
        <v>1822</v>
      </c>
      <c r="D1307" s="1" t="s">
        <v>636</v>
      </c>
      <c r="E1307" s="1" t="s">
        <v>1596</v>
      </c>
    </row>
    <row r="1308" spans="1:5" ht="36" customHeight="1">
      <c r="A1308" s="1" t="s">
        <v>1580</v>
      </c>
      <c r="B1308" s="1" t="s">
        <v>2436</v>
      </c>
      <c r="C1308" s="1" t="s">
        <v>1824</v>
      </c>
      <c r="D1308" s="1" t="s">
        <v>1782</v>
      </c>
      <c r="E1308" s="1" t="s">
        <v>1596</v>
      </c>
    </row>
    <row r="1309" spans="1:5" ht="36" customHeight="1">
      <c r="A1309" s="1" t="s">
        <v>1580</v>
      </c>
      <c r="B1309" s="1" t="s">
        <v>2436</v>
      </c>
      <c r="C1309" s="1" t="s">
        <v>1949</v>
      </c>
      <c r="D1309" s="1" t="s">
        <v>1951</v>
      </c>
      <c r="E1309" s="1" t="s">
        <v>1596</v>
      </c>
    </row>
    <row r="1310" spans="1:5" ht="36" customHeight="1">
      <c r="A1310" s="1" t="s">
        <v>1580</v>
      </c>
      <c r="B1310" s="1" t="s">
        <v>2436</v>
      </c>
      <c r="C1310" s="1" t="s">
        <v>2294</v>
      </c>
      <c r="D1310" s="1" t="s">
        <v>1951</v>
      </c>
      <c r="E1310" s="1" t="s">
        <v>1596</v>
      </c>
    </row>
    <row r="1311" spans="1:5" ht="36" customHeight="1">
      <c r="A1311" s="1" t="s">
        <v>1580</v>
      </c>
      <c r="B1311" s="1" t="s">
        <v>2436</v>
      </c>
      <c r="C1311" s="1" t="s">
        <v>2295</v>
      </c>
      <c r="D1311" s="1" t="s">
        <v>1873</v>
      </c>
      <c r="E1311" s="1" t="s">
        <v>1596</v>
      </c>
    </row>
    <row r="1312" spans="1:5" ht="36" customHeight="1">
      <c r="A1312" s="1" t="s">
        <v>1580</v>
      </c>
      <c r="B1312" s="1" t="s">
        <v>2436</v>
      </c>
      <c r="C1312" s="1" t="s">
        <v>1826</v>
      </c>
      <c r="D1312" s="1" t="s">
        <v>2465</v>
      </c>
      <c r="E1312" s="1" t="s">
        <v>1596</v>
      </c>
    </row>
    <row r="1313" spans="1:5" ht="36" customHeight="1">
      <c r="A1313" s="1" t="s">
        <v>1580</v>
      </c>
      <c r="B1313" s="1" t="s">
        <v>2436</v>
      </c>
      <c r="C1313" s="1" t="s">
        <v>2392</v>
      </c>
      <c r="D1313" s="1" t="s">
        <v>2466</v>
      </c>
      <c r="E1313" s="1" t="s">
        <v>1596</v>
      </c>
    </row>
    <row r="1314" spans="1:5" ht="36" customHeight="1">
      <c r="A1314" s="1" t="s">
        <v>1580</v>
      </c>
      <c r="B1314" s="1" t="s">
        <v>2436</v>
      </c>
      <c r="C1314" s="1" t="s">
        <v>2393</v>
      </c>
      <c r="D1314" s="1" t="s">
        <v>1923</v>
      </c>
      <c r="E1314" s="1" t="s">
        <v>1596</v>
      </c>
    </row>
    <row r="1315" spans="1:5" ht="36" customHeight="1">
      <c r="A1315" s="1" t="s">
        <v>1580</v>
      </c>
      <c r="B1315" s="1" t="s">
        <v>2436</v>
      </c>
      <c r="C1315" s="1" t="s">
        <v>2467</v>
      </c>
      <c r="D1315" s="1" t="s">
        <v>1884</v>
      </c>
      <c r="E1315" s="1" t="s">
        <v>1596</v>
      </c>
    </row>
    <row r="1316" spans="1:5" ht="36" customHeight="1">
      <c r="A1316" s="1" t="s">
        <v>1580</v>
      </c>
      <c r="B1316" s="1" t="s">
        <v>2436</v>
      </c>
      <c r="C1316" s="1" t="s">
        <v>1734</v>
      </c>
      <c r="D1316" s="1" t="s">
        <v>639</v>
      </c>
      <c r="E1316" s="1" t="s">
        <v>1596</v>
      </c>
    </row>
    <row r="1317" spans="1:5" ht="36" customHeight="1">
      <c r="A1317" s="1" t="s">
        <v>1580</v>
      </c>
      <c r="B1317" s="1" t="s">
        <v>2436</v>
      </c>
      <c r="C1317" s="1" t="s">
        <v>1706</v>
      </c>
      <c r="D1317" s="1" t="s">
        <v>1951</v>
      </c>
      <c r="E1317" s="1" t="s">
        <v>1786</v>
      </c>
    </row>
    <row r="1318" spans="1:5" ht="36" customHeight="1">
      <c r="A1318" s="1" t="s">
        <v>1580</v>
      </c>
      <c r="B1318" s="1" t="s">
        <v>2436</v>
      </c>
      <c r="C1318" s="1" t="s">
        <v>1669</v>
      </c>
      <c r="D1318" s="1" t="s">
        <v>2468</v>
      </c>
      <c r="E1318" s="1" t="s">
        <v>1786</v>
      </c>
    </row>
    <row r="1319" spans="1:5" ht="36" customHeight="1">
      <c r="A1319" s="1" t="s">
        <v>1580</v>
      </c>
      <c r="B1319" s="1" t="s">
        <v>2436</v>
      </c>
      <c r="C1319" s="1" t="s">
        <v>2299</v>
      </c>
      <c r="D1319" s="1" t="s">
        <v>2469</v>
      </c>
      <c r="E1319" s="1" t="s">
        <v>1786</v>
      </c>
    </row>
    <row r="1320" spans="1:5" ht="36" customHeight="1">
      <c r="A1320" s="1" t="s">
        <v>1580</v>
      </c>
      <c r="B1320" s="1" t="s">
        <v>2436</v>
      </c>
      <c r="C1320" s="1" t="s">
        <v>2301</v>
      </c>
      <c r="D1320" s="1" t="s">
        <v>2470</v>
      </c>
      <c r="E1320" s="1" t="s">
        <v>1786</v>
      </c>
    </row>
    <row r="1321" spans="1:5" ht="36" customHeight="1">
      <c r="A1321" s="1" t="s">
        <v>1580</v>
      </c>
      <c r="B1321" s="1" t="s">
        <v>2436</v>
      </c>
      <c r="C1321" s="1" t="s">
        <v>1708</v>
      </c>
      <c r="D1321" s="1" t="s">
        <v>552</v>
      </c>
      <c r="E1321" s="1" t="s">
        <v>1596</v>
      </c>
    </row>
    <row r="1322" spans="1:5" ht="36" customHeight="1">
      <c r="A1322" s="1" t="s">
        <v>1580</v>
      </c>
      <c r="B1322" s="1" t="s">
        <v>2436</v>
      </c>
      <c r="C1322" s="1" t="s">
        <v>1710</v>
      </c>
      <c r="D1322" s="1" t="s">
        <v>2471</v>
      </c>
      <c r="E1322" s="1" t="s">
        <v>1596</v>
      </c>
    </row>
    <row r="1323" spans="1:5" ht="36" customHeight="1">
      <c r="A1323" s="1" t="s">
        <v>1580</v>
      </c>
      <c r="B1323" s="1" t="s">
        <v>2436</v>
      </c>
      <c r="C1323" s="1" t="s">
        <v>2472</v>
      </c>
      <c r="D1323" s="1" t="s">
        <v>1892</v>
      </c>
      <c r="E1323" s="1" t="s">
        <v>1596</v>
      </c>
    </row>
    <row r="1324" spans="1:5" ht="36" customHeight="1">
      <c r="A1324" s="1" t="s">
        <v>1580</v>
      </c>
      <c r="B1324" s="1" t="s">
        <v>2436</v>
      </c>
      <c r="C1324" s="1" t="s">
        <v>2303</v>
      </c>
      <c r="D1324" s="1" t="s">
        <v>641</v>
      </c>
      <c r="E1324" s="1" t="s">
        <v>1596</v>
      </c>
    </row>
    <row r="1325" spans="1:5" ht="36" customHeight="1">
      <c r="A1325" s="1" t="s">
        <v>1580</v>
      </c>
      <c r="B1325" s="1" t="s">
        <v>2436</v>
      </c>
      <c r="C1325" s="1" t="s">
        <v>2304</v>
      </c>
      <c r="D1325" s="1" t="s">
        <v>2473</v>
      </c>
      <c r="E1325" s="1" t="s">
        <v>1596</v>
      </c>
    </row>
    <row r="1326" spans="1:5" ht="36" customHeight="1">
      <c r="A1326" s="1" t="s">
        <v>1580</v>
      </c>
      <c r="B1326" s="1" t="s">
        <v>2436</v>
      </c>
      <c r="C1326" s="1" t="s">
        <v>2057</v>
      </c>
      <c r="D1326" s="1" t="s">
        <v>2474</v>
      </c>
      <c r="E1326" s="1" t="s">
        <v>1596</v>
      </c>
    </row>
    <row r="1327" spans="1:5" ht="36" customHeight="1">
      <c r="A1327" s="1" t="s">
        <v>1580</v>
      </c>
      <c r="B1327" s="1" t="s">
        <v>2436</v>
      </c>
      <c r="C1327" s="1" t="s">
        <v>2306</v>
      </c>
      <c r="D1327" s="1" t="s">
        <v>2475</v>
      </c>
      <c r="E1327" s="1" t="s">
        <v>1596</v>
      </c>
    </row>
    <row r="1328" spans="1:5" ht="36" customHeight="1">
      <c r="A1328" s="1" t="s">
        <v>1580</v>
      </c>
      <c r="B1328" s="1" t="s">
        <v>2436</v>
      </c>
      <c r="C1328" s="1" t="s">
        <v>2308</v>
      </c>
      <c r="D1328" s="1" t="s">
        <v>2476</v>
      </c>
      <c r="E1328" s="1" t="s">
        <v>1596</v>
      </c>
    </row>
    <row r="1329" spans="1:5" ht="36" customHeight="1">
      <c r="A1329" s="1" t="s">
        <v>1580</v>
      </c>
      <c r="B1329" s="1" t="s">
        <v>2436</v>
      </c>
      <c r="C1329" s="1" t="s">
        <v>2400</v>
      </c>
      <c r="D1329" s="1" t="s">
        <v>2477</v>
      </c>
      <c r="E1329" s="1" t="s">
        <v>1786</v>
      </c>
    </row>
    <row r="1330" spans="1:5" ht="36" customHeight="1">
      <c r="A1330" s="1" t="s">
        <v>1580</v>
      </c>
      <c r="B1330" s="1" t="s">
        <v>2436</v>
      </c>
      <c r="C1330" s="1" t="s">
        <v>1829</v>
      </c>
      <c r="D1330" s="1" t="s">
        <v>2077</v>
      </c>
      <c r="E1330" s="1" t="s">
        <v>1596</v>
      </c>
    </row>
    <row r="1331" spans="1:5" ht="36" customHeight="1">
      <c r="A1331" s="1" t="s">
        <v>1580</v>
      </c>
      <c r="B1331" s="1" t="s">
        <v>2436</v>
      </c>
      <c r="C1331" s="1" t="s">
        <v>1830</v>
      </c>
      <c r="D1331" s="1" t="s">
        <v>1629</v>
      </c>
      <c r="E1331" s="1" t="s">
        <v>1596</v>
      </c>
    </row>
    <row r="1332" spans="1:5" ht="36" customHeight="1">
      <c r="A1332" s="1" t="s">
        <v>1580</v>
      </c>
      <c r="B1332" s="1" t="s">
        <v>2436</v>
      </c>
      <c r="C1332" s="1" t="s">
        <v>1737</v>
      </c>
      <c r="D1332" s="1" t="s">
        <v>643</v>
      </c>
      <c r="E1332" s="1" t="s">
        <v>1596</v>
      </c>
    </row>
    <row r="1333" spans="1:5" ht="36" customHeight="1">
      <c r="A1333" s="1" t="s">
        <v>1580</v>
      </c>
      <c r="B1333" s="1" t="s">
        <v>2436</v>
      </c>
      <c r="C1333" s="1" t="s">
        <v>1739</v>
      </c>
      <c r="D1333" s="1" t="s">
        <v>2264</v>
      </c>
      <c r="E1333" s="1" t="s">
        <v>1596</v>
      </c>
    </row>
    <row r="1334" spans="1:5" ht="36" customHeight="1">
      <c r="A1334" s="1" t="s">
        <v>1580</v>
      </c>
      <c r="B1334" s="1" t="s">
        <v>2436</v>
      </c>
      <c r="C1334" s="1" t="s">
        <v>1833</v>
      </c>
      <c r="D1334" s="1" t="s">
        <v>2265</v>
      </c>
      <c r="E1334" s="1" t="s">
        <v>1596</v>
      </c>
    </row>
    <row r="1335" spans="1:5" ht="36" customHeight="1">
      <c r="A1335" s="1" t="s">
        <v>1580</v>
      </c>
      <c r="B1335" s="1" t="s">
        <v>2436</v>
      </c>
      <c r="C1335" s="1" t="s">
        <v>1834</v>
      </c>
      <c r="D1335" s="1" t="s">
        <v>2478</v>
      </c>
      <c r="E1335" s="1" t="s">
        <v>1596</v>
      </c>
    </row>
    <row r="1336" spans="1:5" ht="36" customHeight="1">
      <c r="A1336" s="1" t="s">
        <v>1580</v>
      </c>
      <c r="B1336" s="1" t="s">
        <v>2436</v>
      </c>
      <c r="C1336" s="1" t="s">
        <v>1835</v>
      </c>
      <c r="D1336" s="1" t="s">
        <v>2267</v>
      </c>
      <c r="E1336" s="1" t="s">
        <v>1596</v>
      </c>
    </row>
    <row r="1337" spans="1:5" ht="36" customHeight="1">
      <c r="A1337" s="1" t="s">
        <v>1580</v>
      </c>
      <c r="B1337" s="1" t="s">
        <v>2436</v>
      </c>
      <c r="C1337" s="1" t="s">
        <v>1838</v>
      </c>
      <c r="D1337" s="1" t="s">
        <v>2479</v>
      </c>
      <c r="E1337" s="1" t="s">
        <v>1596</v>
      </c>
    </row>
    <row r="1338" spans="1:5" ht="36" customHeight="1">
      <c r="A1338" s="1" t="s">
        <v>1580</v>
      </c>
      <c r="B1338" s="1" t="s">
        <v>2436</v>
      </c>
      <c r="C1338" s="1" t="s">
        <v>1839</v>
      </c>
      <c r="D1338" s="1" t="s">
        <v>1629</v>
      </c>
      <c r="E1338" s="1" t="s">
        <v>1596</v>
      </c>
    </row>
    <row r="1339" spans="1:5" ht="36" customHeight="1">
      <c r="A1339" s="1" t="s">
        <v>1580</v>
      </c>
      <c r="B1339" s="1" t="s">
        <v>2436</v>
      </c>
      <c r="C1339" s="1" t="s">
        <v>2480</v>
      </c>
      <c r="D1339" s="1" t="s">
        <v>1892</v>
      </c>
      <c r="E1339" s="1" t="s">
        <v>1596</v>
      </c>
    </row>
    <row r="1340" spans="1:5" ht="36" customHeight="1">
      <c r="A1340" s="1" t="s">
        <v>1580</v>
      </c>
      <c r="B1340" s="1" t="s">
        <v>2436</v>
      </c>
      <c r="C1340" s="1" t="s">
        <v>1980</v>
      </c>
      <c r="D1340" s="1" t="s">
        <v>646</v>
      </c>
      <c r="E1340" s="1" t="s">
        <v>1596</v>
      </c>
    </row>
    <row r="1341" spans="1:5" ht="36" customHeight="1">
      <c r="A1341" s="1" t="s">
        <v>1580</v>
      </c>
      <c r="B1341" s="1" t="s">
        <v>2436</v>
      </c>
      <c r="C1341" s="1" t="s">
        <v>1982</v>
      </c>
      <c r="D1341" s="1" t="s">
        <v>2481</v>
      </c>
      <c r="E1341" s="1" t="s">
        <v>1596</v>
      </c>
    </row>
    <row r="1342" spans="1:5" ht="36" customHeight="1">
      <c r="A1342" s="1" t="s">
        <v>1580</v>
      </c>
      <c r="B1342" s="1" t="s">
        <v>2436</v>
      </c>
      <c r="C1342" s="1" t="s">
        <v>1984</v>
      </c>
      <c r="D1342" s="1" t="s">
        <v>2482</v>
      </c>
      <c r="E1342" s="1" t="s">
        <v>1596</v>
      </c>
    </row>
    <row r="1343" spans="1:5" ht="36" customHeight="1">
      <c r="A1343" s="1" t="s">
        <v>1580</v>
      </c>
      <c r="B1343" s="1" t="s">
        <v>2436</v>
      </c>
      <c r="C1343" s="1" t="s">
        <v>1985</v>
      </c>
      <c r="D1343" s="1" t="s">
        <v>2483</v>
      </c>
      <c r="E1343" s="1" t="s">
        <v>1596</v>
      </c>
    </row>
    <row r="1344" spans="1:5" ht="36" customHeight="1">
      <c r="A1344" s="1" t="s">
        <v>1580</v>
      </c>
      <c r="B1344" s="1" t="s">
        <v>2436</v>
      </c>
      <c r="C1344" s="1" t="s">
        <v>1987</v>
      </c>
      <c r="D1344" s="1" t="s">
        <v>2484</v>
      </c>
      <c r="E1344" s="1" t="s">
        <v>1596</v>
      </c>
    </row>
    <row r="1345" spans="1:5" ht="36" customHeight="1">
      <c r="A1345" s="1" t="s">
        <v>1580</v>
      </c>
      <c r="B1345" s="1" t="s">
        <v>2436</v>
      </c>
      <c r="C1345" s="1" t="s">
        <v>2485</v>
      </c>
      <c r="D1345" s="1" t="s">
        <v>1892</v>
      </c>
      <c r="E1345" s="1" t="s">
        <v>1596</v>
      </c>
    </row>
    <row r="1346" spans="1:5" ht="36" customHeight="1">
      <c r="A1346" s="1" t="s">
        <v>1580</v>
      </c>
      <c r="B1346" s="1" t="s">
        <v>2436</v>
      </c>
      <c r="C1346" s="1" t="s">
        <v>1711</v>
      </c>
      <c r="D1346" s="1" t="s">
        <v>1668</v>
      </c>
      <c r="E1346" s="1" t="s">
        <v>1596</v>
      </c>
    </row>
    <row r="1347" spans="1:5" ht="36" customHeight="1">
      <c r="A1347" s="1" t="s">
        <v>1580</v>
      </c>
      <c r="B1347" s="1" t="s">
        <v>2436</v>
      </c>
      <c r="C1347" s="1" t="s">
        <v>1712</v>
      </c>
      <c r="D1347" s="1" t="s">
        <v>1670</v>
      </c>
      <c r="E1347" s="1" t="s">
        <v>1596</v>
      </c>
    </row>
    <row r="1348" spans="1:5" ht="36" customHeight="1">
      <c r="A1348" s="1" t="s">
        <v>1580</v>
      </c>
      <c r="B1348" s="1" t="s">
        <v>2436</v>
      </c>
      <c r="C1348" s="1" t="s">
        <v>1713</v>
      </c>
      <c r="D1348" s="1" t="s">
        <v>1672</v>
      </c>
      <c r="E1348" s="1" t="s">
        <v>1596</v>
      </c>
    </row>
    <row r="1349" spans="1:5" ht="36" customHeight="1">
      <c r="A1349" s="1" t="s">
        <v>1580</v>
      </c>
      <c r="B1349" s="1" t="s">
        <v>2436</v>
      </c>
      <c r="C1349" s="1" t="s">
        <v>1995</v>
      </c>
      <c r="D1349" s="1" t="s">
        <v>2437</v>
      </c>
      <c r="E1349" s="1" t="s">
        <v>1596</v>
      </c>
    </row>
    <row r="1350" spans="1:5" ht="36" customHeight="1">
      <c r="A1350" s="1" t="s">
        <v>1580</v>
      </c>
      <c r="B1350" s="1" t="s">
        <v>2436</v>
      </c>
      <c r="C1350" s="1" t="s">
        <v>2421</v>
      </c>
      <c r="D1350" s="1" t="s">
        <v>1598</v>
      </c>
      <c r="E1350" s="1" t="s">
        <v>1596</v>
      </c>
    </row>
    <row r="1351" spans="1:5" ht="36" customHeight="1">
      <c r="A1351" s="1" t="s">
        <v>1580</v>
      </c>
      <c r="B1351" s="1" t="s">
        <v>2436</v>
      </c>
      <c r="C1351" s="1" t="s">
        <v>2422</v>
      </c>
      <c r="D1351" s="1" t="s">
        <v>1600</v>
      </c>
      <c r="E1351" s="1" t="s">
        <v>1596</v>
      </c>
    </row>
    <row r="1352" spans="1:5" ht="36" customHeight="1">
      <c r="A1352" s="1" t="s">
        <v>1580</v>
      </c>
      <c r="B1352" s="1" t="s">
        <v>2436</v>
      </c>
      <c r="C1352" s="1" t="s">
        <v>1847</v>
      </c>
      <c r="D1352" s="1" t="s">
        <v>1602</v>
      </c>
      <c r="E1352" s="1" t="s">
        <v>1596</v>
      </c>
    </row>
    <row r="1353" spans="1:5" ht="36" customHeight="1">
      <c r="A1353" s="1" t="s">
        <v>1580</v>
      </c>
      <c r="B1353" s="1" t="s">
        <v>2436</v>
      </c>
      <c r="C1353" s="1" t="s">
        <v>1848</v>
      </c>
      <c r="D1353" s="1" t="s">
        <v>1764</v>
      </c>
      <c r="E1353" s="1" t="s">
        <v>1596</v>
      </c>
    </row>
    <row r="1354" spans="1:5" ht="36" customHeight="1">
      <c r="A1354" s="1" t="s">
        <v>1580</v>
      </c>
      <c r="B1354" s="1" t="s">
        <v>2436</v>
      </c>
      <c r="C1354" s="1" t="s">
        <v>2486</v>
      </c>
      <c r="D1354" s="1" t="s">
        <v>1676</v>
      </c>
      <c r="E1354" s="1" t="s">
        <v>1596</v>
      </c>
    </row>
    <row r="1355" spans="1:5" ht="36" customHeight="1">
      <c r="A1355" s="1" t="s">
        <v>1580</v>
      </c>
      <c r="B1355" s="1" t="s">
        <v>2436</v>
      </c>
      <c r="C1355" s="1" t="s">
        <v>2008</v>
      </c>
      <c r="D1355" s="1" t="s">
        <v>1678</v>
      </c>
      <c r="E1355" s="1" t="s">
        <v>1596</v>
      </c>
    </row>
    <row r="1356" spans="1:5" ht="36" customHeight="1">
      <c r="A1356" s="1" t="s">
        <v>1580</v>
      </c>
      <c r="B1356" s="1" t="s">
        <v>2436</v>
      </c>
      <c r="C1356" s="1" t="s">
        <v>2487</v>
      </c>
      <c r="D1356" s="1" t="s">
        <v>1160</v>
      </c>
      <c r="E1356" s="1" t="s">
        <v>1596</v>
      </c>
    </row>
    <row r="1357" spans="1:5" ht="36" customHeight="1">
      <c r="A1357" s="1" t="s">
        <v>1580</v>
      </c>
      <c r="B1357" s="1" t="s">
        <v>2436</v>
      </c>
      <c r="C1357" s="1" t="s">
        <v>2488</v>
      </c>
      <c r="D1357" s="1" t="s">
        <v>1681</v>
      </c>
      <c r="E1357" s="1" t="s">
        <v>1596</v>
      </c>
    </row>
    <row r="1358" spans="1:5" ht="36" customHeight="1">
      <c r="A1358" s="1" t="s">
        <v>1580</v>
      </c>
      <c r="B1358" s="1" t="s">
        <v>2436</v>
      </c>
      <c r="C1358" s="1" t="s">
        <v>2489</v>
      </c>
      <c r="D1358" s="1" t="s">
        <v>1683</v>
      </c>
      <c r="E1358" s="1" t="s">
        <v>1596</v>
      </c>
    </row>
    <row r="1359" spans="1:5" ht="36" customHeight="1">
      <c r="A1359" s="1" t="s">
        <v>1580</v>
      </c>
      <c r="B1359" s="1" t="s">
        <v>2436</v>
      </c>
      <c r="C1359" s="1" t="s">
        <v>2490</v>
      </c>
      <c r="D1359" s="1" t="s">
        <v>1685</v>
      </c>
      <c r="E1359" s="1" t="s">
        <v>1596</v>
      </c>
    </row>
    <row r="1360" spans="1:5" ht="36" customHeight="1">
      <c r="A1360" s="1" t="s">
        <v>1580</v>
      </c>
      <c r="B1360" s="1" t="s">
        <v>2436</v>
      </c>
      <c r="C1360" s="1" t="s">
        <v>2338</v>
      </c>
      <c r="D1360" s="1" t="s">
        <v>1687</v>
      </c>
      <c r="E1360" s="1" t="s">
        <v>1596</v>
      </c>
    </row>
    <row r="1361" spans="1:5" ht="36" customHeight="1">
      <c r="A1361" s="1" t="s">
        <v>1580</v>
      </c>
      <c r="B1361" s="1" t="s">
        <v>2436</v>
      </c>
      <c r="C1361" s="1" t="s">
        <v>1850</v>
      </c>
      <c r="D1361" s="1" t="s">
        <v>1091</v>
      </c>
      <c r="E1361" s="1" t="s">
        <v>1596</v>
      </c>
    </row>
    <row r="1362" spans="1:5" ht="36" customHeight="1">
      <c r="A1362" s="1" t="s">
        <v>1580</v>
      </c>
      <c r="B1362" s="1" t="s">
        <v>2436</v>
      </c>
      <c r="C1362" s="1" t="s">
        <v>1851</v>
      </c>
      <c r="D1362" s="1" t="s">
        <v>1598</v>
      </c>
      <c r="E1362" s="1" t="s">
        <v>1596</v>
      </c>
    </row>
    <row r="1363" spans="1:5" ht="36" customHeight="1">
      <c r="A1363" s="1" t="s">
        <v>1580</v>
      </c>
      <c r="B1363" s="1" t="s">
        <v>2436</v>
      </c>
      <c r="C1363" s="1" t="s">
        <v>2491</v>
      </c>
      <c r="D1363" s="1" t="s">
        <v>2438</v>
      </c>
      <c r="E1363" s="1" t="s">
        <v>1596</v>
      </c>
    </row>
    <row r="1364" spans="1:5" ht="36" customHeight="1">
      <c r="A1364" s="1" t="s">
        <v>1580</v>
      </c>
      <c r="B1364" s="1" t="s">
        <v>2436</v>
      </c>
      <c r="C1364" s="1" t="s">
        <v>1753</v>
      </c>
      <c r="D1364" s="1" t="s">
        <v>649</v>
      </c>
      <c r="E1364" s="1" t="s">
        <v>1596</v>
      </c>
    </row>
    <row r="1365" spans="1:5" ht="36" customHeight="1">
      <c r="A1365" s="1" t="s">
        <v>1580</v>
      </c>
      <c r="B1365" s="1" t="s">
        <v>2436</v>
      </c>
      <c r="C1365" s="1" t="s">
        <v>2014</v>
      </c>
      <c r="D1365" s="1" t="s">
        <v>2492</v>
      </c>
      <c r="E1365" s="1" t="s">
        <v>1596</v>
      </c>
    </row>
    <row r="1366" spans="1:5" ht="36" customHeight="1">
      <c r="A1366" s="1" t="s">
        <v>1580</v>
      </c>
      <c r="B1366" s="1" t="s">
        <v>2436</v>
      </c>
      <c r="C1366" s="1" t="s">
        <v>2493</v>
      </c>
      <c r="D1366" s="1" t="s">
        <v>1915</v>
      </c>
      <c r="E1366" s="1" t="s">
        <v>1596</v>
      </c>
    </row>
    <row r="1367" spans="1:5" ht="36" customHeight="1">
      <c r="A1367" s="1" t="s">
        <v>1580</v>
      </c>
      <c r="B1367" s="1" t="s">
        <v>2436</v>
      </c>
      <c r="C1367" s="1" t="s">
        <v>2494</v>
      </c>
      <c r="D1367" s="1" t="s">
        <v>2495</v>
      </c>
      <c r="E1367" s="1" t="s">
        <v>1596</v>
      </c>
    </row>
    <row r="1368" spans="1:5" ht="36" customHeight="1">
      <c r="A1368" s="1" t="s">
        <v>1580</v>
      </c>
      <c r="B1368" s="1" t="s">
        <v>2436</v>
      </c>
      <c r="C1368" s="1" t="s">
        <v>2496</v>
      </c>
      <c r="D1368" s="1" t="s">
        <v>2497</v>
      </c>
      <c r="E1368" s="1" t="s">
        <v>1596</v>
      </c>
    </row>
    <row r="1369" spans="1:5" ht="36" customHeight="1">
      <c r="A1369" s="1" t="s">
        <v>1580</v>
      </c>
      <c r="B1369" s="1" t="s">
        <v>2436</v>
      </c>
      <c r="C1369" s="1" t="s">
        <v>2498</v>
      </c>
      <c r="D1369" s="1" t="s">
        <v>2499</v>
      </c>
      <c r="E1369" s="1" t="s">
        <v>1596</v>
      </c>
    </row>
    <row r="1370" spans="1:5" ht="36" customHeight="1">
      <c r="A1370" s="1" t="s">
        <v>1580</v>
      </c>
      <c r="B1370" s="1" t="s">
        <v>2436</v>
      </c>
      <c r="C1370" s="1" t="s">
        <v>2016</v>
      </c>
      <c r="D1370" s="1" t="s">
        <v>1823</v>
      </c>
      <c r="E1370" s="1" t="s">
        <v>1596</v>
      </c>
    </row>
    <row r="1371" spans="1:5" ht="36" customHeight="1">
      <c r="A1371" s="1" t="s">
        <v>1580</v>
      </c>
      <c r="B1371" s="1" t="s">
        <v>2436</v>
      </c>
      <c r="C1371" s="1" t="s">
        <v>2341</v>
      </c>
      <c r="D1371" s="1" t="s">
        <v>1629</v>
      </c>
      <c r="E1371" s="1" t="s">
        <v>1596</v>
      </c>
    </row>
    <row r="1372" spans="1:5" ht="36" customHeight="1">
      <c r="A1372" s="1" t="s">
        <v>1580</v>
      </c>
      <c r="B1372" s="1" t="s">
        <v>2436</v>
      </c>
      <c r="C1372" s="1" t="s">
        <v>1859</v>
      </c>
      <c r="D1372" s="1" t="s">
        <v>652</v>
      </c>
      <c r="E1372" s="1" t="s">
        <v>1596</v>
      </c>
    </row>
    <row r="1373" spans="1:5" ht="36" customHeight="1">
      <c r="A1373" s="1" t="s">
        <v>1580</v>
      </c>
      <c r="B1373" s="1" t="s">
        <v>2436</v>
      </c>
      <c r="C1373" s="1" t="s">
        <v>1861</v>
      </c>
      <c r="D1373" s="1" t="s">
        <v>2036</v>
      </c>
      <c r="E1373" s="1" t="s">
        <v>1596</v>
      </c>
    </row>
    <row r="1374" spans="1:5" ht="36" customHeight="1">
      <c r="A1374" s="1" t="s">
        <v>1580</v>
      </c>
      <c r="B1374" s="1" t="s">
        <v>2436</v>
      </c>
      <c r="C1374" s="1" t="s">
        <v>2342</v>
      </c>
      <c r="D1374" s="1" t="s">
        <v>1675</v>
      </c>
      <c r="E1374" s="1" t="s">
        <v>1596</v>
      </c>
    </row>
    <row r="1375" spans="1:5" ht="36" customHeight="1">
      <c r="A1375" s="1" t="s">
        <v>1580</v>
      </c>
      <c r="B1375" s="1" t="s">
        <v>2436</v>
      </c>
      <c r="C1375" s="1" t="s">
        <v>2343</v>
      </c>
      <c r="D1375" s="1" t="s">
        <v>2500</v>
      </c>
      <c r="E1375" s="1" t="s">
        <v>1596</v>
      </c>
    </row>
    <row r="1376" spans="1:5" ht="36" customHeight="1">
      <c r="A1376" s="1" t="s">
        <v>1580</v>
      </c>
      <c r="B1376" s="1" t="s">
        <v>2436</v>
      </c>
      <c r="C1376" s="1" t="s">
        <v>2344</v>
      </c>
      <c r="D1376" s="1" t="s">
        <v>2501</v>
      </c>
      <c r="E1376" s="1" t="s">
        <v>1596</v>
      </c>
    </row>
    <row r="1377" spans="1:5" ht="36" customHeight="1">
      <c r="A1377" s="1" t="s">
        <v>1580</v>
      </c>
      <c r="B1377" s="1" t="s">
        <v>2436</v>
      </c>
      <c r="C1377" s="1" t="s">
        <v>1863</v>
      </c>
      <c r="D1377" s="1" t="s">
        <v>2502</v>
      </c>
      <c r="E1377" s="1" t="s">
        <v>1596</v>
      </c>
    </row>
    <row r="1378" spans="1:5" ht="36" customHeight="1">
      <c r="A1378" s="1" t="s">
        <v>1580</v>
      </c>
      <c r="B1378" s="1" t="s">
        <v>2436</v>
      </c>
      <c r="C1378" s="1" t="s">
        <v>2503</v>
      </c>
      <c r="D1378" s="1" t="s">
        <v>2504</v>
      </c>
      <c r="E1378" s="1" t="s">
        <v>1596</v>
      </c>
    </row>
    <row r="1379" spans="1:5" ht="36" customHeight="1">
      <c r="A1379" s="1" t="s">
        <v>1580</v>
      </c>
      <c r="B1379" s="1" t="s">
        <v>2436</v>
      </c>
      <c r="C1379" s="1" t="s">
        <v>2018</v>
      </c>
      <c r="D1379" s="1" t="s">
        <v>654</v>
      </c>
      <c r="E1379" s="1" t="s">
        <v>1596</v>
      </c>
    </row>
    <row r="1380" spans="1:5" ht="36" customHeight="1">
      <c r="A1380" s="1" t="s">
        <v>1580</v>
      </c>
      <c r="B1380" s="1" t="s">
        <v>2436</v>
      </c>
      <c r="C1380" s="1" t="s">
        <v>2019</v>
      </c>
      <c r="D1380" s="1" t="s">
        <v>2279</v>
      </c>
      <c r="E1380" s="1" t="s">
        <v>1596</v>
      </c>
    </row>
    <row r="1381" spans="1:5" ht="36" customHeight="1">
      <c r="A1381" s="1" t="s">
        <v>1580</v>
      </c>
      <c r="B1381" s="1" t="s">
        <v>2436</v>
      </c>
      <c r="C1381" s="1" t="s">
        <v>1871</v>
      </c>
      <c r="D1381" s="1" t="s">
        <v>2280</v>
      </c>
      <c r="E1381" s="1" t="s">
        <v>1596</v>
      </c>
    </row>
    <row r="1382" spans="1:5" ht="36" customHeight="1">
      <c r="A1382" s="1" t="s">
        <v>1580</v>
      </c>
      <c r="B1382" s="1" t="s">
        <v>2436</v>
      </c>
      <c r="C1382" s="1" t="s">
        <v>2505</v>
      </c>
      <c r="D1382" s="1" t="s">
        <v>2281</v>
      </c>
      <c r="E1382" s="1" t="s">
        <v>1596</v>
      </c>
    </row>
    <row r="1383" spans="1:5" ht="36" customHeight="1">
      <c r="A1383" s="1" t="s">
        <v>1580</v>
      </c>
      <c r="B1383" s="1" t="s">
        <v>2436</v>
      </c>
      <c r="C1383" s="1" t="s">
        <v>2506</v>
      </c>
      <c r="D1383" s="1" t="s">
        <v>2507</v>
      </c>
      <c r="E1383" s="1" t="s">
        <v>1596</v>
      </c>
    </row>
    <row r="1384" spans="1:5" ht="36" customHeight="1">
      <c r="A1384" s="1" t="s">
        <v>1580</v>
      </c>
      <c r="B1384" s="1" t="s">
        <v>2436</v>
      </c>
      <c r="C1384" s="1" t="s">
        <v>2508</v>
      </c>
      <c r="D1384" s="1" t="s">
        <v>2509</v>
      </c>
      <c r="E1384" s="1" t="s">
        <v>1596</v>
      </c>
    </row>
    <row r="1385" spans="1:5" ht="36" customHeight="1">
      <c r="A1385" s="1" t="s">
        <v>1580</v>
      </c>
      <c r="B1385" s="1" t="s">
        <v>2436</v>
      </c>
      <c r="C1385" s="1" t="s">
        <v>2510</v>
      </c>
      <c r="D1385" s="1" t="s">
        <v>2511</v>
      </c>
      <c r="E1385" s="1" t="s">
        <v>1596</v>
      </c>
    </row>
    <row r="1386" spans="1:5" ht="36" customHeight="1">
      <c r="A1386" s="1" t="s">
        <v>1580</v>
      </c>
      <c r="B1386" s="1" t="s">
        <v>2436</v>
      </c>
      <c r="C1386" s="1" t="s">
        <v>2021</v>
      </c>
      <c r="D1386" s="1" t="s">
        <v>2512</v>
      </c>
      <c r="E1386" s="1" t="s">
        <v>1596</v>
      </c>
    </row>
    <row r="1387" spans="1:5" ht="36" customHeight="1">
      <c r="A1387" s="1" t="s">
        <v>1580</v>
      </c>
      <c r="B1387" s="1" t="s">
        <v>2436</v>
      </c>
      <c r="C1387" s="1" t="s">
        <v>2513</v>
      </c>
      <c r="D1387" s="1" t="s">
        <v>1629</v>
      </c>
      <c r="E1387" s="1" t="s">
        <v>1596</v>
      </c>
    </row>
    <row r="1388" spans="1:5" ht="36" customHeight="1">
      <c r="A1388" s="1" t="s">
        <v>1580</v>
      </c>
      <c r="B1388" s="1" t="s">
        <v>2436</v>
      </c>
      <c r="C1388" s="1" t="s">
        <v>2514</v>
      </c>
      <c r="D1388" s="1" t="s">
        <v>2515</v>
      </c>
      <c r="E1388" s="1" t="s">
        <v>1596</v>
      </c>
    </row>
    <row r="1389" spans="1:5" ht="36" customHeight="1">
      <c r="A1389" s="1" t="s">
        <v>1580</v>
      </c>
      <c r="B1389" s="1" t="s">
        <v>2436</v>
      </c>
      <c r="C1389" s="1" t="s">
        <v>2022</v>
      </c>
      <c r="D1389" s="1" t="s">
        <v>657</v>
      </c>
      <c r="E1389" s="1" t="s">
        <v>1596</v>
      </c>
    </row>
    <row r="1390" spans="1:5" ht="36" customHeight="1">
      <c r="A1390" s="1" t="s">
        <v>1580</v>
      </c>
      <c r="B1390" s="1" t="s">
        <v>2436</v>
      </c>
      <c r="C1390" s="1" t="s">
        <v>2023</v>
      </c>
      <c r="D1390" s="1" t="s">
        <v>2036</v>
      </c>
      <c r="E1390" s="1" t="s">
        <v>1596</v>
      </c>
    </row>
    <row r="1391" spans="1:5" ht="36" customHeight="1">
      <c r="A1391" s="1" t="s">
        <v>1580</v>
      </c>
      <c r="B1391" s="1" t="s">
        <v>2436</v>
      </c>
      <c r="C1391" s="1" t="s">
        <v>2243</v>
      </c>
      <c r="D1391" s="1" t="s">
        <v>359</v>
      </c>
      <c r="E1391" s="1" t="s">
        <v>1596</v>
      </c>
    </row>
    <row r="1392" spans="1:5" ht="36" customHeight="1">
      <c r="A1392" s="1" t="s">
        <v>1580</v>
      </c>
      <c r="B1392" s="1" t="s">
        <v>2436</v>
      </c>
      <c r="C1392" s="1" t="s">
        <v>2516</v>
      </c>
      <c r="D1392" s="1" t="s">
        <v>2036</v>
      </c>
      <c r="E1392" s="1" t="s">
        <v>1596</v>
      </c>
    </row>
    <row r="1393" spans="1:5" ht="36" customHeight="1">
      <c r="A1393" s="1" t="s">
        <v>1580</v>
      </c>
      <c r="B1393" s="1" t="s">
        <v>2436</v>
      </c>
      <c r="C1393" s="1" t="s">
        <v>2517</v>
      </c>
      <c r="D1393" s="1" t="s">
        <v>2036</v>
      </c>
      <c r="E1393" s="1" t="s">
        <v>1596</v>
      </c>
    </row>
    <row r="1394" spans="1:5" ht="36" customHeight="1">
      <c r="A1394" s="1" t="s">
        <v>1580</v>
      </c>
      <c r="B1394" s="1" t="s">
        <v>2436</v>
      </c>
      <c r="C1394" s="1" t="s">
        <v>2518</v>
      </c>
      <c r="D1394" s="1" t="s">
        <v>2504</v>
      </c>
      <c r="E1394" s="1" t="s">
        <v>1596</v>
      </c>
    </row>
    <row r="1395" spans="1:5" ht="36" customHeight="1">
      <c r="A1395" s="1" t="s">
        <v>1580</v>
      </c>
      <c r="B1395" s="1" t="s">
        <v>2436</v>
      </c>
      <c r="C1395" s="1" t="s">
        <v>1755</v>
      </c>
      <c r="D1395" s="1" t="s">
        <v>659</v>
      </c>
      <c r="E1395" s="1" t="s">
        <v>1596</v>
      </c>
    </row>
    <row r="1396" spans="1:5" ht="36" customHeight="1">
      <c r="A1396" s="1" t="s">
        <v>1580</v>
      </c>
      <c r="B1396" s="1" t="s">
        <v>2436</v>
      </c>
      <c r="C1396" s="1" t="s">
        <v>2028</v>
      </c>
      <c r="D1396" s="1" t="s">
        <v>1983</v>
      </c>
      <c r="E1396" s="1" t="s">
        <v>1596</v>
      </c>
    </row>
    <row r="1397" spans="1:5" ht="36" customHeight="1">
      <c r="A1397" s="1" t="s">
        <v>1580</v>
      </c>
      <c r="B1397" s="1" t="s">
        <v>2436</v>
      </c>
      <c r="C1397" s="1" t="s">
        <v>2029</v>
      </c>
      <c r="D1397" s="1" t="s">
        <v>1903</v>
      </c>
      <c r="E1397" s="1" t="s">
        <v>1596</v>
      </c>
    </row>
    <row r="1398" spans="1:5" ht="36" customHeight="1">
      <c r="A1398" s="1" t="s">
        <v>1580</v>
      </c>
      <c r="B1398" s="1" t="s">
        <v>2436</v>
      </c>
      <c r="C1398" s="1" t="s">
        <v>2030</v>
      </c>
      <c r="D1398" s="1" t="s">
        <v>2519</v>
      </c>
      <c r="E1398" s="1" t="s">
        <v>1596</v>
      </c>
    </row>
    <row r="1399" spans="1:5" ht="36" customHeight="1">
      <c r="A1399" s="1" t="s">
        <v>1580</v>
      </c>
      <c r="B1399" s="1" t="s">
        <v>2436</v>
      </c>
      <c r="C1399" s="1" t="s">
        <v>2520</v>
      </c>
      <c r="D1399" s="1" t="s">
        <v>2521</v>
      </c>
      <c r="E1399" s="1" t="s">
        <v>1596</v>
      </c>
    </row>
    <row r="1400" spans="1:5" ht="36" customHeight="1">
      <c r="A1400" s="1" t="s">
        <v>1580</v>
      </c>
      <c r="B1400" s="1" t="s">
        <v>2436</v>
      </c>
      <c r="C1400" s="1" t="s">
        <v>2522</v>
      </c>
      <c r="D1400" s="1" t="s">
        <v>2523</v>
      </c>
      <c r="E1400" s="1" t="s">
        <v>1596</v>
      </c>
    </row>
    <row r="1401" spans="1:5" ht="36" customHeight="1">
      <c r="A1401" s="1" t="s">
        <v>1580</v>
      </c>
      <c r="B1401" s="1" t="s">
        <v>2436</v>
      </c>
      <c r="C1401" s="1" t="s">
        <v>2524</v>
      </c>
      <c r="D1401" s="1" t="s">
        <v>2515</v>
      </c>
      <c r="E1401" s="1" t="s">
        <v>1596</v>
      </c>
    </row>
    <row r="1402" spans="1:5" ht="36" customHeight="1">
      <c r="A1402" s="1" t="s">
        <v>1580</v>
      </c>
      <c r="B1402" s="1" t="s">
        <v>2436</v>
      </c>
      <c r="C1402" s="1" t="s">
        <v>1757</v>
      </c>
      <c r="D1402" s="1" t="s">
        <v>661</v>
      </c>
      <c r="E1402" s="1" t="s">
        <v>1596</v>
      </c>
    </row>
    <row r="1403" spans="1:5" ht="36" customHeight="1">
      <c r="A1403" s="1" t="s">
        <v>1580</v>
      </c>
      <c r="B1403" s="1" t="s">
        <v>2436</v>
      </c>
      <c r="C1403" s="1" t="s">
        <v>2525</v>
      </c>
      <c r="D1403" s="1" t="s">
        <v>2279</v>
      </c>
      <c r="E1403" s="1" t="s">
        <v>1596</v>
      </c>
    </row>
    <row r="1404" spans="1:5" ht="36" customHeight="1">
      <c r="A1404" s="1" t="s">
        <v>1580</v>
      </c>
      <c r="B1404" s="1" t="s">
        <v>2436</v>
      </c>
      <c r="C1404" s="1" t="s">
        <v>2034</v>
      </c>
      <c r="D1404" s="1" t="s">
        <v>2280</v>
      </c>
      <c r="E1404" s="1" t="s">
        <v>1596</v>
      </c>
    </row>
    <row r="1405" spans="1:5" ht="36" customHeight="1">
      <c r="A1405" s="1" t="s">
        <v>1580</v>
      </c>
      <c r="B1405" s="1" t="s">
        <v>2436</v>
      </c>
      <c r="C1405" s="1" t="s">
        <v>2526</v>
      </c>
      <c r="D1405" s="1" t="s">
        <v>2527</v>
      </c>
      <c r="E1405" s="1" t="s">
        <v>1596</v>
      </c>
    </row>
    <row r="1406" spans="1:5" ht="36" customHeight="1">
      <c r="A1406" s="1" t="s">
        <v>1580</v>
      </c>
      <c r="B1406" s="1" t="s">
        <v>2436</v>
      </c>
      <c r="C1406" s="1" t="s">
        <v>2528</v>
      </c>
      <c r="D1406" s="1" t="s">
        <v>2529</v>
      </c>
      <c r="E1406" s="1" t="s">
        <v>1596</v>
      </c>
    </row>
    <row r="1407" spans="1:5" ht="36" customHeight="1">
      <c r="A1407" s="1" t="s">
        <v>1580</v>
      </c>
      <c r="B1407" s="1" t="s">
        <v>2436</v>
      </c>
      <c r="C1407" s="1" t="s">
        <v>2530</v>
      </c>
      <c r="D1407" s="1" t="s">
        <v>2504</v>
      </c>
      <c r="E1407" s="1" t="s">
        <v>1596</v>
      </c>
    </row>
    <row r="1408" spans="1:5" ht="36" customHeight="1">
      <c r="A1408" s="1" t="s">
        <v>1580</v>
      </c>
      <c r="B1408" s="1" t="s">
        <v>2436</v>
      </c>
      <c r="C1408" s="1" t="s">
        <v>2531</v>
      </c>
      <c r="D1408" s="1" t="s">
        <v>664</v>
      </c>
      <c r="E1408" s="1" t="s">
        <v>1596</v>
      </c>
    </row>
    <row r="1409" spans="1:5" ht="36" customHeight="1">
      <c r="A1409" s="1" t="s">
        <v>1580</v>
      </c>
      <c r="B1409" s="1" t="s">
        <v>2436</v>
      </c>
      <c r="C1409" s="1" t="s">
        <v>2532</v>
      </c>
      <c r="D1409" s="1" t="s">
        <v>2036</v>
      </c>
      <c r="E1409" s="1" t="s">
        <v>1596</v>
      </c>
    </row>
    <row r="1410" spans="1:5" ht="36" customHeight="1">
      <c r="A1410" s="1" t="s">
        <v>1580</v>
      </c>
      <c r="B1410" s="1" t="s">
        <v>2436</v>
      </c>
      <c r="C1410" s="1" t="s">
        <v>2533</v>
      </c>
      <c r="D1410" s="1" t="s">
        <v>359</v>
      </c>
      <c r="E1410" s="1" t="s">
        <v>1596</v>
      </c>
    </row>
    <row r="1411" spans="1:5" ht="36" customHeight="1">
      <c r="A1411" s="1" t="s">
        <v>1580</v>
      </c>
      <c r="B1411" s="1" t="s">
        <v>2436</v>
      </c>
      <c r="C1411" s="1" t="s">
        <v>2534</v>
      </c>
      <c r="D1411" s="1" t="s">
        <v>2036</v>
      </c>
      <c r="E1411" s="1" t="s">
        <v>1596</v>
      </c>
    </row>
    <row r="1412" spans="1:5" ht="36" customHeight="1">
      <c r="A1412" s="1" t="s">
        <v>1580</v>
      </c>
      <c r="B1412" s="1" t="s">
        <v>2436</v>
      </c>
      <c r="C1412" s="1" t="s">
        <v>2535</v>
      </c>
      <c r="D1412" s="1" t="s">
        <v>2036</v>
      </c>
      <c r="E1412" s="1" t="s">
        <v>1596</v>
      </c>
    </row>
    <row r="1413" spans="1:5" ht="36" customHeight="1">
      <c r="A1413" s="1" t="s">
        <v>1580</v>
      </c>
      <c r="B1413" s="1" t="s">
        <v>2436</v>
      </c>
      <c r="C1413" s="1" t="s">
        <v>2536</v>
      </c>
      <c r="D1413" s="1" t="s">
        <v>2504</v>
      </c>
      <c r="E1413" s="1" t="s">
        <v>1596</v>
      </c>
    </row>
    <row r="1414" spans="1:5" ht="36" customHeight="1">
      <c r="A1414" s="1" t="s">
        <v>1580</v>
      </c>
      <c r="B1414" s="1" t="s">
        <v>2436</v>
      </c>
      <c r="C1414" s="1" t="s">
        <v>2537</v>
      </c>
      <c r="D1414" s="1" t="s">
        <v>666</v>
      </c>
      <c r="E1414" s="1" t="s">
        <v>1596</v>
      </c>
    </row>
    <row r="1415" spans="1:5" ht="36" customHeight="1">
      <c r="A1415" s="1" t="s">
        <v>1580</v>
      </c>
      <c r="B1415" s="1" t="s">
        <v>2436</v>
      </c>
      <c r="C1415" s="1" t="s">
        <v>1759</v>
      </c>
      <c r="D1415" s="1" t="s">
        <v>1983</v>
      </c>
      <c r="E1415" s="1" t="s">
        <v>1596</v>
      </c>
    </row>
    <row r="1416" spans="1:5" ht="36" customHeight="1">
      <c r="A1416" s="1" t="s">
        <v>1580</v>
      </c>
      <c r="B1416" s="1" t="s">
        <v>2436</v>
      </c>
      <c r="C1416" s="1" t="s">
        <v>2367</v>
      </c>
      <c r="D1416" s="1" t="s">
        <v>1903</v>
      </c>
      <c r="E1416" s="1" t="s">
        <v>1596</v>
      </c>
    </row>
    <row r="1417" spans="1:5" ht="36" customHeight="1">
      <c r="A1417" s="1" t="s">
        <v>1580</v>
      </c>
      <c r="B1417" s="1" t="s">
        <v>2436</v>
      </c>
      <c r="C1417" s="1" t="s">
        <v>2538</v>
      </c>
      <c r="D1417" s="1" t="s">
        <v>2272</v>
      </c>
      <c r="E1417" s="1" t="s">
        <v>1596</v>
      </c>
    </row>
    <row r="1418" spans="1:5" ht="36" customHeight="1">
      <c r="A1418" s="1" t="s">
        <v>1580</v>
      </c>
      <c r="B1418" s="1" t="s">
        <v>2436</v>
      </c>
      <c r="C1418" s="1" t="s">
        <v>2539</v>
      </c>
      <c r="D1418" s="1" t="s">
        <v>2540</v>
      </c>
      <c r="E1418" s="1" t="s">
        <v>1596</v>
      </c>
    </row>
    <row r="1419" spans="1:5" ht="36" customHeight="1">
      <c r="A1419" s="1" t="s">
        <v>1580</v>
      </c>
      <c r="B1419" s="1" t="s">
        <v>2436</v>
      </c>
      <c r="C1419" s="1" t="s">
        <v>2541</v>
      </c>
      <c r="D1419" s="1" t="s">
        <v>2515</v>
      </c>
      <c r="E1419" s="1" t="s">
        <v>1596</v>
      </c>
    </row>
    <row r="1420" spans="1:5" ht="36" customHeight="1">
      <c r="A1420" s="1" t="s">
        <v>1580</v>
      </c>
      <c r="B1420" s="1" t="s">
        <v>2436</v>
      </c>
      <c r="C1420" s="1" t="s">
        <v>2542</v>
      </c>
      <c r="D1420" s="1" t="s">
        <v>668</v>
      </c>
      <c r="E1420" s="1" t="s">
        <v>1596</v>
      </c>
    </row>
    <row r="1421" spans="1:5" ht="36" customHeight="1">
      <c r="A1421" s="1" t="s">
        <v>1580</v>
      </c>
      <c r="B1421" s="1" t="s">
        <v>2436</v>
      </c>
      <c r="C1421" s="1" t="s">
        <v>2543</v>
      </c>
      <c r="D1421" s="1" t="s">
        <v>1915</v>
      </c>
      <c r="E1421" s="1" t="s">
        <v>1596</v>
      </c>
    </row>
    <row r="1422" spans="1:5" ht="36" customHeight="1">
      <c r="A1422" s="1" t="s">
        <v>1580</v>
      </c>
      <c r="B1422" s="1" t="s">
        <v>2436</v>
      </c>
      <c r="C1422" s="1" t="s">
        <v>2544</v>
      </c>
      <c r="D1422" s="1" t="s">
        <v>2461</v>
      </c>
      <c r="E1422" s="1" t="s">
        <v>1596</v>
      </c>
    </row>
    <row r="1423" spans="1:5" ht="36" customHeight="1">
      <c r="A1423" s="1" t="s">
        <v>1580</v>
      </c>
      <c r="B1423" s="1" t="s">
        <v>2436</v>
      </c>
      <c r="C1423" s="1" t="s">
        <v>2545</v>
      </c>
      <c r="D1423" s="1" t="s">
        <v>2546</v>
      </c>
      <c r="E1423" s="1" t="s">
        <v>1596</v>
      </c>
    </row>
    <row r="1424" spans="1:5" ht="36" customHeight="1">
      <c r="A1424" s="1" t="s">
        <v>1580</v>
      </c>
      <c r="B1424" s="1" t="s">
        <v>2436</v>
      </c>
      <c r="C1424" s="1" t="s">
        <v>2547</v>
      </c>
      <c r="D1424" s="1" t="s">
        <v>2548</v>
      </c>
      <c r="E1424" s="1" t="s">
        <v>1596</v>
      </c>
    </row>
    <row r="1425" spans="1:5" ht="36" customHeight="1">
      <c r="A1425" s="1" t="s">
        <v>1580</v>
      </c>
      <c r="B1425" s="1" t="s">
        <v>2436</v>
      </c>
      <c r="C1425" s="1" t="s">
        <v>1762</v>
      </c>
      <c r="D1425" s="1" t="s">
        <v>2549</v>
      </c>
      <c r="E1425" s="1" t="s">
        <v>1596</v>
      </c>
    </row>
    <row r="1426" spans="1:5" ht="36" customHeight="1">
      <c r="A1426" s="1" t="s">
        <v>1580</v>
      </c>
      <c r="B1426" s="1" t="s">
        <v>2436</v>
      </c>
      <c r="C1426" s="1" t="s">
        <v>1763</v>
      </c>
      <c r="D1426" s="1" t="s">
        <v>1923</v>
      </c>
      <c r="E1426" s="1" t="s">
        <v>1596</v>
      </c>
    </row>
    <row r="1427" spans="1:5" ht="36" customHeight="1">
      <c r="A1427" s="1" t="s">
        <v>1580</v>
      </c>
      <c r="B1427" s="1" t="s">
        <v>2436</v>
      </c>
      <c r="C1427" s="1" t="s">
        <v>2550</v>
      </c>
      <c r="D1427" s="1" t="s">
        <v>670</v>
      </c>
      <c r="E1427" s="1" t="s">
        <v>1596</v>
      </c>
    </row>
    <row r="1428" spans="1:5" ht="36" customHeight="1">
      <c r="A1428" s="1" t="s">
        <v>1580</v>
      </c>
      <c r="B1428" s="1" t="s">
        <v>2436</v>
      </c>
      <c r="C1428" s="1" t="s">
        <v>1766</v>
      </c>
      <c r="D1428" s="1" t="s">
        <v>1983</v>
      </c>
      <c r="E1428" s="1" t="s">
        <v>1596</v>
      </c>
    </row>
    <row r="1429" spans="1:5" ht="36" customHeight="1">
      <c r="A1429" s="1" t="s">
        <v>1580</v>
      </c>
      <c r="B1429" s="1" t="s">
        <v>2436</v>
      </c>
      <c r="C1429" s="1" t="s">
        <v>1767</v>
      </c>
      <c r="D1429" s="1" t="s">
        <v>1895</v>
      </c>
      <c r="E1429" s="1" t="s">
        <v>1596</v>
      </c>
    </row>
    <row r="1430" spans="1:5" ht="36" customHeight="1">
      <c r="A1430" s="1" t="s">
        <v>1580</v>
      </c>
      <c r="B1430" s="1" t="s">
        <v>2436</v>
      </c>
      <c r="C1430" s="1" t="s">
        <v>1768</v>
      </c>
      <c r="D1430" s="1" t="s">
        <v>2546</v>
      </c>
      <c r="E1430" s="1" t="s">
        <v>1596</v>
      </c>
    </row>
    <row r="1431" spans="1:5" ht="36" customHeight="1">
      <c r="A1431" s="1" t="s">
        <v>1580</v>
      </c>
      <c r="B1431" s="1" t="s">
        <v>2436</v>
      </c>
      <c r="C1431" s="1" t="s">
        <v>1769</v>
      </c>
      <c r="D1431" s="1" t="s">
        <v>2551</v>
      </c>
      <c r="E1431" s="1" t="s">
        <v>1596</v>
      </c>
    </row>
    <row r="1432" spans="1:5" ht="36" customHeight="1">
      <c r="A1432" s="1" t="s">
        <v>1580</v>
      </c>
      <c r="B1432" s="1" t="s">
        <v>2436</v>
      </c>
      <c r="C1432" s="1" t="s">
        <v>1773</v>
      </c>
      <c r="D1432" s="1" t="s">
        <v>1629</v>
      </c>
      <c r="E1432" s="1" t="s">
        <v>1596</v>
      </c>
    </row>
    <row r="1433" spans="1:5" ht="36" customHeight="1">
      <c r="A1433" s="1" t="s">
        <v>1580</v>
      </c>
      <c r="B1433" s="1" t="s">
        <v>2436</v>
      </c>
      <c r="C1433" s="1" t="s">
        <v>2552</v>
      </c>
      <c r="D1433" s="1" t="s">
        <v>673</v>
      </c>
      <c r="E1433" s="1" t="s">
        <v>1596</v>
      </c>
    </row>
    <row r="1434" spans="1:5" ht="36" customHeight="1">
      <c r="A1434" s="1" t="s">
        <v>1580</v>
      </c>
      <c r="B1434" s="1" t="s">
        <v>2436</v>
      </c>
      <c r="C1434" s="1" t="s">
        <v>2553</v>
      </c>
      <c r="D1434" s="1" t="s">
        <v>2297</v>
      </c>
      <c r="E1434" s="1" t="s">
        <v>1596</v>
      </c>
    </row>
    <row r="1435" spans="1:5" ht="36" customHeight="1">
      <c r="A1435" s="1" t="s">
        <v>1580</v>
      </c>
      <c r="B1435" s="1" t="s">
        <v>2436</v>
      </c>
      <c r="C1435" s="1" t="s">
        <v>2554</v>
      </c>
      <c r="D1435" s="1" t="s">
        <v>2555</v>
      </c>
      <c r="E1435" s="1" t="s">
        <v>1596</v>
      </c>
    </row>
    <row r="1436" spans="1:5" ht="36" customHeight="1">
      <c r="A1436" s="1" t="s">
        <v>1580</v>
      </c>
      <c r="B1436" s="1" t="s">
        <v>2436</v>
      </c>
      <c r="C1436" s="1" t="s">
        <v>2556</v>
      </c>
      <c r="D1436" s="1" t="s">
        <v>2557</v>
      </c>
      <c r="E1436" s="1" t="s">
        <v>1596</v>
      </c>
    </row>
    <row r="1437" spans="1:5" ht="36" customHeight="1">
      <c r="A1437" s="1" t="s">
        <v>1580</v>
      </c>
      <c r="B1437" s="1" t="s">
        <v>2436</v>
      </c>
      <c r="C1437" s="1" t="s">
        <v>2558</v>
      </c>
      <c r="D1437" s="1" t="s">
        <v>2559</v>
      </c>
      <c r="E1437" s="1" t="s">
        <v>1596</v>
      </c>
    </row>
    <row r="1438" spans="1:5" ht="36" customHeight="1">
      <c r="A1438" s="1" t="s">
        <v>1580</v>
      </c>
      <c r="B1438" s="1" t="s">
        <v>2436</v>
      </c>
      <c r="C1438" s="1" t="s">
        <v>2560</v>
      </c>
      <c r="D1438" s="1" t="s">
        <v>2561</v>
      </c>
      <c r="E1438" s="1" t="s">
        <v>1596</v>
      </c>
    </row>
    <row r="1439" spans="1:5" ht="36" customHeight="1">
      <c r="A1439" s="1" t="s">
        <v>1580</v>
      </c>
      <c r="B1439" s="1" t="s">
        <v>2436</v>
      </c>
      <c r="C1439" s="1" t="s">
        <v>2562</v>
      </c>
      <c r="D1439" s="1" t="s">
        <v>1629</v>
      </c>
      <c r="E1439" s="1" t="s">
        <v>1596</v>
      </c>
    </row>
    <row r="1440" spans="1:5" ht="36" customHeight="1">
      <c r="A1440" s="1" t="s">
        <v>1580</v>
      </c>
      <c r="B1440" s="1" t="s">
        <v>2436</v>
      </c>
      <c r="C1440" s="1" t="s">
        <v>1776</v>
      </c>
      <c r="D1440" s="1" t="s">
        <v>2437</v>
      </c>
      <c r="E1440" s="1" t="s">
        <v>1596</v>
      </c>
    </row>
    <row r="1441" spans="1:5" ht="36" customHeight="1">
      <c r="A1441" s="1" t="s">
        <v>1580</v>
      </c>
      <c r="B1441" s="1" t="s">
        <v>2436</v>
      </c>
      <c r="C1441" s="1" t="s">
        <v>2563</v>
      </c>
      <c r="D1441" s="1" t="s">
        <v>1598</v>
      </c>
      <c r="E1441" s="1" t="s">
        <v>1596</v>
      </c>
    </row>
    <row r="1442" spans="1:5" ht="36" customHeight="1">
      <c r="A1442" s="1" t="s">
        <v>1580</v>
      </c>
      <c r="B1442" s="1" t="s">
        <v>2436</v>
      </c>
      <c r="C1442" s="1" t="s">
        <v>1778</v>
      </c>
      <c r="D1442" s="1" t="s">
        <v>1600</v>
      </c>
      <c r="E1442" s="1" t="s">
        <v>1596</v>
      </c>
    </row>
    <row r="1443" spans="1:5" ht="36" customHeight="1">
      <c r="A1443" s="1" t="s">
        <v>1580</v>
      </c>
      <c r="B1443" s="1" t="s">
        <v>2436</v>
      </c>
      <c r="C1443" s="1" t="s">
        <v>2564</v>
      </c>
      <c r="D1443" s="1" t="s">
        <v>1602</v>
      </c>
      <c r="E1443" s="1" t="s">
        <v>1596</v>
      </c>
    </row>
    <row r="1444" spans="1:5" ht="36" customHeight="1">
      <c r="A1444" s="1" t="s">
        <v>1580</v>
      </c>
      <c r="B1444" s="1" t="s">
        <v>2436</v>
      </c>
      <c r="C1444" s="1" t="s">
        <v>2565</v>
      </c>
      <c r="D1444" s="1" t="s">
        <v>2566</v>
      </c>
      <c r="E1444" s="1" t="s">
        <v>1596</v>
      </c>
    </row>
    <row r="1445" spans="1:5" ht="36" customHeight="1">
      <c r="A1445" s="1" t="s">
        <v>1580</v>
      </c>
      <c r="B1445" s="1" t="s">
        <v>2436</v>
      </c>
      <c r="C1445" s="1" t="s">
        <v>2567</v>
      </c>
      <c r="D1445" s="1" t="s">
        <v>1676</v>
      </c>
      <c r="E1445" s="1" t="s">
        <v>1596</v>
      </c>
    </row>
    <row r="1446" spans="1:5" ht="36" customHeight="1">
      <c r="A1446" s="1" t="s">
        <v>1580</v>
      </c>
      <c r="B1446" s="1" t="s">
        <v>2436</v>
      </c>
      <c r="C1446" s="1" t="s">
        <v>2568</v>
      </c>
      <c r="D1446" s="1" t="s">
        <v>1678</v>
      </c>
      <c r="E1446" s="1" t="s">
        <v>1596</v>
      </c>
    </row>
    <row r="1447" spans="1:5" ht="36" customHeight="1">
      <c r="A1447" s="1" t="s">
        <v>1580</v>
      </c>
      <c r="B1447" s="1" t="s">
        <v>2436</v>
      </c>
      <c r="C1447" s="1" t="s">
        <v>2569</v>
      </c>
      <c r="D1447" s="1" t="s">
        <v>1160</v>
      </c>
      <c r="E1447" s="1" t="s">
        <v>1596</v>
      </c>
    </row>
    <row r="1448" spans="1:5" ht="36" customHeight="1">
      <c r="A1448" s="1" t="s">
        <v>1580</v>
      </c>
      <c r="B1448" s="1" t="s">
        <v>2436</v>
      </c>
      <c r="C1448" s="1" t="s">
        <v>2570</v>
      </c>
      <c r="D1448" s="1" t="s">
        <v>1681</v>
      </c>
      <c r="E1448" s="1" t="s">
        <v>1596</v>
      </c>
    </row>
    <row r="1449" spans="1:5" ht="36" customHeight="1">
      <c r="A1449" s="1" t="s">
        <v>1580</v>
      </c>
      <c r="B1449" s="1" t="s">
        <v>2436</v>
      </c>
      <c r="C1449" s="1" t="s">
        <v>2571</v>
      </c>
      <c r="D1449" s="1" t="s">
        <v>1683</v>
      </c>
      <c r="E1449" s="1" t="s">
        <v>1596</v>
      </c>
    </row>
    <row r="1450" spans="1:5" ht="36" customHeight="1">
      <c r="A1450" s="1" t="s">
        <v>1580</v>
      </c>
      <c r="B1450" s="1" t="s">
        <v>2436</v>
      </c>
      <c r="C1450" s="1" t="s">
        <v>2572</v>
      </c>
      <c r="D1450" s="1" t="s">
        <v>1685</v>
      </c>
      <c r="E1450" s="1" t="s">
        <v>1596</v>
      </c>
    </row>
    <row r="1451" spans="1:5" ht="36" customHeight="1">
      <c r="A1451" s="1" t="s">
        <v>1580</v>
      </c>
      <c r="B1451" s="1" t="s">
        <v>2436</v>
      </c>
      <c r="C1451" s="1" t="s">
        <v>2573</v>
      </c>
      <c r="D1451" s="1" t="s">
        <v>1687</v>
      </c>
      <c r="E1451" s="1" t="s">
        <v>1596</v>
      </c>
    </row>
    <row r="1452" spans="1:5" ht="36" customHeight="1">
      <c r="A1452" s="1" t="s">
        <v>1580</v>
      </c>
      <c r="B1452" s="1" t="s">
        <v>2436</v>
      </c>
      <c r="C1452" s="1" t="s">
        <v>2574</v>
      </c>
      <c r="D1452" s="1" t="s">
        <v>1091</v>
      </c>
      <c r="E1452" s="1" t="s">
        <v>1596</v>
      </c>
    </row>
    <row r="1453" spans="1:5" ht="36" customHeight="1">
      <c r="A1453" s="1" t="s">
        <v>1580</v>
      </c>
      <c r="B1453" s="1" t="s">
        <v>2436</v>
      </c>
      <c r="C1453" s="1" t="s">
        <v>2575</v>
      </c>
      <c r="D1453" s="1" t="s">
        <v>1598</v>
      </c>
      <c r="E1453" s="1" t="s">
        <v>1596</v>
      </c>
    </row>
    <row r="1454" spans="1:5" ht="36" customHeight="1">
      <c r="A1454" s="1" t="s">
        <v>1580</v>
      </c>
      <c r="B1454" s="1" t="s">
        <v>2436</v>
      </c>
      <c r="C1454" s="1" t="s">
        <v>1779</v>
      </c>
      <c r="D1454" s="1" t="s">
        <v>2438</v>
      </c>
      <c r="E1454" s="1" t="s">
        <v>1596</v>
      </c>
    </row>
    <row r="1455" spans="1:5" ht="36" customHeight="1">
      <c r="A1455" s="1" t="s">
        <v>1580</v>
      </c>
      <c r="B1455" s="1" t="s">
        <v>2436</v>
      </c>
      <c r="C1455" s="1" t="s">
        <v>2576</v>
      </c>
      <c r="D1455" s="1" t="s">
        <v>676</v>
      </c>
      <c r="E1455" s="1" t="s">
        <v>1596</v>
      </c>
    </row>
    <row r="1456" spans="1:5" ht="36" customHeight="1">
      <c r="A1456" s="1" t="s">
        <v>1580</v>
      </c>
      <c r="B1456" s="1" t="s">
        <v>2436</v>
      </c>
      <c r="C1456" s="1" t="s">
        <v>2577</v>
      </c>
      <c r="D1456" s="1" t="s">
        <v>2298</v>
      </c>
      <c r="E1456" s="1" t="s">
        <v>1596</v>
      </c>
    </row>
    <row r="1457" spans="1:5" ht="36" customHeight="1">
      <c r="A1457" s="1" t="s">
        <v>1580</v>
      </c>
      <c r="B1457" s="1" t="s">
        <v>2436</v>
      </c>
      <c r="C1457" s="1" t="s">
        <v>1780</v>
      </c>
      <c r="D1457" s="1" t="s">
        <v>2305</v>
      </c>
      <c r="E1457" s="1" t="s">
        <v>1596</v>
      </c>
    </row>
    <row r="1458" spans="1:5" ht="36" customHeight="1">
      <c r="A1458" s="1" t="s">
        <v>1580</v>
      </c>
      <c r="B1458" s="1" t="s">
        <v>2436</v>
      </c>
      <c r="C1458" s="1" t="s">
        <v>2578</v>
      </c>
      <c r="D1458" s="1" t="s">
        <v>2579</v>
      </c>
      <c r="E1458" s="1" t="s">
        <v>1596</v>
      </c>
    </row>
    <row r="1459" spans="1:5" ht="36" customHeight="1">
      <c r="A1459" s="1" t="s">
        <v>1580</v>
      </c>
      <c r="B1459" s="1" t="s">
        <v>2436</v>
      </c>
      <c r="C1459" s="1" t="s">
        <v>2580</v>
      </c>
      <c r="D1459" s="1" t="s">
        <v>2581</v>
      </c>
      <c r="E1459" s="1" t="s">
        <v>1596</v>
      </c>
    </row>
    <row r="1460" spans="1:5" ht="36" customHeight="1">
      <c r="A1460" s="1" t="s">
        <v>1580</v>
      </c>
      <c r="B1460" s="1" t="s">
        <v>2436</v>
      </c>
      <c r="C1460" s="1" t="s">
        <v>2582</v>
      </c>
      <c r="D1460" s="1" t="s">
        <v>679</v>
      </c>
      <c r="E1460" s="1" t="s">
        <v>1596</v>
      </c>
    </row>
    <row r="1461" spans="1:5" ht="36" customHeight="1">
      <c r="A1461" s="1" t="s">
        <v>1580</v>
      </c>
      <c r="B1461" s="1" t="s">
        <v>2436</v>
      </c>
      <c r="C1461" s="1" t="s">
        <v>2583</v>
      </c>
      <c r="D1461" s="1" t="s">
        <v>2300</v>
      </c>
      <c r="E1461" s="1" t="s">
        <v>1596</v>
      </c>
    </row>
    <row r="1462" spans="1:5" ht="36" customHeight="1">
      <c r="A1462" s="1" t="s">
        <v>1580</v>
      </c>
      <c r="B1462" s="1" t="s">
        <v>2436</v>
      </c>
      <c r="C1462" s="1" t="s">
        <v>2584</v>
      </c>
      <c r="D1462" s="1" t="s">
        <v>1901</v>
      </c>
      <c r="E1462" s="1" t="s">
        <v>1596</v>
      </c>
    </row>
    <row r="1463" spans="1:5" ht="36" customHeight="1">
      <c r="A1463" s="1" t="s">
        <v>1580</v>
      </c>
      <c r="B1463" s="1" t="s">
        <v>2436</v>
      </c>
      <c r="C1463" s="1" t="s">
        <v>2585</v>
      </c>
      <c r="D1463" s="1" t="s">
        <v>2557</v>
      </c>
      <c r="E1463" s="1" t="s">
        <v>1596</v>
      </c>
    </row>
    <row r="1464" spans="1:5" ht="36" customHeight="1">
      <c r="A1464" s="1" t="s">
        <v>1580</v>
      </c>
      <c r="B1464" s="1" t="s">
        <v>2436</v>
      </c>
      <c r="C1464" s="1" t="s">
        <v>2586</v>
      </c>
      <c r="D1464" s="1" t="s">
        <v>2587</v>
      </c>
      <c r="E1464" s="1" t="s">
        <v>1596</v>
      </c>
    </row>
    <row r="1465" spans="1:5" ht="36" customHeight="1">
      <c r="A1465" s="1" t="s">
        <v>1580</v>
      </c>
      <c r="B1465" s="1" t="s">
        <v>2436</v>
      </c>
      <c r="C1465" s="1" t="s">
        <v>2588</v>
      </c>
      <c r="D1465" s="1" t="s">
        <v>2049</v>
      </c>
      <c r="E1465" s="1" t="s">
        <v>1596</v>
      </c>
    </row>
    <row r="1466" spans="1:5" ht="36" customHeight="1">
      <c r="A1466" s="1" t="s">
        <v>1580</v>
      </c>
      <c r="B1466" s="1" t="s">
        <v>2436</v>
      </c>
      <c r="C1466" s="1" t="s">
        <v>2589</v>
      </c>
      <c r="D1466" s="1" t="s">
        <v>1629</v>
      </c>
      <c r="E1466" s="1" t="s">
        <v>1596</v>
      </c>
    </row>
    <row r="1467" spans="1:5" ht="36" customHeight="1">
      <c r="A1467" s="1" t="s">
        <v>1580</v>
      </c>
      <c r="B1467" s="1" t="s">
        <v>2436</v>
      </c>
      <c r="C1467" s="1" t="s">
        <v>2590</v>
      </c>
      <c r="D1467" s="1" t="s">
        <v>681</v>
      </c>
      <c r="E1467" s="1" t="s">
        <v>1596</v>
      </c>
    </row>
    <row r="1468" spans="1:5" ht="36" customHeight="1">
      <c r="A1468" s="1" t="s">
        <v>1580</v>
      </c>
      <c r="B1468" s="1" t="s">
        <v>2436</v>
      </c>
      <c r="C1468" s="1" t="s">
        <v>2591</v>
      </c>
      <c r="D1468" s="1" t="s">
        <v>2592</v>
      </c>
      <c r="E1468" s="1" t="s">
        <v>1596</v>
      </c>
    </row>
    <row r="1469" spans="1:5" ht="36" customHeight="1">
      <c r="A1469" s="1" t="s">
        <v>1580</v>
      </c>
      <c r="B1469" s="1" t="s">
        <v>2436</v>
      </c>
      <c r="C1469" s="1" t="s">
        <v>2593</v>
      </c>
      <c r="D1469" s="1" t="s">
        <v>2594</v>
      </c>
      <c r="E1469" s="1" t="s">
        <v>1596</v>
      </c>
    </row>
    <row r="1470" spans="1:5" ht="36" customHeight="1">
      <c r="A1470" s="1" t="s">
        <v>1580</v>
      </c>
      <c r="B1470" s="1" t="s">
        <v>2436</v>
      </c>
      <c r="C1470" s="1" t="s">
        <v>2595</v>
      </c>
      <c r="D1470" s="1" t="s">
        <v>2596</v>
      </c>
      <c r="E1470" s="1" t="s">
        <v>1596</v>
      </c>
    </row>
    <row r="1471" spans="1:5" ht="36" customHeight="1">
      <c r="A1471" s="1" t="s">
        <v>1580</v>
      </c>
      <c r="B1471" s="1" t="s">
        <v>2436</v>
      </c>
      <c r="C1471" s="1" t="s">
        <v>2597</v>
      </c>
      <c r="D1471" s="1" t="s">
        <v>2598</v>
      </c>
      <c r="E1471" s="1" t="s">
        <v>1596</v>
      </c>
    </row>
    <row r="1472" spans="1:5" ht="36" customHeight="1">
      <c r="A1472" s="1" t="s">
        <v>1580</v>
      </c>
      <c r="B1472" s="1" t="s">
        <v>2436</v>
      </c>
      <c r="C1472" s="1" t="s">
        <v>2599</v>
      </c>
      <c r="D1472" s="1" t="s">
        <v>683</v>
      </c>
      <c r="E1472" s="1" t="s">
        <v>1596</v>
      </c>
    </row>
    <row r="1473" spans="1:5" ht="36" customHeight="1">
      <c r="A1473" s="1" t="s">
        <v>1580</v>
      </c>
      <c r="B1473" s="1" t="s">
        <v>2436</v>
      </c>
      <c r="C1473" s="1" t="s">
        <v>2600</v>
      </c>
      <c r="D1473" s="1" t="s">
        <v>1983</v>
      </c>
      <c r="E1473" s="1" t="s">
        <v>1596</v>
      </c>
    </row>
    <row r="1474" spans="1:5" ht="36" customHeight="1">
      <c r="A1474" s="1" t="s">
        <v>1580</v>
      </c>
      <c r="B1474" s="1" t="s">
        <v>2436</v>
      </c>
      <c r="C1474" s="1" t="s">
        <v>2601</v>
      </c>
      <c r="D1474" s="1" t="s">
        <v>2461</v>
      </c>
      <c r="E1474" s="1" t="s">
        <v>1596</v>
      </c>
    </row>
    <row r="1475" spans="1:5" ht="36" customHeight="1">
      <c r="A1475" s="1" t="s">
        <v>1580</v>
      </c>
      <c r="B1475" s="1" t="s">
        <v>2436</v>
      </c>
      <c r="C1475" s="1" t="s">
        <v>2602</v>
      </c>
      <c r="D1475" s="1" t="s">
        <v>2603</v>
      </c>
      <c r="E1475" s="1" t="s">
        <v>1596</v>
      </c>
    </row>
    <row r="1476" spans="1:5" ht="36" customHeight="1">
      <c r="A1476" s="1" t="s">
        <v>1580</v>
      </c>
      <c r="B1476" s="1" t="s">
        <v>2436</v>
      </c>
      <c r="C1476" s="1" t="s">
        <v>2604</v>
      </c>
      <c r="D1476" s="1" t="s">
        <v>2605</v>
      </c>
      <c r="E1476" s="1" t="s">
        <v>1596</v>
      </c>
    </row>
    <row r="1477" spans="1:5" ht="48" customHeight="1">
      <c r="A1477" s="1" t="s">
        <v>1580</v>
      </c>
      <c r="B1477" s="1" t="s">
        <v>2436</v>
      </c>
      <c r="C1477" s="1" t="s">
        <v>2606</v>
      </c>
      <c r="D1477" s="1" t="s">
        <v>2607</v>
      </c>
      <c r="E1477" s="1" t="s">
        <v>1596</v>
      </c>
    </row>
    <row r="1478" spans="1:5" ht="36" customHeight="1">
      <c r="A1478" s="1" t="s">
        <v>1580</v>
      </c>
      <c r="B1478" s="1" t="s">
        <v>2436</v>
      </c>
      <c r="C1478" s="1" t="s">
        <v>2608</v>
      </c>
      <c r="D1478" s="1" t="s">
        <v>1376</v>
      </c>
      <c r="E1478" s="1" t="s">
        <v>1596</v>
      </c>
    </row>
    <row r="1479" spans="1:5" ht="36" customHeight="1">
      <c r="A1479" s="1" t="s">
        <v>1580</v>
      </c>
      <c r="B1479" s="1" t="s">
        <v>2436</v>
      </c>
      <c r="C1479" s="1" t="s">
        <v>2609</v>
      </c>
      <c r="D1479" s="1" t="s">
        <v>1629</v>
      </c>
      <c r="E1479" s="1" t="s">
        <v>1596</v>
      </c>
    </row>
    <row r="1480" spans="1:5" ht="36" customHeight="1">
      <c r="A1480" s="1" t="s">
        <v>1580</v>
      </c>
      <c r="B1480" s="1" t="s">
        <v>2436</v>
      </c>
      <c r="C1480" s="1" t="s">
        <v>2610</v>
      </c>
      <c r="D1480" s="1" t="s">
        <v>1668</v>
      </c>
      <c r="E1480" s="1" t="s">
        <v>1596</v>
      </c>
    </row>
    <row r="1481" spans="1:5" ht="36" customHeight="1">
      <c r="A1481" s="1" t="s">
        <v>1580</v>
      </c>
      <c r="B1481" s="1" t="s">
        <v>2436</v>
      </c>
      <c r="C1481" s="1" t="s">
        <v>2611</v>
      </c>
      <c r="D1481" s="1" t="s">
        <v>1670</v>
      </c>
      <c r="E1481" s="1" t="s">
        <v>1596</v>
      </c>
    </row>
    <row r="1482" spans="1:5" ht="36" customHeight="1">
      <c r="A1482" s="1" t="s">
        <v>1580</v>
      </c>
      <c r="B1482" s="1" t="s">
        <v>2436</v>
      </c>
      <c r="C1482" s="1" t="s">
        <v>2612</v>
      </c>
      <c r="D1482" s="1" t="s">
        <v>1672</v>
      </c>
      <c r="E1482" s="1" t="s">
        <v>1596</v>
      </c>
    </row>
    <row r="1483" spans="1:5" ht="36" customHeight="1">
      <c r="A1483" s="1" t="s">
        <v>1580</v>
      </c>
      <c r="B1483" s="1" t="s">
        <v>2613</v>
      </c>
      <c r="C1483" s="1" t="s">
        <v>1594</v>
      </c>
      <c r="D1483" s="1" t="s">
        <v>2614</v>
      </c>
      <c r="E1483" s="1" t="s">
        <v>1596</v>
      </c>
    </row>
    <row r="1484" spans="1:5" ht="36" customHeight="1">
      <c r="A1484" s="1" t="s">
        <v>1580</v>
      </c>
      <c r="B1484" s="1" t="s">
        <v>2613</v>
      </c>
      <c r="C1484" s="1" t="s">
        <v>1597</v>
      </c>
      <c r="D1484" s="1" t="s">
        <v>1598</v>
      </c>
      <c r="E1484" s="1" t="s">
        <v>1596</v>
      </c>
    </row>
    <row r="1485" spans="1:5" ht="36" customHeight="1">
      <c r="A1485" s="1" t="s">
        <v>1580</v>
      </c>
      <c r="B1485" s="1" t="s">
        <v>2613</v>
      </c>
      <c r="C1485" s="1" t="s">
        <v>1599</v>
      </c>
      <c r="D1485" s="1" t="s">
        <v>1600</v>
      </c>
      <c r="E1485" s="1" t="s">
        <v>1596</v>
      </c>
    </row>
    <row r="1486" spans="1:5" ht="36" customHeight="1">
      <c r="A1486" s="1" t="s">
        <v>1580</v>
      </c>
      <c r="B1486" s="1" t="s">
        <v>2613</v>
      </c>
      <c r="C1486" s="1" t="s">
        <v>1601</v>
      </c>
      <c r="D1486" s="1" t="s">
        <v>1602</v>
      </c>
      <c r="E1486" s="1" t="s">
        <v>1596</v>
      </c>
    </row>
    <row r="1487" spans="1:5" ht="36" customHeight="1">
      <c r="A1487" s="1" t="s">
        <v>1580</v>
      </c>
      <c r="B1487" s="1" t="s">
        <v>2613</v>
      </c>
      <c r="C1487" s="1" t="s">
        <v>1603</v>
      </c>
      <c r="D1487" s="1" t="s">
        <v>1951</v>
      </c>
      <c r="E1487" s="1" t="s">
        <v>1596</v>
      </c>
    </row>
    <row r="1488" spans="1:5" ht="36" customHeight="1">
      <c r="A1488" s="1" t="s">
        <v>1580</v>
      </c>
      <c r="B1488" s="1" t="s">
        <v>2613</v>
      </c>
      <c r="C1488" s="1" t="s">
        <v>1605</v>
      </c>
      <c r="D1488" s="1" t="s">
        <v>1676</v>
      </c>
      <c r="E1488" s="1" t="s">
        <v>1596</v>
      </c>
    </row>
    <row r="1489" spans="1:5" ht="36" customHeight="1">
      <c r="A1489" s="1" t="s">
        <v>1580</v>
      </c>
      <c r="B1489" s="1" t="s">
        <v>2613</v>
      </c>
      <c r="C1489" s="1" t="s">
        <v>1677</v>
      </c>
      <c r="D1489" s="1" t="s">
        <v>1678</v>
      </c>
      <c r="E1489" s="1" t="s">
        <v>1596</v>
      </c>
    </row>
    <row r="1490" spans="1:5" ht="36" customHeight="1">
      <c r="A1490" s="1" t="s">
        <v>1580</v>
      </c>
      <c r="B1490" s="1" t="s">
        <v>2613</v>
      </c>
      <c r="C1490" s="1" t="s">
        <v>1679</v>
      </c>
      <c r="D1490" s="1" t="s">
        <v>1160</v>
      </c>
      <c r="E1490" s="1" t="s">
        <v>1596</v>
      </c>
    </row>
    <row r="1491" spans="1:5" ht="36" customHeight="1">
      <c r="A1491" s="1" t="s">
        <v>1580</v>
      </c>
      <c r="B1491" s="1" t="s">
        <v>2613</v>
      </c>
      <c r="C1491" s="1" t="s">
        <v>1680</v>
      </c>
      <c r="D1491" s="1" t="s">
        <v>1681</v>
      </c>
      <c r="E1491" s="1" t="s">
        <v>1596</v>
      </c>
    </row>
    <row r="1492" spans="1:5" ht="36" customHeight="1">
      <c r="A1492" s="1" t="s">
        <v>1580</v>
      </c>
      <c r="B1492" s="1" t="s">
        <v>2613</v>
      </c>
      <c r="C1492" s="1" t="s">
        <v>1682</v>
      </c>
      <c r="D1492" s="1" t="s">
        <v>1683</v>
      </c>
      <c r="E1492" s="1" t="s">
        <v>1596</v>
      </c>
    </row>
    <row r="1493" spans="1:5" ht="36" customHeight="1">
      <c r="A1493" s="1" t="s">
        <v>1580</v>
      </c>
      <c r="B1493" s="1" t="s">
        <v>2613</v>
      </c>
      <c r="C1493" s="1" t="s">
        <v>1684</v>
      </c>
      <c r="D1493" s="1" t="s">
        <v>1685</v>
      </c>
      <c r="E1493" s="1" t="s">
        <v>1596</v>
      </c>
    </row>
    <row r="1494" spans="1:5" ht="36" customHeight="1">
      <c r="A1494" s="1" t="s">
        <v>1580</v>
      </c>
      <c r="B1494" s="1" t="s">
        <v>2613</v>
      </c>
      <c r="C1494" s="1" t="s">
        <v>1686</v>
      </c>
      <c r="D1494" s="1" t="s">
        <v>1687</v>
      </c>
      <c r="E1494" s="1" t="s">
        <v>1596</v>
      </c>
    </row>
    <row r="1495" spans="1:5" ht="36" customHeight="1">
      <c r="A1495" s="1" t="s">
        <v>1580</v>
      </c>
      <c r="B1495" s="1" t="s">
        <v>2613</v>
      </c>
      <c r="C1495" s="1" t="s">
        <v>1607</v>
      </c>
      <c r="D1495" s="1" t="s">
        <v>1091</v>
      </c>
      <c r="E1495" s="1" t="s">
        <v>1596</v>
      </c>
    </row>
    <row r="1496" spans="1:5" ht="36" customHeight="1">
      <c r="A1496" s="1" t="s">
        <v>1580</v>
      </c>
      <c r="B1496" s="1" t="s">
        <v>2613</v>
      </c>
      <c r="C1496" s="1" t="s">
        <v>1608</v>
      </c>
      <c r="D1496" s="1" t="s">
        <v>1598</v>
      </c>
      <c r="E1496" s="1" t="s">
        <v>1596</v>
      </c>
    </row>
    <row r="1497" spans="1:5" ht="36" customHeight="1">
      <c r="A1497" s="1" t="s">
        <v>1580</v>
      </c>
      <c r="B1497" s="1" t="s">
        <v>2613</v>
      </c>
      <c r="C1497" s="1" t="s">
        <v>1954</v>
      </c>
      <c r="D1497" s="1" t="s">
        <v>1955</v>
      </c>
      <c r="E1497" s="1" t="s">
        <v>1596</v>
      </c>
    </row>
    <row r="1498" spans="1:5" ht="36" customHeight="1">
      <c r="A1498" s="1" t="s">
        <v>1580</v>
      </c>
      <c r="B1498" s="1" t="s">
        <v>2613</v>
      </c>
      <c r="C1498" s="1" t="s">
        <v>1956</v>
      </c>
      <c r="D1498" s="1" t="s">
        <v>1957</v>
      </c>
      <c r="E1498" s="1" t="s">
        <v>1596</v>
      </c>
    </row>
    <row r="1499" spans="1:5" ht="36" customHeight="1">
      <c r="A1499" s="1" t="s">
        <v>1580</v>
      </c>
      <c r="B1499" s="1" t="s">
        <v>2613</v>
      </c>
      <c r="C1499" s="1" t="s">
        <v>1958</v>
      </c>
      <c r="D1499" s="1" t="s">
        <v>2615</v>
      </c>
      <c r="E1499" s="1" t="s">
        <v>1596</v>
      </c>
    </row>
    <row r="1500" spans="1:5" ht="36" customHeight="1">
      <c r="A1500" s="1" t="s">
        <v>1580</v>
      </c>
      <c r="B1500" s="1" t="s">
        <v>2613</v>
      </c>
      <c r="C1500" s="1" t="s">
        <v>1960</v>
      </c>
      <c r="D1500" s="1" t="s">
        <v>2616</v>
      </c>
      <c r="E1500" s="1" t="s">
        <v>1596</v>
      </c>
    </row>
    <row r="1501" spans="1:5" ht="36" customHeight="1">
      <c r="A1501" s="1" t="s">
        <v>1580</v>
      </c>
      <c r="B1501" s="1" t="s">
        <v>2613</v>
      </c>
      <c r="C1501" s="1" t="s">
        <v>1962</v>
      </c>
      <c r="D1501" s="1" t="s">
        <v>2617</v>
      </c>
      <c r="E1501" s="1" t="s">
        <v>1596</v>
      </c>
    </row>
    <row r="1502" spans="1:5" ht="36" customHeight="1">
      <c r="A1502" s="1" t="s">
        <v>1580</v>
      </c>
      <c r="B1502" s="1" t="s">
        <v>2613</v>
      </c>
      <c r="C1502" s="1" t="s">
        <v>1964</v>
      </c>
      <c r="D1502" s="1" t="s">
        <v>2618</v>
      </c>
      <c r="E1502" s="1" t="s">
        <v>1596</v>
      </c>
    </row>
    <row r="1503" spans="1:5" ht="36" customHeight="1">
      <c r="A1503" s="1" t="s">
        <v>1580</v>
      </c>
      <c r="B1503" s="1" t="s">
        <v>2613</v>
      </c>
      <c r="C1503" s="1" t="s">
        <v>1966</v>
      </c>
      <c r="D1503" s="1" t="s">
        <v>1869</v>
      </c>
      <c r="E1503" s="1" t="s">
        <v>1596</v>
      </c>
    </row>
    <row r="1504" spans="1:5" ht="36" customHeight="1">
      <c r="A1504" s="1" t="s">
        <v>1580</v>
      </c>
      <c r="B1504" s="1" t="s">
        <v>2613</v>
      </c>
      <c r="C1504" s="1" t="s">
        <v>1610</v>
      </c>
      <c r="D1504" s="1" t="s">
        <v>2619</v>
      </c>
      <c r="E1504" s="1" t="s">
        <v>1596</v>
      </c>
    </row>
    <row r="1505" spans="1:5" ht="36" customHeight="1">
      <c r="A1505" s="1" t="s">
        <v>1580</v>
      </c>
      <c r="B1505" s="1" t="s">
        <v>2613</v>
      </c>
      <c r="C1505" s="1" t="s">
        <v>1787</v>
      </c>
      <c r="D1505" s="1" t="s">
        <v>2620</v>
      </c>
      <c r="E1505" s="1" t="s">
        <v>1596</v>
      </c>
    </row>
    <row r="1506" spans="1:5" ht="36" customHeight="1">
      <c r="A1506" s="1" t="s">
        <v>1580</v>
      </c>
      <c r="B1506" s="1" t="s">
        <v>2613</v>
      </c>
      <c r="C1506" s="1" t="s">
        <v>1612</v>
      </c>
      <c r="D1506" s="1" t="s">
        <v>1965</v>
      </c>
      <c r="E1506" s="1" t="s">
        <v>1596</v>
      </c>
    </row>
    <row r="1507" spans="1:5" ht="36" customHeight="1">
      <c r="A1507" s="1" t="s">
        <v>1580</v>
      </c>
      <c r="B1507" s="1" t="s">
        <v>2613</v>
      </c>
      <c r="C1507" s="1" t="s">
        <v>1791</v>
      </c>
      <c r="D1507" s="1" t="s">
        <v>1967</v>
      </c>
      <c r="E1507" s="1" t="s">
        <v>1596</v>
      </c>
    </row>
    <row r="1508" spans="1:5" ht="48" customHeight="1">
      <c r="A1508" s="1" t="s">
        <v>1580</v>
      </c>
      <c r="B1508" s="1" t="s">
        <v>2613</v>
      </c>
      <c r="C1508" s="1" t="s">
        <v>1617</v>
      </c>
      <c r="D1508" s="1" t="s">
        <v>2621</v>
      </c>
      <c r="E1508" s="1" t="s">
        <v>1596</v>
      </c>
    </row>
    <row r="1509" spans="1:5" ht="48" customHeight="1">
      <c r="A1509" s="1" t="s">
        <v>1580</v>
      </c>
      <c r="B1509" s="1" t="s">
        <v>2613</v>
      </c>
      <c r="C1509" s="1" t="s">
        <v>1793</v>
      </c>
      <c r="D1509" s="1" t="s">
        <v>2622</v>
      </c>
      <c r="E1509" s="1" t="s">
        <v>1596</v>
      </c>
    </row>
    <row r="1510" spans="1:5" ht="36" customHeight="1">
      <c r="A1510" s="1" t="s">
        <v>1580</v>
      </c>
      <c r="B1510" s="1" t="s">
        <v>2613</v>
      </c>
      <c r="C1510" s="1" t="s">
        <v>1722</v>
      </c>
      <c r="D1510" s="1" t="s">
        <v>1968</v>
      </c>
      <c r="E1510" s="1" t="s">
        <v>1596</v>
      </c>
    </row>
    <row r="1511" spans="1:5" ht="36" customHeight="1">
      <c r="A1511" s="1" t="s">
        <v>1580</v>
      </c>
      <c r="B1511" s="1" t="s">
        <v>2613</v>
      </c>
      <c r="C1511" s="1" t="s">
        <v>1624</v>
      </c>
      <c r="D1511" s="1" t="s">
        <v>2623</v>
      </c>
      <c r="E1511" s="1" t="s">
        <v>1596</v>
      </c>
    </row>
    <row r="1512" spans="1:5" ht="36" customHeight="1">
      <c r="A1512" s="1" t="s">
        <v>1580</v>
      </c>
      <c r="B1512" s="1" t="s">
        <v>2613</v>
      </c>
      <c r="C1512" s="1" t="s">
        <v>1800</v>
      </c>
      <c r="D1512" s="1" t="s">
        <v>2616</v>
      </c>
      <c r="E1512" s="1" t="s">
        <v>1596</v>
      </c>
    </row>
    <row r="1513" spans="1:5" ht="36" customHeight="1">
      <c r="A1513" s="1" t="s">
        <v>1580</v>
      </c>
      <c r="B1513" s="1" t="s">
        <v>2613</v>
      </c>
      <c r="C1513" s="1" t="s">
        <v>1801</v>
      </c>
      <c r="D1513" s="1" t="s">
        <v>2617</v>
      </c>
      <c r="E1513" s="1" t="s">
        <v>1596</v>
      </c>
    </row>
    <row r="1514" spans="1:5" ht="36" customHeight="1">
      <c r="A1514" s="1" t="s">
        <v>1580</v>
      </c>
      <c r="B1514" s="1" t="s">
        <v>2613</v>
      </c>
      <c r="C1514" s="1" t="s">
        <v>1626</v>
      </c>
      <c r="D1514" s="1" t="s">
        <v>2618</v>
      </c>
      <c r="E1514" s="1" t="s">
        <v>1596</v>
      </c>
    </row>
    <row r="1515" spans="1:5" ht="36" customHeight="1">
      <c r="A1515" s="1" t="s">
        <v>1580</v>
      </c>
      <c r="B1515" s="1" t="s">
        <v>2613</v>
      </c>
      <c r="C1515" s="1" t="s">
        <v>1630</v>
      </c>
      <c r="D1515" s="1" t="s">
        <v>2624</v>
      </c>
      <c r="E1515" s="1" t="s">
        <v>1596</v>
      </c>
    </row>
    <row r="1516" spans="1:5" ht="36" customHeight="1">
      <c r="A1516" s="1" t="s">
        <v>1580</v>
      </c>
      <c r="B1516" s="1" t="s">
        <v>2613</v>
      </c>
      <c r="C1516" s="1" t="s">
        <v>1802</v>
      </c>
      <c r="D1516" s="1" t="s">
        <v>1971</v>
      </c>
      <c r="E1516" s="1" t="s">
        <v>1596</v>
      </c>
    </row>
    <row r="1517" spans="1:5" ht="36" customHeight="1">
      <c r="A1517" s="1" t="s">
        <v>1580</v>
      </c>
      <c r="B1517" s="1" t="s">
        <v>2613</v>
      </c>
      <c r="C1517" s="1" t="s">
        <v>1632</v>
      </c>
      <c r="D1517" s="1" t="s">
        <v>2625</v>
      </c>
      <c r="E1517" s="1" t="s">
        <v>1596</v>
      </c>
    </row>
    <row r="1518" spans="1:5" ht="36" customHeight="1">
      <c r="A1518" s="1" t="s">
        <v>1580</v>
      </c>
      <c r="B1518" s="1" t="s">
        <v>2613</v>
      </c>
      <c r="C1518" s="1" t="s">
        <v>1806</v>
      </c>
      <c r="D1518" s="1" t="s">
        <v>2617</v>
      </c>
      <c r="E1518" s="1" t="s">
        <v>1596</v>
      </c>
    </row>
    <row r="1519" spans="1:5" ht="36" customHeight="1">
      <c r="A1519" s="1" t="s">
        <v>1580</v>
      </c>
      <c r="B1519" s="1" t="s">
        <v>2613</v>
      </c>
      <c r="C1519" s="1" t="s">
        <v>1634</v>
      </c>
      <c r="D1519" s="1" t="s">
        <v>1973</v>
      </c>
      <c r="E1519" s="1" t="s">
        <v>1596</v>
      </c>
    </row>
    <row r="1520" spans="1:5" ht="36" customHeight="1">
      <c r="A1520" s="1" t="s">
        <v>1580</v>
      </c>
      <c r="B1520" s="1" t="s">
        <v>2613</v>
      </c>
      <c r="C1520" s="1" t="s">
        <v>1638</v>
      </c>
      <c r="D1520" s="1" t="s">
        <v>2626</v>
      </c>
      <c r="E1520" s="1" t="s">
        <v>1596</v>
      </c>
    </row>
    <row r="1521" spans="1:5" ht="36" customHeight="1">
      <c r="A1521" s="1" t="s">
        <v>1580</v>
      </c>
      <c r="B1521" s="1" t="s">
        <v>2613</v>
      </c>
      <c r="C1521" s="1" t="s">
        <v>2179</v>
      </c>
      <c r="D1521" s="1" t="s">
        <v>2627</v>
      </c>
      <c r="E1521" s="1" t="s">
        <v>1596</v>
      </c>
    </row>
    <row r="1522" spans="1:5" ht="36" customHeight="1">
      <c r="A1522" s="1" t="s">
        <v>1580</v>
      </c>
      <c r="B1522" s="1" t="s">
        <v>2613</v>
      </c>
      <c r="C1522" s="1" t="s">
        <v>1645</v>
      </c>
      <c r="D1522" s="1" t="s">
        <v>2628</v>
      </c>
      <c r="E1522" s="1" t="s">
        <v>1596</v>
      </c>
    </row>
    <row r="1523" spans="1:5" ht="36" customHeight="1">
      <c r="A1523" s="1" t="s">
        <v>1580</v>
      </c>
      <c r="B1523" s="1" t="s">
        <v>2613</v>
      </c>
      <c r="C1523" s="1" t="s">
        <v>2269</v>
      </c>
      <c r="D1523" s="1" t="s">
        <v>2250</v>
      </c>
      <c r="E1523" s="1" t="s">
        <v>1596</v>
      </c>
    </row>
    <row r="1524" spans="1:5" ht="36" customHeight="1">
      <c r="A1524" s="1" t="s">
        <v>1580</v>
      </c>
      <c r="B1524" s="1" t="s">
        <v>2613</v>
      </c>
      <c r="C1524" s="1" t="s">
        <v>1651</v>
      </c>
      <c r="D1524" s="1" t="s">
        <v>2629</v>
      </c>
      <c r="E1524" s="1" t="s">
        <v>1596</v>
      </c>
    </row>
    <row r="1525" spans="1:5" ht="36" customHeight="1">
      <c r="A1525" s="1" t="s">
        <v>1580</v>
      </c>
      <c r="B1525" s="1" t="s">
        <v>2613</v>
      </c>
      <c r="C1525" s="1" t="s">
        <v>1696</v>
      </c>
      <c r="D1525" s="1" t="s">
        <v>2250</v>
      </c>
      <c r="E1525" s="1" t="s">
        <v>1596</v>
      </c>
    </row>
    <row r="1526" spans="1:5" ht="36" customHeight="1">
      <c r="A1526" s="1" t="s">
        <v>1580</v>
      </c>
      <c r="B1526" s="1" t="s">
        <v>2613</v>
      </c>
      <c r="C1526" s="1" t="s">
        <v>1658</v>
      </c>
      <c r="D1526" s="1" t="s">
        <v>2630</v>
      </c>
      <c r="E1526" s="1" t="s">
        <v>1596</v>
      </c>
    </row>
    <row r="1527" spans="1:5" ht="48" customHeight="1">
      <c r="A1527" s="1" t="s">
        <v>1580</v>
      </c>
      <c r="B1527" s="1" t="s">
        <v>2613</v>
      </c>
      <c r="C1527" s="1" t="s">
        <v>2285</v>
      </c>
      <c r="D1527" s="1" t="s">
        <v>2631</v>
      </c>
      <c r="E1527" s="1" t="s">
        <v>1596</v>
      </c>
    </row>
    <row r="1528" spans="1:5" ht="36" customHeight="1">
      <c r="A1528" s="1" t="s">
        <v>1580</v>
      </c>
      <c r="B1528" s="1" t="s">
        <v>2613</v>
      </c>
      <c r="C1528" s="1" t="s">
        <v>1660</v>
      </c>
      <c r="D1528" s="1" t="s">
        <v>2632</v>
      </c>
      <c r="E1528" s="1" t="s">
        <v>1596</v>
      </c>
    </row>
    <row r="1529" spans="1:5" ht="36" customHeight="1">
      <c r="A1529" s="1" t="s">
        <v>1580</v>
      </c>
      <c r="B1529" s="1" t="s">
        <v>2613</v>
      </c>
      <c r="C1529" s="1" t="s">
        <v>1661</v>
      </c>
      <c r="D1529" s="1" t="s">
        <v>1622</v>
      </c>
      <c r="E1529" s="1" t="s">
        <v>1596</v>
      </c>
    </row>
    <row r="1530" spans="1:5" ht="36" customHeight="1">
      <c r="A1530" s="1" t="s">
        <v>1580</v>
      </c>
      <c r="B1530" s="1" t="s">
        <v>2613</v>
      </c>
      <c r="C1530" s="1" t="s">
        <v>1822</v>
      </c>
      <c r="D1530" s="1" t="s">
        <v>1979</v>
      </c>
      <c r="E1530" s="1" t="s">
        <v>1596</v>
      </c>
    </row>
    <row r="1531" spans="1:5" ht="36" customHeight="1">
      <c r="A1531" s="1" t="s">
        <v>1580</v>
      </c>
      <c r="B1531" s="1" t="s">
        <v>2613</v>
      </c>
      <c r="C1531" s="1" t="s">
        <v>1824</v>
      </c>
      <c r="D1531" s="1" t="s">
        <v>2633</v>
      </c>
      <c r="E1531" s="1" t="s">
        <v>1596</v>
      </c>
    </row>
    <row r="1532" spans="1:5" ht="36" customHeight="1">
      <c r="A1532" s="1" t="s">
        <v>1580</v>
      </c>
      <c r="B1532" s="1" t="s">
        <v>2613</v>
      </c>
      <c r="C1532" s="1" t="s">
        <v>1827</v>
      </c>
      <c r="D1532" s="1" t="s">
        <v>2634</v>
      </c>
      <c r="E1532" s="1" t="s">
        <v>1596</v>
      </c>
    </row>
    <row r="1533" spans="1:5" ht="36" customHeight="1">
      <c r="A1533" s="1" t="s">
        <v>1580</v>
      </c>
      <c r="B1533" s="1" t="s">
        <v>2613</v>
      </c>
      <c r="C1533" s="1" t="s">
        <v>2392</v>
      </c>
      <c r="D1533" s="1" t="s">
        <v>2635</v>
      </c>
      <c r="E1533" s="1" t="s">
        <v>1596</v>
      </c>
    </row>
    <row r="1534" spans="1:5" ht="36" customHeight="1">
      <c r="A1534" s="1" t="s">
        <v>1580</v>
      </c>
      <c r="B1534" s="1" t="s">
        <v>2613</v>
      </c>
      <c r="C1534" s="1" t="s">
        <v>2393</v>
      </c>
      <c r="D1534" s="1" t="s">
        <v>1691</v>
      </c>
      <c r="E1534" s="1" t="s">
        <v>1596</v>
      </c>
    </row>
    <row r="1535" spans="1:5" ht="36" customHeight="1">
      <c r="A1535" s="1" t="s">
        <v>1580</v>
      </c>
      <c r="B1535" s="1" t="s">
        <v>2613</v>
      </c>
      <c r="C1535" s="1" t="s">
        <v>2327</v>
      </c>
      <c r="D1535" s="1" t="s">
        <v>2636</v>
      </c>
      <c r="E1535" s="1" t="s">
        <v>1596</v>
      </c>
    </row>
    <row r="1536" spans="1:5" ht="36" customHeight="1">
      <c r="A1536" s="1" t="s">
        <v>1580</v>
      </c>
      <c r="B1536" s="1" t="s">
        <v>2613</v>
      </c>
      <c r="C1536" s="1" t="s">
        <v>1708</v>
      </c>
      <c r="D1536" s="1" t="s">
        <v>2637</v>
      </c>
      <c r="E1536" s="1" t="s">
        <v>1596</v>
      </c>
    </row>
    <row r="1537" spans="1:5" ht="36" customHeight="1">
      <c r="A1537" s="1" t="s">
        <v>1580</v>
      </c>
      <c r="B1537" s="1" t="s">
        <v>2613</v>
      </c>
      <c r="C1537" s="1" t="s">
        <v>1710</v>
      </c>
      <c r="D1537" s="1" t="s">
        <v>1691</v>
      </c>
      <c r="E1537" s="1" t="s">
        <v>1596</v>
      </c>
    </row>
    <row r="1538" spans="1:5" ht="36" customHeight="1">
      <c r="A1538" s="1" t="s">
        <v>1580</v>
      </c>
      <c r="B1538" s="1" t="s">
        <v>2613</v>
      </c>
      <c r="C1538" s="1" t="s">
        <v>2329</v>
      </c>
      <c r="D1538" s="1" t="s">
        <v>2638</v>
      </c>
      <c r="E1538" s="1" t="s">
        <v>1596</v>
      </c>
    </row>
    <row r="1539" spans="1:5" ht="36" customHeight="1">
      <c r="A1539" s="1" t="s">
        <v>1580</v>
      </c>
      <c r="B1539" s="1" t="s">
        <v>2613</v>
      </c>
      <c r="C1539" s="1" t="s">
        <v>1829</v>
      </c>
      <c r="D1539" s="1" t="s">
        <v>2639</v>
      </c>
      <c r="E1539" s="1" t="s">
        <v>1596</v>
      </c>
    </row>
    <row r="1540" spans="1:5" ht="36" customHeight="1">
      <c r="A1540" s="1" t="s">
        <v>1580</v>
      </c>
      <c r="B1540" s="1" t="s">
        <v>2613</v>
      </c>
      <c r="C1540" s="1" t="s">
        <v>1830</v>
      </c>
      <c r="D1540" s="1" t="s">
        <v>1615</v>
      </c>
      <c r="E1540" s="1" t="s">
        <v>1596</v>
      </c>
    </row>
    <row r="1541" spans="1:5" ht="36" customHeight="1">
      <c r="A1541" s="1" t="s">
        <v>1580</v>
      </c>
      <c r="B1541" s="1" t="s">
        <v>2613</v>
      </c>
      <c r="C1541" s="1" t="s">
        <v>1739</v>
      </c>
      <c r="D1541" s="1" t="s">
        <v>2640</v>
      </c>
      <c r="E1541" s="1" t="s">
        <v>1596</v>
      </c>
    </row>
    <row r="1542" spans="1:5" ht="36" customHeight="1">
      <c r="A1542" s="1" t="s">
        <v>1580</v>
      </c>
      <c r="B1542" s="1" t="s">
        <v>2613</v>
      </c>
      <c r="C1542" s="1" t="s">
        <v>1837</v>
      </c>
      <c r="D1542" s="1" t="s">
        <v>2641</v>
      </c>
      <c r="E1542" s="1" t="s">
        <v>1596</v>
      </c>
    </row>
    <row r="1543" spans="1:5" ht="36" customHeight="1">
      <c r="A1543" s="1" t="s">
        <v>1580</v>
      </c>
      <c r="B1543" s="1" t="s">
        <v>2613</v>
      </c>
      <c r="C1543" s="1" t="s">
        <v>1838</v>
      </c>
      <c r="D1543" s="1" t="s">
        <v>2637</v>
      </c>
      <c r="E1543" s="1" t="s">
        <v>1596</v>
      </c>
    </row>
    <row r="1544" spans="1:5" ht="36" customHeight="1">
      <c r="A1544" s="1" t="s">
        <v>1580</v>
      </c>
      <c r="B1544" s="1" t="s">
        <v>2613</v>
      </c>
      <c r="C1544" s="1" t="s">
        <v>1839</v>
      </c>
      <c r="D1544" s="1" t="s">
        <v>1691</v>
      </c>
      <c r="E1544" s="1" t="s">
        <v>1596</v>
      </c>
    </row>
    <row r="1545" spans="1:5" ht="36" customHeight="1">
      <c r="A1545" s="1" t="s">
        <v>1580</v>
      </c>
      <c r="B1545" s="1" t="s">
        <v>2613</v>
      </c>
      <c r="C1545" s="1" t="s">
        <v>1982</v>
      </c>
      <c r="D1545" s="1" t="s">
        <v>2642</v>
      </c>
      <c r="E1545" s="1" t="s">
        <v>1596</v>
      </c>
    </row>
    <row r="1546" spans="1:5" ht="36" customHeight="1">
      <c r="A1546" s="1" t="s">
        <v>1580</v>
      </c>
      <c r="B1546" s="1" t="s">
        <v>2613</v>
      </c>
      <c r="C1546" s="1" t="s">
        <v>2409</v>
      </c>
      <c r="D1546" s="1" t="s">
        <v>2250</v>
      </c>
      <c r="E1546" s="1" t="s">
        <v>1596</v>
      </c>
    </row>
    <row r="1547" spans="1:5" ht="36" customHeight="1">
      <c r="A1547" s="1" t="s">
        <v>1580</v>
      </c>
      <c r="B1547" s="1" t="s">
        <v>2613</v>
      </c>
      <c r="C1547" s="1" t="s">
        <v>2410</v>
      </c>
      <c r="D1547" s="1" t="s">
        <v>1423</v>
      </c>
      <c r="E1547" s="1" t="s">
        <v>1596</v>
      </c>
    </row>
    <row r="1548" spans="1:5" ht="36" customHeight="1">
      <c r="A1548" s="1" t="s">
        <v>1580</v>
      </c>
      <c r="B1548" s="1" t="s">
        <v>2613</v>
      </c>
      <c r="C1548" s="1" t="s">
        <v>2411</v>
      </c>
      <c r="D1548" s="1" t="s">
        <v>2643</v>
      </c>
      <c r="E1548" s="1" t="s">
        <v>1596</v>
      </c>
    </row>
    <row r="1549" spans="1:5" ht="36" customHeight="1">
      <c r="A1549" s="1" t="s">
        <v>1580</v>
      </c>
      <c r="B1549" s="1" t="s">
        <v>2613</v>
      </c>
      <c r="C1549" s="1" t="s">
        <v>1711</v>
      </c>
      <c r="D1549" s="1" t="s">
        <v>1989</v>
      </c>
      <c r="E1549" s="1" t="s">
        <v>1596</v>
      </c>
    </row>
    <row r="1550" spans="1:5" ht="36" customHeight="1">
      <c r="A1550" s="1" t="s">
        <v>1580</v>
      </c>
      <c r="B1550" s="1" t="s">
        <v>2613</v>
      </c>
      <c r="C1550" s="1" t="s">
        <v>1840</v>
      </c>
      <c r="D1550" s="1" t="s">
        <v>2644</v>
      </c>
      <c r="E1550" s="1" t="s">
        <v>1596</v>
      </c>
    </row>
    <row r="1551" spans="1:5" ht="36" customHeight="1">
      <c r="A1551" s="1" t="s">
        <v>1580</v>
      </c>
      <c r="B1551" s="1" t="s">
        <v>2613</v>
      </c>
      <c r="C1551" s="1" t="s">
        <v>2232</v>
      </c>
      <c r="D1551" s="1" t="s">
        <v>2048</v>
      </c>
      <c r="E1551" s="1" t="s">
        <v>1596</v>
      </c>
    </row>
    <row r="1552" spans="1:5" ht="36" customHeight="1">
      <c r="A1552" s="1" t="s">
        <v>1580</v>
      </c>
      <c r="B1552" s="1" t="s">
        <v>2613</v>
      </c>
      <c r="C1552" s="1" t="s">
        <v>2234</v>
      </c>
      <c r="D1552" s="1" t="s">
        <v>2645</v>
      </c>
      <c r="E1552" s="1" t="s">
        <v>1596</v>
      </c>
    </row>
    <row r="1553" spans="1:5" ht="36" customHeight="1">
      <c r="A1553" s="1" t="s">
        <v>1580</v>
      </c>
      <c r="B1553" s="1" t="s">
        <v>2613</v>
      </c>
      <c r="C1553" s="1" t="s">
        <v>1993</v>
      </c>
      <c r="D1553" s="1" t="s">
        <v>2646</v>
      </c>
      <c r="E1553" s="1" t="s">
        <v>1596</v>
      </c>
    </row>
    <row r="1554" spans="1:5" ht="36" customHeight="1">
      <c r="A1554" s="1" t="s">
        <v>1580</v>
      </c>
      <c r="B1554" s="1" t="s">
        <v>2613</v>
      </c>
      <c r="C1554" s="1" t="s">
        <v>2000</v>
      </c>
      <c r="D1554" s="1" t="s">
        <v>2001</v>
      </c>
      <c r="E1554" s="1" t="s">
        <v>1596</v>
      </c>
    </row>
    <row r="1555" spans="1:5" ht="36" customHeight="1">
      <c r="A1555" s="1" t="s">
        <v>1580</v>
      </c>
      <c r="B1555" s="1" t="s">
        <v>2613</v>
      </c>
      <c r="C1555" s="1" t="s">
        <v>2002</v>
      </c>
      <c r="D1555" s="1" t="s">
        <v>2647</v>
      </c>
      <c r="E1555" s="1" t="s">
        <v>1596</v>
      </c>
    </row>
    <row r="1556" spans="1:5" ht="36" customHeight="1">
      <c r="A1556" s="1" t="s">
        <v>1580</v>
      </c>
      <c r="B1556" s="1" t="s">
        <v>2613</v>
      </c>
      <c r="C1556" s="1" t="s">
        <v>1846</v>
      </c>
      <c r="D1556" s="1" t="s">
        <v>2004</v>
      </c>
      <c r="E1556" s="1" t="s">
        <v>1596</v>
      </c>
    </row>
    <row r="1557" spans="1:5" ht="36" customHeight="1">
      <c r="A1557" s="1" t="s">
        <v>1580</v>
      </c>
      <c r="B1557" s="1" t="s">
        <v>2613</v>
      </c>
      <c r="C1557" s="1" t="s">
        <v>1847</v>
      </c>
      <c r="D1557" s="1" t="s">
        <v>2005</v>
      </c>
      <c r="E1557" s="1" t="s">
        <v>1596</v>
      </c>
    </row>
    <row r="1558" spans="1:5" ht="36" customHeight="1">
      <c r="A1558" s="1" t="s">
        <v>1580</v>
      </c>
      <c r="B1558" s="1" t="s">
        <v>2613</v>
      </c>
      <c r="C1558" s="1" t="s">
        <v>1848</v>
      </c>
      <c r="D1558" s="1" t="s">
        <v>1691</v>
      </c>
      <c r="E1558" s="1" t="s">
        <v>1596</v>
      </c>
    </row>
    <row r="1559" spans="1:5" ht="36" customHeight="1">
      <c r="A1559" s="1" t="s">
        <v>1580</v>
      </c>
      <c r="B1559" s="1" t="s">
        <v>2613</v>
      </c>
      <c r="C1559" s="1" t="s">
        <v>2006</v>
      </c>
      <c r="D1559" s="1" t="s">
        <v>2007</v>
      </c>
      <c r="E1559" s="1" t="s">
        <v>1596</v>
      </c>
    </row>
    <row r="1560" spans="1:5" ht="36" customHeight="1">
      <c r="A1560" s="1" t="s">
        <v>1580</v>
      </c>
      <c r="B1560" s="1" t="s">
        <v>2613</v>
      </c>
      <c r="C1560" s="1" t="s">
        <v>2008</v>
      </c>
      <c r="D1560" s="1" t="s">
        <v>2648</v>
      </c>
      <c r="E1560" s="1" t="s">
        <v>1596</v>
      </c>
    </row>
    <row r="1561" spans="1:5" ht="36" customHeight="1">
      <c r="A1561" s="1" t="s">
        <v>1580</v>
      </c>
      <c r="B1561" s="1" t="s">
        <v>2613</v>
      </c>
      <c r="C1561" s="1" t="s">
        <v>1850</v>
      </c>
      <c r="D1561" s="1" t="s">
        <v>2005</v>
      </c>
      <c r="E1561" s="1" t="s">
        <v>1596</v>
      </c>
    </row>
    <row r="1562" spans="1:5" ht="36" customHeight="1">
      <c r="A1562" s="1" t="s">
        <v>1580</v>
      </c>
      <c r="B1562" s="1" t="s">
        <v>2613</v>
      </c>
      <c r="C1562" s="1" t="s">
        <v>1746</v>
      </c>
      <c r="D1562" s="1" t="s">
        <v>2010</v>
      </c>
      <c r="E1562" s="1" t="s">
        <v>1596</v>
      </c>
    </row>
    <row r="1563" spans="1:5" ht="36" customHeight="1">
      <c r="A1563" s="1" t="s">
        <v>1580</v>
      </c>
      <c r="B1563" s="1" t="s">
        <v>2613</v>
      </c>
      <c r="C1563" s="1" t="s">
        <v>1748</v>
      </c>
      <c r="D1563" s="1" t="s">
        <v>2649</v>
      </c>
      <c r="E1563" s="1" t="s">
        <v>1596</v>
      </c>
    </row>
    <row r="1564" spans="1:5" ht="36" customHeight="1">
      <c r="A1564" s="1" t="s">
        <v>1580</v>
      </c>
      <c r="B1564" s="1" t="s">
        <v>2613</v>
      </c>
      <c r="C1564" s="1" t="s">
        <v>1750</v>
      </c>
      <c r="D1564" s="1" t="s">
        <v>2012</v>
      </c>
      <c r="E1564" s="1" t="s">
        <v>1596</v>
      </c>
    </row>
    <row r="1565" spans="1:5" ht="36" customHeight="1">
      <c r="A1565" s="1" t="s">
        <v>1580</v>
      </c>
      <c r="B1565" s="1" t="s">
        <v>2613</v>
      </c>
      <c r="C1565" s="1" t="s">
        <v>1753</v>
      </c>
      <c r="D1565" s="1" t="s">
        <v>2013</v>
      </c>
      <c r="E1565" s="1" t="s">
        <v>1596</v>
      </c>
    </row>
    <row r="1566" spans="1:5" ht="36" customHeight="1">
      <c r="A1566" s="1" t="s">
        <v>1580</v>
      </c>
      <c r="B1566" s="1" t="s">
        <v>2613</v>
      </c>
      <c r="C1566" s="1" t="s">
        <v>2014</v>
      </c>
      <c r="D1566" s="1" t="s">
        <v>2015</v>
      </c>
      <c r="E1566" s="1" t="s">
        <v>1596</v>
      </c>
    </row>
    <row r="1567" spans="1:5" ht="36" customHeight="1">
      <c r="A1567" s="1" t="s">
        <v>1580</v>
      </c>
      <c r="B1567" s="1" t="s">
        <v>2613</v>
      </c>
      <c r="C1567" s="1" t="s">
        <v>2016</v>
      </c>
      <c r="D1567" s="1" t="s">
        <v>558</v>
      </c>
      <c r="E1567" s="1" t="s">
        <v>1596</v>
      </c>
    </row>
    <row r="1568" spans="1:5" ht="36" customHeight="1">
      <c r="A1568" s="1" t="s">
        <v>1580</v>
      </c>
      <c r="B1568" s="1" t="s">
        <v>2613</v>
      </c>
      <c r="C1568" s="1" t="s">
        <v>1858</v>
      </c>
      <c r="D1568" s="1" t="s">
        <v>2650</v>
      </c>
      <c r="E1568" s="1" t="s">
        <v>1596</v>
      </c>
    </row>
    <row r="1569" spans="1:5" ht="36" customHeight="1">
      <c r="A1569" s="1" t="s">
        <v>1580</v>
      </c>
      <c r="B1569" s="1" t="s">
        <v>2613</v>
      </c>
      <c r="C1569" s="1" t="s">
        <v>1861</v>
      </c>
      <c r="D1569" s="1" t="s">
        <v>1983</v>
      </c>
      <c r="E1569" s="1" t="s">
        <v>1596</v>
      </c>
    </row>
    <row r="1570" spans="1:5" ht="36" customHeight="1">
      <c r="A1570" s="1" t="s">
        <v>1580</v>
      </c>
      <c r="B1570" s="1" t="s">
        <v>2613</v>
      </c>
      <c r="C1570" s="1" t="s">
        <v>2342</v>
      </c>
      <c r="D1570" s="1" t="s">
        <v>1903</v>
      </c>
      <c r="E1570" s="1" t="s">
        <v>1596</v>
      </c>
    </row>
    <row r="1571" spans="1:5" ht="36" customHeight="1">
      <c r="A1571" s="1" t="s">
        <v>1580</v>
      </c>
      <c r="B1571" s="1" t="s">
        <v>2613</v>
      </c>
      <c r="C1571" s="1" t="s">
        <v>2343</v>
      </c>
      <c r="D1571" s="1" t="s">
        <v>2651</v>
      </c>
      <c r="E1571" s="1" t="s">
        <v>1596</v>
      </c>
    </row>
    <row r="1572" spans="1:5" ht="36" customHeight="1">
      <c r="A1572" s="1" t="s">
        <v>1580</v>
      </c>
      <c r="B1572" s="1" t="s">
        <v>2613</v>
      </c>
      <c r="C1572" s="1" t="s">
        <v>2344</v>
      </c>
      <c r="D1572" s="1" t="s">
        <v>2652</v>
      </c>
      <c r="E1572" s="1" t="s">
        <v>1596</v>
      </c>
    </row>
    <row r="1573" spans="1:5" ht="36" customHeight="1">
      <c r="A1573" s="1" t="s">
        <v>1580</v>
      </c>
      <c r="B1573" s="1" t="s">
        <v>2613</v>
      </c>
      <c r="C1573" s="1" t="s">
        <v>1863</v>
      </c>
      <c r="D1573" s="1" t="s">
        <v>2653</v>
      </c>
      <c r="E1573" s="1" t="s">
        <v>1596</v>
      </c>
    </row>
    <row r="1574" spans="1:5" ht="36" customHeight="1">
      <c r="A1574" s="1" t="s">
        <v>1580</v>
      </c>
      <c r="B1574" s="1" t="s">
        <v>2613</v>
      </c>
      <c r="C1574" s="1" t="s">
        <v>1866</v>
      </c>
      <c r="D1574" s="1" t="s">
        <v>2005</v>
      </c>
      <c r="E1574" s="1" t="s">
        <v>1596</v>
      </c>
    </row>
    <row r="1575" spans="1:5" ht="36" customHeight="1">
      <c r="A1575" s="1" t="s">
        <v>1580</v>
      </c>
      <c r="B1575" s="1" t="s">
        <v>2613</v>
      </c>
      <c r="C1575" s="1" t="s">
        <v>1870</v>
      </c>
      <c r="D1575" s="1" t="s">
        <v>1668</v>
      </c>
      <c r="E1575" s="1" t="s">
        <v>1596</v>
      </c>
    </row>
    <row r="1576" spans="1:5" ht="36" customHeight="1">
      <c r="A1576" s="1" t="s">
        <v>1580</v>
      </c>
      <c r="B1576" s="1" t="s">
        <v>2613</v>
      </c>
      <c r="C1576" s="1" t="s">
        <v>1871</v>
      </c>
      <c r="D1576" s="1" t="s">
        <v>1670</v>
      </c>
      <c r="E1576" s="1" t="s">
        <v>1596</v>
      </c>
    </row>
    <row r="1577" spans="1:5" ht="36" customHeight="1">
      <c r="A1577" s="1" t="s">
        <v>1580</v>
      </c>
      <c r="B1577" s="1" t="s">
        <v>2613</v>
      </c>
      <c r="C1577" s="1" t="s">
        <v>1872</v>
      </c>
      <c r="D1577" s="1" t="s">
        <v>1672</v>
      </c>
      <c r="E1577" s="1" t="s">
        <v>1596</v>
      </c>
    </row>
    <row r="1578" spans="1:5" ht="36" customHeight="1">
      <c r="A1578" s="1" t="s">
        <v>1580</v>
      </c>
      <c r="B1578" s="1" t="s">
        <v>1951</v>
      </c>
      <c r="C1578" s="1" t="s">
        <v>1594</v>
      </c>
      <c r="D1578" s="1" t="s">
        <v>2654</v>
      </c>
      <c r="E1578" s="1" t="s">
        <v>1596</v>
      </c>
    </row>
    <row r="1579" spans="1:5" ht="36" customHeight="1">
      <c r="A1579" s="1" t="s">
        <v>1580</v>
      </c>
      <c r="B1579" s="1" t="s">
        <v>1951</v>
      </c>
      <c r="C1579" s="1" t="s">
        <v>1597</v>
      </c>
      <c r="D1579" s="1" t="s">
        <v>1598</v>
      </c>
      <c r="E1579" s="1" t="s">
        <v>1596</v>
      </c>
    </row>
    <row r="1580" spans="1:5" ht="36" customHeight="1">
      <c r="A1580" s="1" t="s">
        <v>1580</v>
      </c>
      <c r="B1580" s="1" t="s">
        <v>1951</v>
      </c>
      <c r="C1580" s="1" t="s">
        <v>1599</v>
      </c>
      <c r="D1580" s="1" t="s">
        <v>1953</v>
      </c>
      <c r="E1580" s="1" t="s">
        <v>1596</v>
      </c>
    </row>
    <row r="1581" spans="1:5" ht="36" customHeight="1">
      <c r="A1581" s="1" t="s">
        <v>1580</v>
      </c>
      <c r="B1581" s="1" t="s">
        <v>1951</v>
      </c>
      <c r="C1581" s="1" t="s">
        <v>1601</v>
      </c>
      <c r="D1581" s="1" t="s">
        <v>1602</v>
      </c>
      <c r="E1581" s="1" t="s">
        <v>1596</v>
      </c>
    </row>
    <row r="1582" spans="1:5" ht="36" customHeight="1">
      <c r="A1582" s="1" t="s">
        <v>1580</v>
      </c>
      <c r="B1582" s="1" t="s">
        <v>1951</v>
      </c>
      <c r="C1582" s="1" t="s">
        <v>1603</v>
      </c>
      <c r="D1582" s="1" t="s">
        <v>1951</v>
      </c>
      <c r="E1582" s="1" t="s">
        <v>1596</v>
      </c>
    </row>
    <row r="1583" spans="1:5" ht="36" customHeight="1">
      <c r="A1583" s="1" t="s">
        <v>1580</v>
      </c>
      <c r="B1583" s="1" t="s">
        <v>1951</v>
      </c>
      <c r="C1583" s="1" t="s">
        <v>1605</v>
      </c>
      <c r="D1583" s="1" t="s">
        <v>1676</v>
      </c>
      <c r="E1583" s="1" t="s">
        <v>1596</v>
      </c>
    </row>
    <row r="1584" spans="1:5" ht="36" customHeight="1">
      <c r="A1584" s="1" t="s">
        <v>1580</v>
      </c>
      <c r="B1584" s="1" t="s">
        <v>1951</v>
      </c>
      <c r="C1584" s="1" t="s">
        <v>1677</v>
      </c>
      <c r="D1584" s="1" t="s">
        <v>1678</v>
      </c>
      <c r="E1584" s="1" t="s">
        <v>1596</v>
      </c>
    </row>
    <row r="1585" spans="1:5" ht="36" customHeight="1">
      <c r="A1585" s="1" t="s">
        <v>1580</v>
      </c>
      <c r="B1585" s="1" t="s">
        <v>1951</v>
      </c>
      <c r="C1585" s="1" t="s">
        <v>1679</v>
      </c>
      <c r="D1585" s="1" t="s">
        <v>1160</v>
      </c>
      <c r="E1585" s="1" t="s">
        <v>1596</v>
      </c>
    </row>
    <row r="1586" spans="1:5" ht="36" customHeight="1">
      <c r="A1586" s="1" t="s">
        <v>1580</v>
      </c>
      <c r="B1586" s="1" t="s">
        <v>1951</v>
      </c>
      <c r="C1586" s="1" t="s">
        <v>1680</v>
      </c>
      <c r="D1586" s="1" t="s">
        <v>1681</v>
      </c>
      <c r="E1586" s="1" t="s">
        <v>1596</v>
      </c>
    </row>
    <row r="1587" spans="1:5" ht="36" customHeight="1">
      <c r="A1587" s="1" t="s">
        <v>1580</v>
      </c>
      <c r="B1587" s="1" t="s">
        <v>1951</v>
      </c>
      <c r="C1587" s="1" t="s">
        <v>1682</v>
      </c>
      <c r="D1587" s="1" t="s">
        <v>1683</v>
      </c>
      <c r="E1587" s="1" t="s">
        <v>1596</v>
      </c>
    </row>
    <row r="1588" spans="1:5" ht="36" customHeight="1">
      <c r="A1588" s="1" t="s">
        <v>1580</v>
      </c>
      <c r="B1588" s="1" t="s">
        <v>1951</v>
      </c>
      <c r="C1588" s="1" t="s">
        <v>1684</v>
      </c>
      <c r="D1588" s="1" t="s">
        <v>1685</v>
      </c>
      <c r="E1588" s="1" t="s">
        <v>1596</v>
      </c>
    </row>
    <row r="1589" spans="1:5" ht="36" customHeight="1">
      <c r="A1589" s="1" t="s">
        <v>1580</v>
      </c>
      <c r="B1589" s="1" t="s">
        <v>1951</v>
      </c>
      <c r="C1589" s="1" t="s">
        <v>1686</v>
      </c>
      <c r="D1589" s="1" t="s">
        <v>1687</v>
      </c>
      <c r="E1589" s="1" t="s">
        <v>1596</v>
      </c>
    </row>
    <row r="1590" spans="1:5" ht="36" customHeight="1">
      <c r="A1590" s="1" t="s">
        <v>1580</v>
      </c>
      <c r="B1590" s="1" t="s">
        <v>1951</v>
      </c>
      <c r="C1590" s="1" t="s">
        <v>1607</v>
      </c>
      <c r="D1590" s="1" t="s">
        <v>1091</v>
      </c>
      <c r="E1590" s="1" t="s">
        <v>1596</v>
      </c>
    </row>
    <row r="1591" spans="1:5" ht="36" customHeight="1">
      <c r="A1591" s="1" t="s">
        <v>1580</v>
      </c>
      <c r="B1591" s="1" t="s">
        <v>1951</v>
      </c>
      <c r="C1591" s="1" t="s">
        <v>1608</v>
      </c>
      <c r="D1591" s="1" t="s">
        <v>1598</v>
      </c>
      <c r="E1591" s="1" t="s">
        <v>1596</v>
      </c>
    </row>
    <row r="1592" spans="1:5" ht="36" customHeight="1">
      <c r="A1592" s="1" t="s">
        <v>1580</v>
      </c>
      <c r="B1592" s="1" t="s">
        <v>1951</v>
      </c>
      <c r="C1592" s="1" t="s">
        <v>1954</v>
      </c>
      <c r="D1592" s="1" t="s">
        <v>1955</v>
      </c>
      <c r="E1592" s="1" t="s">
        <v>1596</v>
      </c>
    </row>
    <row r="1593" spans="1:5" ht="36" customHeight="1">
      <c r="A1593" s="1" t="s">
        <v>1580</v>
      </c>
      <c r="B1593" s="1" t="s">
        <v>1951</v>
      </c>
      <c r="C1593" s="1" t="s">
        <v>1956</v>
      </c>
      <c r="D1593" s="1" t="s">
        <v>1957</v>
      </c>
      <c r="E1593" s="1" t="s">
        <v>1596</v>
      </c>
    </row>
    <row r="1594" spans="1:5" ht="36" customHeight="1">
      <c r="A1594" s="1" t="s">
        <v>1580</v>
      </c>
      <c r="B1594" s="1" t="s">
        <v>1951</v>
      </c>
      <c r="C1594" s="1" t="s">
        <v>1958</v>
      </c>
      <c r="D1594" s="1" t="s">
        <v>2615</v>
      </c>
      <c r="E1594" s="1" t="s">
        <v>1596</v>
      </c>
    </row>
    <row r="1595" spans="1:5" ht="36" customHeight="1">
      <c r="A1595" s="1" t="s">
        <v>1580</v>
      </c>
      <c r="B1595" s="1" t="s">
        <v>1951</v>
      </c>
      <c r="C1595" s="1" t="s">
        <v>1960</v>
      </c>
      <c r="D1595" s="1" t="s">
        <v>2655</v>
      </c>
      <c r="E1595" s="1" t="s">
        <v>1596</v>
      </c>
    </row>
    <row r="1596" spans="1:5" ht="36" customHeight="1">
      <c r="A1596" s="1" t="s">
        <v>1580</v>
      </c>
      <c r="B1596" s="1" t="s">
        <v>1951</v>
      </c>
      <c r="C1596" s="1" t="s">
        <v>1962</v>
      </c>
      <c r="D1596" s="1" t="s">
        <v>2617</v>
      </c>
      <c r="E1596" s="1" t="s">
        <v>1596</v>
      </c>
    </row>
    <row r="1597" spans="1:5" ht="36" customHeight="1">
      <c r="A1597" s="1" t="s">
        <v>1580</v>
      </c>
      <c r="B1597" s="1" t="s">
        <v>1951</v>
      </c>
      <c r="C1597" s="1" t="s">
        <v>1964</v>
      </c>
      <c r="D1597" s="1" t="s">
        <v>2618</v>
      </c>
      <c r="E1597" s="1" t="s">
        <v>1596</v>
      </c>
    </row>
    <row r="1598" spans="1:5" ht="36" customHeight="1">
      <c r="A1598" s="1" t="s">
        <v>1580</v>
      </c>
      <c r="B1598" s="1" t="s">
        <v>1951</v>
      </c>
      <c r="C1598" s="1" t="s">
        <v>1966</v>
      </c>
      <c r="D1598" s="1" t="s">
        <v>1869</v>
      </c>
      <c r="E1598" s="1" t="s">
        <v>1596</v>
      </c>
    </row>
    <row r="1599" spans="1:5" ht="36" customHeight="1">
      <c r="A1599" s="1" t="s">
        <v>1580</v>
      </c>
      <c r="B1599" s="1" t="s">
        <v>1951</v>
      </c>
      <c r="C1599" s="1" t="s">
        <v>1610</v>
      </c>
      <c r="D1599" s="1" t="s">
        <v>2656</v>
      </c>
      <c r="E1599" s="1" t="s">
        <v>1596</v>
      </c>
    </row>
    <row r="1600" spans="1:5" ht="48" customHeight="1">
      <c r="A1600" s="1" t="s">
        <v>1580</v>
      </c>
      <c r="B1600" s="1" t="s">
        <v>1951</v>
      </c>
      <c r="C1600" s="1" t="s">
        <v>1787</v>
      </c>
      <c r="D1600" s="1" t="s">
        <v>2657</v>
      </c>
      <c r="E1600" s="1" t="s">
        <v>1596</v>
      </c>
    </row>
    <row r="1601" spans="1:5" ht="36" customHeight="1">
      <c r="A1601" s="1" t="s">
        <v>1580</v>
      </c>
      <c r="B1601" s="1" t="s">
        <v>1951</v>
      </c>
      <c r="C1601" s="1" t="s">
        <v>1720</v>
      </c>
      <c r="D1601" s="1" t="s">
        <v>2658</v>
      </c>
      <c r="E1601" s="1" t="s">
        <v>1596</v>
      </c>
    </row>
    <row r="1602" spans="1:5" ht="36" customHeight="1">
      <c r="A1602" s="1" t="s">
        <v>1580</v>
      </c>
      <c r="B1602" s="1" t="s">
        <v>1951</v>
      </c>
      <c r="C1602" s="1" t="s">
        <v>1612</v>
      </c>
      <c r="D1602" s="1" t="s">
        <v>1965</v>
      </c>
      <c r="E1602" s="1" t="s">
        <v>1596</v>
      </c>
    </row>
    <row r="1603" spans="1:5" ht="36" customHeight="1">
      <c r="A1603" s="1" t="s">
        <v>1580</v>
      </c>
      <c r="B1603" s="1" t="s">
        <v>1951</v>
      </c>
      <c r="C1603" s="1" t="s">
        <v>1791</v>
      </c>
      <c r="D1603" s="1" t="s">
        <v>1967</v>
      </c>
      <c r="E1603" s="1" t="s">
        <v>1596</v>
      </c>
    </row>
    <row r="1604" spans="1:5" ht="48" customHeight="1">
      <c r="A1604" s="1" t="s">
        <v>1580</v>
      </c>
      <c r="B1604" s="1" t="s">
        <v>1951</v>
      </c>
      <c r="C1604" s="1" t="s">
        <v>1617</v>
      </c>
      <c r="D1604" s="1" t="s">
        <v>2621</v>
      </c>
      <c r="E1604" s="1" t="s">
        <v>1596</v>
      </c>
    </row>
    <row r="1605" spans="1:5" ht="48" customHeight="1">
      <c r="A1605" s="1" t="s">
        <v>1580</v>
      </c>
      <c r="B1605" s="1" t="s">
        <v>1951</v>
      </c>
      <c r="C1605" s="1" t="s">
        <v>1793</v>
      </c>
      <c r="D1605" s="1" t="s">
        <v>2659</v>
      </c>
      <c r="E1605" s="1" t="s">
        <v>1596</v>
      </c>
    </row>
    <row r="1606" spans="1:5" ht="36" customHeight="1">
      <c r="A1606" s="1" t="s">
        <v>1580</v>
      </c>
      <c r="B1606" s="1" t="s">
        <v>1951</v>
      </c>
      <c r="C1606" s="1" t="s">
        <v>1722</v>
      </c>
      <c r="D1606" s="1" t="s">
        <v>1968</v>
      </c>
      <c r="E1606" s="1" t="s">
        <v>1596</v>
      </c>
    </row>
    <row r="1607" spans="1:5" ht="36" customHeight="1">
      <c r="A1607" s="1" t="s">
        <v>1580</v>
      </c>
      <c r="B1607" s="1" t="s">
        <v>1951</v>
      </c>
      <c r="C1607" s="1" t="s">
        <v>1630</v>
      </c>
      <c r="D1607" s="1" t="s">
        <v>2660</v>
      </c>
      <c r="E1607" s="1" t="s">
        <v>1596</v>
      </c>
    </row>
    <row r="1608" spans="1:5" ht="36" customHeight="1">
      <c r="A1608" s="1" t="s">
        <v>1580</v>
      </c>
      <c r="B1608" s="1" t="s">
        <v>1951</v>
      </c>
      <c r="C1608" s="1" t="s">
        <v>1802</v>
      </c>
      <c r="D1608" s="1" t="s">
        <v>1971</v>
      </c>
      <c r="E1608" s="1" t="s">
        <v>1596</v>
      </c>
    </row>
    <row r="1609" spans="1:5" ht="36" customHeight="1">
      <c r="A1609" s="1" t="s">
        <v>1580</v>
      </c>
      <c r="B1609" s="1" t="s">
        <v>1951</v>
      </c>
      <c r="C1609" s="1" t="s">
        <v>1632</v>
      </c>
      <c r="D1609" s="1" t="s">
        <v>2625</v>
      </c>
      <c r="E1609" s="1" t="s">
        <v>1596</v>
      </c>
    </row>
    <row r="1610" spans="1:5" ht="36" customHeight="1">
      <c r="A1610" s="1" t="s">
        <v>1580</v>
      </c>
      <c r="B1610" s="1" t="s">
        <v>1951</v>
      </c>
      <c r="C1610" s="1" t="s">
        <v>1806</v>
      </c>
      <c r="D1610" s="1" t="s">
        <v>2617</v>
      </c>
      <c r="E1610" s="1" t="s">
        <v>1596</v>
      </c>
    </row>
    <row r="1611" spans="1:5" ht="36" customHeight="1">
      <c r="A1611" s="1" t="s">
        <v>1580</v>
      </c>
      <c r="B1611" s="1" t="s">
        <v>1951</v>
      </c>
      <c r="C1611" s="1" t="s">
        <v>1634</v>
      </c>
      <c r="D1611" s="1" t="s">
        <v>1973</v>
      </c>
      <c r="E1611" s="1" t="s">
        <v>1596</v>
      </c>
    </row>
    <row r="1612" spans="1:5" ht="36" customHeight="1">
      <c r="A1612" s="1" t="s">
        <v>1580</v>
      </c>
      <c r="B1612" s="1" t="s">
        <v>1951</v>
      </c>
      <c r="C1612" s="1" t="s">
        <v>1638</v>
      </c>
      <c r="D1612" s="1" t="s">
        <v>2626</v>
      </c>
      <c r="E1612" s="1" t="s">
        <v>1596</v>
      </c>
    </row>
    <row r="1613" spans="1:5" ht="36" customHeight="1">
      <c r="A1613" s="1" t="s">
        <v>1580</v>
      </c>
      <c r="B1613" s="1" t="s">
        <v>1951</v>
      </c>
      <c r="C1613" s="1" t="s">
        <v>2179</v>
      </c>
      <c r="D1613" s="1" t="s">
        <v>2627</v>
      </c>
      <c r="E1613" s="1" t="s">
        <v>1596</v>
      </c>
    </row>
    <row r="1614" spans="1:5" ht="36" customHeight="1">
      <c r="A1614" s="1" t="s">
        <v>1580</v>
      </c>
      <c r="B1614" s="1" t="s">
        <v>1951</v>
      </c>
      <c r="C1614" s="1" t="s">
        <v>1645</v>
      </c>
      <c r="D1614" s="1" t="s">
        <v>2661</v>
      </c>
      <c r="E1614" s="1" t="s">
        <v>1596</v>
      </c>
    </row>
    <row r="1615" spans="1:5" ht="36" customHeight="1">
      <c r="A1615" s="1" t="s">
        <v>1580</v>
      </c>
      <c r="B1615" s="1" t="s">
        <v>1951</v>
      </c>
      <c r="C1615" s="1" t="s">
        <v>2269</v>
      </c>
      <c r="D1615" s="1" t="s">
        <v>2250</v>
      </c>
      <c r="E1615" s="1" t="s">
        <v>1596</v>
      </c>
    </row>
    <row r="1616" spans="1:5" ht="36" customHeight="1">
      <c r="A1616" s="1" t="s">
        <v>1580</v>
      </c>
      <c r="B1616" s="1" t="s">
        <v>1951</v>
      </c>
      <c r="C1616" s="1" t="s">
        <v>1651</v>
      </c>
      <c r="D1616" s="1" t="s">
        <v>2629</v>
      </c>
      <c r="E1616" s="1" t="s">
        <v>1596</v>
      </c>
    </row>
    <row r="1617" spans="1:5" ht="36" customHeight="1">
      <c r="A1617" s="1" t="s">
        <v>1580</v>
      </c>
      <c r="B1617" s="1" t="s">
        <v>1951</v>
      </c>
      <c r="C1617" s="1" t="s">
        <v>1696</v>
      </c>
      <c r="D1617" s="1" t="s">
        <v>2250</v>
      </c>
      <c r="E1617" s="1" t="s">
        <v>1596</v>
      </c>
    </row>
    <row r="1618" spans="1:5" ht="36" customHeight="1">
      <c r="A1618" s="1" t="s">
        <v>1580</v>
      </c>
      <c r="B1618" s="1" t="s">
        <v>1951</v>
      </c>
      <c r="C1618" s="1" t="s">
        <v>1658</v>
      </c>
      <c r="D1618" s="1" t="s">
        <v>2630</v>
      </c>
      <c r="E1618" s="1" t="s">
        <v>1596</v>
      </c>
    </row>
    <row r="1619" spans="1:5" ht="48" customHeight="1">
      <c r="A1619" s="1" t="s">
        <v>1580</v>
      </c>
      <c r="B1619" s="1" t="s">
        <v>1951</v>
      </c>
      <c r="C1619" s="1" t="s">
        <v>2285</v>
      </c>
      <c r="D1619" s="1" t="s">
        <v>2631</v>
      </c>
      <c r="E1619" s="1" t="s">
        <v>1596</v>
      </c>
    </row>
    <row r="1620" spans="1:5" ht="36" customHeight="1">
      <c r="A1620" s="1" t="s">
        <v>1580</v>
      </c>
      <c r="B1620" s="1" t="s">
        <v>1951</v>
      </c>
      <c r="C1620" s="1" t="s">
        <v>1660</v>
      </c>
      <c r="D1620" s="1" t="s">
        <v>2632</v>
      </c>
      <c r="E1620" s="1" t="s">
        <v>1596</v>
      </c>
    </row>
    <row r="1621" spans="1:5" ht="36" customHeight="1">
      <c r="A1621" s="1" t="s">
        <v>1580</v>
      </c>
      <c r="B1621" s="1" t="s">
        <v>1951</v>
      </c>
      <c r="C1621" s="1" t="s">
        <v>1661</v>
      </c>
      <c r="D1621" s="1" t="s">
        <v>1622</v>
      </c>
      <c r="E1621" s="1" t="s">
        <v>1596</v>
      </c>
    </row>
    <row r="1622" spans="1:5" ht="36" customHeight="1">
      <c r="A1622" s="1" t="s">
        <v>1580</v>
      </c>
      <c r="B1622" s="1" t="s">
        <v>1951</v>
      </c>
      <c r="C1622" s="1" t="s">
        <v>1822</v>
      </c>
      <c r="D1622" s="1" t="s">
        <v>1979</v>
      </c>
      <c r="E1622" s="1" t="s">
        <v>1596</v>
      </c>
    </row>
    <row r="1623" spans="1:5" ht="36" customHeight="1">
      <c r="A1623" s="1" t="s">
        <v>1580</v>
      </c>
      <c r="B1623" s="1" t="s">
        <v>1951</v>
      </c>
      <c r="C1623" s="1" t="s">
        <v>1824</v>
      </c>
      <c r="D1623" s="1" t="s">
        <v>2633</v>
      </c>
      <c r="E1623" s="1" t="s">
        <v>1596</v>
      </c>
    </row>
    <row r="1624" spans="1:5" ht="36" customHeight="1">
      <c r="A1624" s="1" t="s">
        <v>1580</v>
      </c>
      <c r="B1624" s="1" t="s">
        <v>1951</v>
      </c>
      <c r="C1624" s="1" t="s">
        <v>1827</v>
      </c>
      <c r="D1624" s="1" t="s">
        <v>2634</v>
      </c>
      <c r="E1624" s="1" t="s">
        <v>1596</v>
      </c>
    </row>
    <row r="1625" spans="1:5" ht="36" customHeight="1">
      <c r="A1625" s="1" t="s">
        <v>1580</v>
      </c>
      <c r="B1625" s="1" t="s">
        <v>1951</v>
      </c>
      <c r="C1625" s="1" t="s">
        <v>2392</v>
      </c>
      <c r="D1625" s="1" t="s">
        <v>2635</v>
      </c>
      <c r="E1625" s="1" t="s">
        <v>1596</v>
      </c>
    </row>
    <row r="1626" spans="1:5" ht="36" customHeight="1">
      <c r="A1626" s="1" t="s">
        <v>1580</v>
      </c>
      <c r="B1626" s="1" t="s">
        <v>1951</v>
      </c>
      <c r="C1626" s="1" t="s">
        <v>2393</v>
      </c>
      <c r="D1626" s="1" t="s">
        <v>1691</v>
      </c>
      <c r="E1626" s="1" t="s">
        <v>1596</v>
      </c>
    </row>
    <row r="1627" spans="1:5" ht="36" customHeight="1">
      <c r="A1627" s="1" t="s">
        <v>1580</v>
      </c>
      <c r="B1627" s="1" t="s">
        <v>1951</v>
      </c>
      <c r="C1627" s="1" t="s">
        <v>2327</v>
      </c>
      <c r="D1627" s="1" t="s">
        <v>2636</v>
      </c>
      <c r="E1627" s="1" t="s">
        <v>1596</v>
      </c>
    </row>
    <row r="1628" spans="1:5" ht="36" customHeight="1">
      <c r="A1628" s="1" t="s">
        <v>1580</v>
      </c>
      <c r="B1628" s="1" t="s">
        <v>1951</v>
      </c>
      <c r="C1628" s="1" t="s">
        <v>1708</v>
      </c>
      <c r="D1628" s="1" t="s">
        <v>2637</v>
      </c>
      <c r="E1628" s="1" t="s">
        <v>1596</v>
      </c>
    </row>
    <row r="1629" spans="1:5" ht="36" customHeight="1">
      <c r="A1629" s="1" t="s">
        <v>1580</v>
      </c>
      <c r="B1629" s="1" t="s">
        <v>1951</v>
      </c>
      <c r="C1629" s="1" t="s">
        <v>1710</v>
      </c>
      <c r="D1629" s="1" t="s">
        <v>1691</v>
      </c>
      <c r="E1629" s="1" t="s">
        <v>1596</v>
      </c>
    </row>
    <row r="1630" spans="1:5" ht="36" customHeight="1">
      <c r="A1630" s="1" t="s">
        <v>1580</v>
      </c>
      <c r="B1630" s="1" t="s">
        <v>1951</v>
      </c>
      <c r="C1630" s="1" t="s">
        <v>2329</v>
      </c>
      <c r="D1630" s="1" t="s">
        <v>2638</v>
      </c>
      <c r="E1630" s="1" t="s">
        <v>1596</v>
      </c>
    </row>
    <row r="1631" spans="1:5" ht="36" customHeight="1">
      <c r="A1631" s="1" t="s">
        <v>1580</v>
      </c>
      <c r="B1631" s="1" t="s">
        <v>1951</v>
      </c>
      <c r="C1631" s="1" t="s">
        <v>1829</v>
      </c>
      <c r="D1631" s="1" t="s">
        <v>2639</v>
      </c>
      <c r="E1631" s="1" t="s">
        <v>1596</v>
      </c>
    </row>
    <row r="1632" spans="1:5" ht="36" customHeight="1">
      <c r="A1632" s="1" t="s">
        <v>1580</v>
      </c>
      <c r="B1632" s="1" t="s">
        <v>1951</v>
      </c>
      <c r="C1632" s="1" t="s">
        <v>1830</v>
      </c>
      <c r="D1632" s="1" t="s">
        <v>1615</v>
      </c>
      <c r="E1632" s="1" t="s">
        <v>1596</v>
      </c>
    </row>
    <row r="1633" spans="1:5" ht="36" customHeight="1">
      <c r="A1633" s="1" t="s">
        <v>1580</v>
      </c>
      <c r="B1633" s="1" t="s">
        <v>1951</v>
      </c>
      <c r="C1633" s="1" t="s">
        <v>1739</v>
      </c>
      <c r="D1633" s="1" t="s">
        <v>2640</v>
      </c>
      <c r="E1633" s="1" t="s">
        <v>1596</v>
      </c>
    </row>
    <row r="1634" spans="1:5" ht="36" customHeight="1">
      <c r="A1634" s="1" t="s">
        <v>1580</v>
      </c>
      <c r="B1634" s="1" t="s">
        <v>1951</v>
      </c>
      <c r="C1634" s="1" t="s">
        <v>1837</v>
      </c>
      <c r="D1634" s="1" t="s">
        <v>2641</v>
      </c>
      <c r="E1634" s="1" t="s">
        <v>1596</v>
      </c>
    </row>
    <row r="1635" spans="1:5" ht="36" customHeight="1">
      <c r="A1635" s="1" t="s">
        <v>1580</v>
      </c>
      <c r="B1635" s="1" t="s">
        <v>1951</v>
      </c>
      <c r="C1635" s="1" t="s">
        <v>1838</v>
      </c>
      <c r="D1635" s="1" t="s">
        <v>2637</v>
      </c>
      <c r="E1635" s="1" t="s">
        <v>1596</v>
      </c>
    </row>
    <row r="1636" spans="1:5" ht="36" customHeight="1">
      <c r="A1636" s="1" t="s">
        <v>1580</v>
      </c>
      <c r="B1636" s="1" t="s">
        <v>1951</v>
      </c>
      <c r="C1636" s="1" t="s">
        <v>1839</v>
      </c>
      <c r="D1636" s="1" t="s">
        <v>1691</v>
      </c>
      <c r="E1636" s="1" t="s">
        <v>1596</v>
      </c>
    </row>
    <row r="1637" spans="1:5" ht="36" customHeight="1">
      <c r="A1637" s="1" t="s">
        <v>1580</v>
      </c>
      <c r="B1637" s="1" t="s">
        <v>1951</v>
      </c>
      <c r="C1637" s="1" t="s">
        <v>1982</v>
      </c>
      <c r="D1637" s="1" t="s">
        <v>2642</v>
      </c>
      <c r="E1637" s="1" t="s">
        <v>1596</v>
      </c>
    </row>
    <row r="1638" spans="1:5" ht="36" customHeight="1">
      <c r="A1638" s="1" t="s">
        <v>1580</v>
      </c>
      <c r="B1638" s="1" t="s">
        <v>1951</v>
      </c>
      <c r="C1638" s="1" t="s">
        <v>2409</v>
      </c>
      <c r="D1638" s="1" t="s">
        <v>2250</v>
      </c>
      <c r="E1638" s="1" t="s">
        <v>1596</v>
      </c>
    </row>
    <row r="1639" spans="1:5" ht="36" customHeight="1">
      <c r="A1639" s="1" t="s">
        <v>1580</v>
      </c>
      <c r="B1639" s="1" t="s">
        <v>1951</v>
      </c>
      <c r="C1639" s="1" t="s">
        <v>2410</v>
      </c>
      <c r="D1639" s="1" t="s">
        <v>1423</v>
      </c>
      <c r="E1639" s="1" t="s">
        <v>1596</v>
      </c>
    </row>
    <row r="1640" spans="1:5" ht="36" customHeight="1">
      <c r="A1640" s="1" t="s">
        <v>1580</v>
      </c>
      <c r="B1640" s="1" t="s">
        <v>1951</v>
      </c>
      <c r="C1640" s="1" t="s">
        <v>2411</v>
      </c>
      <c r="D1640" s="1" t="s">
        <v>2643</v>
      </c>
      <c r="E1640" s="1" t="s">
        <v>1596</v>
      </c>
    </row>
    <row r="1641" spans="1:5" ht="36" customHeight="1">
      <c r="A1641" s="1" t="s">
        <v>1580</v>
      </c>
      <c r="B1641" s="1" t="s">
        <v>1951</v>
      </c>
      <c r="C1641" s="1" t="s">
        <v>1711</v>
      </c>
      <c r="D1641" s="1" t="s">
        <v>1989</v>
      </c>
      <c r="E1641" s="1" t="s">
        <v>1596</v>
      </c>
    </row>
    <row r="1642" spans="1:5" ht="36" customHeight="1">
      <c r="A1642" s="1" t="s">
        <v>1580</v>
      </c>
      <c r="B1642" s="1" t="s">
        <v>1951</v>
      </c>
      <c r="C1642" s="1" t="s">
        <v>1840</v>
      </c>
      <c r="D1642" s="1" t="s">
        <v>2644</v>
      </c>
      <c r="E1642" s="1" t="s">
        <v>1596</v>
      </c>
    </row>
    <row r="1643" spans="1:5" ht="36" customHeight="1">
      <c r="A1643" s="1" t="s">
        <v>1580</v>
      </c>
      <c r="B1643" s="1" t="s">
        <v>1951</v>
      </c>
      <c r="C1643" s="1" t="s">
        <v>1741</v>
      </c>
      <c r="D1643" s="1" t="s">
        <v>1983</v>
      </c>
      <c r="E1643" s="1" t="s">
        <v>1596</v>
      </c>
    </row>
    <row r="1644" spans="1:5" ht="36" customHeight="1">
      <c r="A1644" s="1" t="s">
        <v>1580</v>
      </c>
      <c r="B1644" s="1" t="s">
        <v>1951</v>
      </c>
      <c r="C1644" s="1" t="s">
        <v>1712</v>
      </c>
      <c r="D1644" s="1" t="s">
        <v>1895</v>
      </c>
      <c r="E1644" s="1" t="s">
        <v>1596</v>
      </c>
    </row>
    <row r="1645" spans="1:5" ht="36" customHeight="1">
      <c r="A1645" s="1" t="s">
        <v>1580</v>
      </c>
      <c r="B1645" s="1" t="s">
        <v>1951</v>
      </c>
      <c r="C1645" s="1" t="s">
        <v>1991</v>
      </c>
      <c r="D1645" s="1" t="s">
        <v>2662</v>
      </c>
      <c r="E1645" s="1" t="s">
        <v>1596</v>
      </c>
    </row>
    <row r="1646" spans="1:5" ht="36" customHeight="1">
      <c r="A1646" s="1" t="s">
        <v>1580</v>
      </c>
      <c r="B1646" s="1" t="s">
        <v>1951</v>
      </c>
      <c r="C1646" s="1" t="s">
        <v>1992</v>
      </c>
      <c r="D1646" s="1" t="s">
        <v>2663</v>
      </c>
      <c r="E1646" s="1" t="s">
        <v>1596</v>
      </c>
    </row>
    <row r="1647" spans="1:5" ht="36" customHeight="1">
      <c r="A1647" s="1" t="s">
        <v>1580</v>
      </c>
      <c r="B1647" s="1" t="s">
        <v>1951</v>
      </c>
      <c r="C1647" s="1" t="s">
        <v>2232</v>
      </c>
      <c r="D1647" s="1" t="s">
        <v>2048</v>
      </c>
      <c r="E1647" s="1" t="s">
        <v>1596</v>
      </c>
    </row>
    <row r="1648" spans="1:5" ht="36" customHeight="1">
      <c r="A1648" s="1" t="s">
        <v>1580</v>
      </c>
      <c r="B1648" s="1" t="s">
        <v>1951</v>
      </c>
      <c r="C1648" s="1" t="s">
        <v>2234</v>
      </c>
      <c r="D1648" s="1" t="s">
        <v>2664</v>
      </c>
      <c r="E1648" s="1" t="s">
        <v>1596</v>
      </c>
    </row>
    <row r="1649" spans="1:5" ht="36" customHeight="1">
      <c r="A1649" s="1" t="s">
        <v>1580</v>
      </c>
      <c r="B1649" s="1" t="s">
        <v>1951</v>
      </c>
      <c r="C1649" s="1" t="s">
        <v>1993</v>
      </c>
      <c r="D1649" s="1" t="s">
        <v>2646</v>
      </c>
      <c r="E1649" s="1" t="s">
        <v>1596</v>
      </c>
    </row>
    <row r="1650" spans="1:5" ht="36" customHeight="1">
      <c r="A1650" s="1" t="s">
        <v>1580</v>
      </c>
      <c r="B1650" s="1" t="s">
        <v>1951</v>
      </c>
      <c r="C1650" s="1" t="s">
        <v>1995</v>
      </c>
      <c r="D1650" s="1" t="s">
        <v>1983</v>
      </c>
      <c r="E1650" s="1" t="s">
        <v>1596</v>
      </c>
    </row>
    <row r="1651" spans="1:5" ht="36" customHeight="1">
      <c r="A1651" s="1" t="s">
        <v>1580</v>
      </c>
      <c r="B1651" s="1" t="s">
        <v>1951</v>
      </c>
      <c r="C1651" s="1" t="s">
        <v>1844</v>
      </c>
      <c r="D1651" s="1" t="s">
        <v>1895</v>
      </c>
      <c r="E1651" s="1" t="s">
        <v>1596</v>
      </c>
    </row>
    <row r="1652" spans="1:5" ht="36" customHeight="1">
      <c r="A1652" s="1" t="s">
        <v>1580</v>
      </c>
      <c r="B1652" s="1" t="s">
        <v>1951</v>
      </c>
      <c r="C1652" s="1" t="s">
        <v>1996</v>
      </c>
      <c r="D1652" s="1" t="s">
        <v>2665</v>
      </c>
      <c r="E1652" s="1" t="s">
        <v>1596</v>
      </c>
    </row>
    <row r="1653" spans="1:5" ht="36" customHeight="1">
      <c r="A1653" s="1" t="s">
        <v>1580</v>
      </c>
      <c r="B1653" s="1" t="s">
        <v>1951</v>
      </c>
      <c r="C1653" s="1" t="s">
        <v>1998</v>
      </c>
      <c r="D1653" s="1" t="s">
        <v>2666</v>
      </c>
      <c r="E1653" s="1" t="s">
        <v>1596</v>
      </c>
    </row>
    <row r="1654" spans="1:5" ht="36" customHeight="1">
      <c r="A1654" s="1" t="s">
        <v>1580</v>
      </c>
      <c r="B1654" s="1" t="s">
        <v>1951</v>
      </c>
      <c r="C1654" s="1" t="s">
        <v>2000</v>
      </c>
      <c r="D1654" s="1" t="s">
        <v>2001</v>
      </c>
      <c r="E1654" s="1" t="s">
        <v>1596</v>
      </c>
    </row>
    <row r="1655" spans="1:5" ht="36" customHeight="1">
      <c r="A1655" s="1" t="s">
        <v>1580</v>
      </c>
      <c r="B1655" s="1" t="s">
        <v>1951</v>
      </c>
      <c r="C1655" s="1" t="s">
        <v>2002</v>
      </c>
      <c r="D1655" s="1" t="s">
        <v>2647</v>
      </c>
      <c r="E1655" s="1" t="s">
        <v>1596</v>
      </c>
    </row>
    <row r="1656" spans="1:5" ht="36" customHeight="1">
      <c r="A1656" s="1" t="s">
        <v>1580</v>
      </c>
      <c r="B1656" s="1" t="s">
        <v>1951</v>
      </c>
      <c r="C1656" s="1" t="s">
        <v>1846</v>
      </c>
      <c r="D1656" s="1" t="s">
        <v>2004</v>
      </c>
      <c r="E1656" s="1" t="s">
        <v>1596</v>
      </c>
    </row>
    <row r="1657" spans="1:5" ht="36" customHeight="1">
      <c r="A1657" s="1" t="s">
        <v>1580</v>
      </c>
      <c r="B1657" s="1" t="s">
        <v>1951</v>
      </c>
      <c r="C1657" s="1" t="s">
        <v>1847</v>
      </c>
      <c r="D1657" s="1" t="s">
        <v>2005</v>
      </c>
      <c r="E1657" s="1" t="s">
        <v>1596</v>
      </c>
    </row>
    <row r="1658" spans="1:5" ht="36" customHeight="1">
      <c r="A1658" s="1" t="s">
        <v>1580</v>
      </c>
      <c r="B1658" s="1" t="s">
        <v>1951</v>
      </c>
      <c r="C1658" s="1" t="s">
        <v>1848</v>
      </c>
      <c r="D1658" s="1" t="s">
        <v>1691</v>
      </c>
      <c r="E1658" s="1" t="s">
        <v>1596</v>
      </c>
    </row>
    <row r="1659" spans="1:5" ht="36" customHeight="1">
      <c r="A1659" s="1" t="s">
        <v>1580</v>
      </c>
      <c r="B1659" s="1" t="s">
        <v>1951</v>
      </c>
      <c r="C1659" s="1" t="s">
        <v>2006</v>
      </c>
      <c r="D1659" s="1" t="s">
        <v>2007</v>
      </c>
      <c r="E1659" s="1" t="s">
        <v>1596</v>
      </c>
    </row>
    <row r="1660" spans="1:5" ht="36" customHeight="1">
      <c r="A1660" s="1" t="s">
        <v>1580</v>
      </c>
      <c r="B1660" s="1" t="s">
        <v>1951</v>
      </c>
      <c r="C1660" s="1" t="s">
        <v>2008</v>
      </c>
      <c r="D1660" s="1" t="s">
        <v>2648</v>
      </c>
      <c r="E1660" s="1" t="s">
        <v>1596</v>
      </c>
    </row>
    <row r="1661" spans="1:5" ht="36" customHeight="1">
      <c r="A1661" s="1" t="s">
        <v>1580</v>
      </c>
      <c r="B1661" s="1" t="s">
        <v>1951</v>
      </c>
      <c r="C1661" s="1" t="s">
        <v>1850</v>
      </c>
      <c r="D1661" s="1" t="s">
        <v>2005</v>
      </c>
      <c r="E1661" s="1" t="s">
        <v>1596</v>
      </c>
    </row>
    <row r="1662" spans="1:5" ht="36" customHeight="1">
      <c r="A1662" s="1" t="s">
        <v>1580</v>
      </c>
      <c r="B1662" s="1" t="s">
        <v>1951</v>
      </c>
      <c r="C1662" s="1" t="s">
        <v>1746</v>
      </c>
      <c r="D1662" s="1" t="s">
        <v>2010</v>
      </c>
      <c r="E1662" s="1" t="s">
        <v>1596</v>
      </c>
    </row>
    <row r="1663" spans="1:5" ht="36" customHeight="1">
      <c r="A1663" s="1" t="s">
        <v>1580</v>
      </c>
      <c r="B1663" s="1" t="s">
        <v>1951</v>
      </c>
      <c r="C1663" s="1" t="s">
        <v>1748</v>
      </c>
      <c r="D1663" s="1" t="s">
        <v>2649</v>
      </c>
      <c r="E1663" s="1" t="s">
        <v>1596</v>
      </c>
    </row>
    <row r="1664" spans="1:5" ht="36" customHeight="1">
      <c r="A1664" s="1" t="s">
        <v>1580</v>
      </c>
      <c r="B1664" s="1" t="s">
        <v>1951</v>
      </c>
      <c r="C1664" s="1" t="s">
        <v>1750</v>
      </c>
      <c r="D1664" s="1" t="s">
        <v>2012</v>
      </c>
      <c r="E1664" s="1" t="s">
        <v>1596</v>
      </c>
    </row>
    <row r="1665" spans="1:5" ht="36" customHeight="1">
      <c r="A1665" s="1" t="s">
        <v>1580</v>
      </c>
      <c r="B1665" s="1" t="s">
        <v>1951</v>
      </c>
      <c r="C1665" s="1" t="s">
        <v>1753</v>
      </c>
      <c r="D1665" s="1" t="s">
        <v>2013</v>
      </c>
      <c r="E1665" s="1" t="s">
        <v>1596</v>
      </c>
    </row>
    <row r="1666" spans="1:5" ht="36" customHeight="1">
      <c r="A1666" s="1" t="s">
        <v>1580</v>
      </c>
      <c r="B1666" s="1" t="s">
        <v>1951</v>
      </c>
      <c r="C1666" s="1" t="s">
        <v>2014</v>
      </c>
      <c r="D1666" s="1" t="s">
        <v>2015</v>
      </c>
      <c r="E1666" s="1" t="s">
        <v>1596</v>
      </c>
    </row>
    <row r="1667" spans="1:5" ht="36" customHeight="1">
      <c r="A1667" s="1" t="s">
        <v>1580</v>
      </c>
      <c r="B1667" s="1" t="s">
        <v>1951</v>
      </c>
      <c r="C1667" s="1" t="s">
        <v>2016</v>
      </c>
      <c r="D1667" s="1" t="s">
        <v>558</v>
      </c>
      <c r="E1667" s="1" t="s">
        <v>1596</v>
      </c>
    </row>
    <row r="1668" spans="1:5" ht="36" customHeight="1">
      <c r="A1668" s="1" t="s">
        <v>1580</v>
      </c>
      <c r="B1668" s="1" t="s">
        <v>1951</v>
      </c>
      <c r="C1668" s="1" t="s">
        <v>1858</v>
      </c>
      <c r="D1668" s="1" t="s">
        <v>2667</v>
      </c>
      <c r="E1668" s="1" t="s">
        <v>1596</v>
      </c>
    </row>
    <row r="1669" spans="1:5" ht="36" customHeight="1">
      <c r="A1669" s="1" t="s">
        <v>1580</v>
      </c>
      <c r="B1669" s="1" t="s">
        <v>1951</v>
      </c>
      <c r="C1669" s="1" t="s">
        <v>1861</v>
      </c>
      <c r="D1669" s="1" t="s">
        <v>1983</v>
      </c>
      <c r="E1669" s="1" t="s">
        <v>1596</v>
      </c>
    </row>
    <row r="1670" spans="1:5" ht="36" customHeight="1">
      <c r="A1670" s="1" t="s">
        <v>1580</v>
      </c>
      <c r="B1670" s="1" t="s">
        <v>1951</v>
      </c>
      <c r="C1670" s="1" t="s">
        <v>2342</v>
      </c>
      <c r="D1670" s="1" t="s">
        <v>1903</v>
      </c>
      <c r="E1670" s="1" t="s">
        <v>1596</v>
      </c>
    </row>
    <row r="1671" spans="1:5" ht="36" customHeight="1">
      <c r="A1671" s="1" t="s">
        <v>1580</v>
      </c>
      <c r="B1671" s="1" t="s">
        <v>1951</v>
      </c>
      <c r="C1671" s="1" t="s">
        <v>2343</v>
      </c>
      <c r="D1671" s="1" t="s">
        <v>2652</v>
      </c>
      <c r="E1671" s="1" t="s">
        <v>1596</v>
      </c>
    </row>
    <row r="1672" spans="1:5" ht="36" customHeight="1">
      <c r="A1672" s="1" t="s">
        <v>1580</v>
      </c>
      <c r="B1672" s="1" t="s">
        <v>1951</v>
      </c>
      <c r="C1672" s="1" t="s">
        <v>2344</v>
      </c>
      <c r="D1672" s="1" t="s">
        <v>2666</v>
      </c>
      <c r="E1672" s="1" t="s">
        <v>1596</v>
      </c>
    </row>
    <row r="1673" spans="1:5" ht="36" customHeight="1">
      <c r="A1673" s="1" t="s">
        <v>1580</v>
      </c>
      <c r="B1673" s="1" t="s">
        <v>1951</v>
      </c>
      <c r="C1673" s="1" t="s">
        <v>1866</v>
      </c>
      <c r="D1673" s="1" t="s">
        <v>2005</v>
      </c>
      <c r="E1673" s="1" t="s">
        <v>1596</v>
      </c>
    </row>
    <row r="1674" spans="1:5" ht="36" customHeight="1">
      <c r="A1674" s="1" t="s">
        <v>1580</v>
      </c>
      <c r="B1674" s="1" t="s">
        <v>1951</v>
      </c>
      <c r="C1674" s="1" t="s">
        <v>1870</v>
      </c>
      <c r="D1674" s="1" t="s">
        <v>1668</v>
      </c>
      <c r="E1674" s="1" t="s">
        <v>1596</v>
      </c>
    </row>
    <row r="1675" spans="1:5" ht="36" customHeight="1">
      <c r="A1675" s="1" t="s">
        <v>1580</v>
      </c>
      <c r="B1675" s="1" t="s">
        <v>1951</v>
      </c>
      <c r="C1675" s="1" t="s">
        <v>1871</v>
      </c>
      <c r="D1675" s="1" t="s">
        <v>1670</v>
      </c>
      <c r="E1675" s="1" t="s">
        <v>1596</v>
      </c>
    </row>
    <row r="1676" spans="1:5" ht="36" customHeight="1">
      <c r="A1676" s="1" t="s">
        <v>1580</v>
      </c>
      <c r="B1676" s="1" t="s">
        <v>1951</v>
      </c>
      <c r="C1676" s="1" t="s">
        <v>1872</v>
      </c>
      <c r="D1676" s="1" t="s">
        <v>1672</v>
      </c>
      <c r="E1676" s="1" t="s">
        <v>1596</v>
      </c>
    </row>
    <row r="1677" spans="1:5" ht="36" customHeight="1">
      <c r="A1677" s="1" t="s">
        <v>1580</v>
      </c>
      <c r="B1677" s="1" t="s">
        <v>2036</v>
      </c>
      <c r="C1677" s="1" t="s">
        <v>2037</v>
      </c>
      <c r="D1677" s="1" t="s">
        <v>2038</v>
      </c>
      <c r="E1677" s="1" t="s">
        <v>1596</v>
      </c>
    </row>
  </sheetData>
  <mergeCells count="2">
    <mergeCell ref="A1:E1"/>
    <mergeCell ref="A2:E3"/>
  </mergeCells>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892A5"/>
    <pageSetUpPr fitToPage="1"/>
  </sheetPr>
  <dimension ref="A1:L20"/>
  <sheetViews>
    <sheetView showGridLines="0" rightToLeft="1" zoomScale="85" workbookViewId="0">
      <pane ySplit="7" topLeftCell="A8" activePane="bottomLeft" state="frozen"/>
      <selection pane="bottomLeft" sqref="A1:L1"/>
    </sheetView>
  </sheetViews>
  <sheetFormatPr defaultRowHeight="14.25"/>
  <cols>
    <col min="1" max="1" width="20" customWidth="1"/>
    <col min="2" max="2" width="22" customWidth="1"/>
    <col min="3" max="3" width="18" customWidth="1"/>
    <col min="4" max="4" width="20" customWidth="1"/>
    <col min="5" max="5" width="26" customWidth="1"/>
    <col min="6" max="6" width="28" customWidth="1"/>
    <col min="7" max="7" width="55" customWidth="1"/>
    <col min="8" max="8" width="20" customWidth="1"/>
    <col min="9" max="9" width="40" customWidth="1"/>
    <col min="10" max="10" width="30" customWidth="1"/>
    <col min="11" max="11" width="50" customWidth="1"/>
    <col min="12" max="12" width="40" customWidth="1"/>
  </cols>
  <sheetData>
    <row r="1" spans="1:12" ht="33.950000000000003" customHeight="1">
      <c r="A1" s="7" t="s">
        <v>2668</v>
      </c>
      <c r="B1" s="7"/>
      <c r="C1" s="7"/>
      <c r="D1" s="7"/>
      <c r="E1" s="7"/>
      <c r="F1" s="7"/>
      <c r="G1" s="7"/>
      <c r="H1" s="7"/>
      <c r="I1" s="7"/>
      <c r="J1" s="7"/>
      <c r="K1" s="7"/>
      <c r="L1" s="7"/>
    </row>
    <row r="2" spans="1:12" ht="26.1" customHeight="1">
      <c r="A2" s="8" t="s">
        <v>2669</v>
      </c>
      <c r="B2" s="8"/>
      <c r="C2" s="8"/>
      <c r="D2" s="8"/>
      <c r="E2" s="8"/>
      <c r="F2" s="8"/>
      <c r="G2" s="8"/>
      <c r="H2" s="8"/>
      <c r="I2" s="8"/>
      <c r="J2" s="8"/>
      <c r="K2" s="8"/>
      <c r="L2" s="8"/>
    </row>
    <row r="3" spans="1:12" ht="26.1" customHeight="1">
      <c r="A3" s="8"/>
      <c r="B3" s="8"/>
      <c r="C3" s="8"/>
      <c r="D3" s="8"/>
      <c r="E3" s="8"/>
      <c r="F3" s="8"/>
      <c r="G3" s="8"/>
      <c r="H3" s="8"/>
      <c r="I3" s="8"/>
      <c r="J3" s="8"/>
      <c r="K3" s="8"/>
      <c r="L3" s="8"/>
    </row>
    <row r="4" spans="1:12">
      <c r="A4" s="1"/>
      <c r="B4" s="1"/>
      <c r="C4" s="1"/>
      <c r="D4" s="1"/>
      <c r="E4" s="1"/>
      <c r="F4" s="1"/>
      <c r="G4" s="1"/>
      <c r="H4" s="1"/>
      <c r="I4" s="1"/>
      <c r="J4" s="1"/>
      <c r="K4" s="1"/>
      <c r="L4" s="1"/>
    </row>
    <row r="5" spans="1:12">
      <c r="A5" s="1"/>
      <c r="B5" s="1"/>
      <c r="C5" s="1"/>
      <c r="D5" s="1"/>
      <c r="E5" s="1"/>
      <c r="F5" s="1"/>
      <c r="G5" s="1"/>
      <c r="H5" s="1"/>
      <c r="I5" s="1"/>
      <c r="J5" s="1"/>
      <c r="K5" s="1"/>
      <c r="L5" s="1"/>
    </row>
    <row r="6" spans="1:12">
      <c r="A6" s="1"/>
      <c r="B6" s="1"/>
      <c r="C6" s="1"/>
      <c r="D6" s="1"/>
      <c r="E6" s="1"/>
      <c r="F6" s="1"/>
      <c r="G6" s="1"/>
      <c r="H6" s="1"/>
      <c r="I6" s="1"/>
      <c r="J6" s="1"/>
      <c r="K6" s="1"/>
      <c r="L6" s="1"/>
    </row>
    <row r="7" spans="1:12" ht="48" customHeight="1">
      <c r="A7" s="2" t="s">
        <v>2670</v>
      </c>
      <c r="B7" s="2" t="s">
        <v>1116</v>
      </c>
      <c r="C7" s="2" t="s">
        <v>364</v>
      </c>
      <c r="D7" s="2" t="s">
        <v>365</v>
      </c>
      <c r="E7" s="2" t="s">
        <v>366</v>
      </c>
      <c r="F7" s="2" t="s">
        <v>94</v>
      </c>
      <c r="G7" s="2" t="s">
        <v>2671</v>
      </c>
      <c r="H7" s="2" t="s">
        <v>2672</v>
      </c>
      <c r="I7" s="2" t="s">
        <v>2673</v>
      </c>
      <c r="J7" s="2" t="s">
        <v>2674</v>
      </c>
      <c r="K7" s="2" t="s">
        <v>2675</v>
      </c>
      <c r="L7" s="2" t="s">
        <v>2676</v>
      </c>
    </row>
    <row r="8" spans="1:12" ht="36" customHeight="1">
      <c r="A8" s="1" t="s">
        <v>2677</v>
      </c>
      <c r="B8" s="1" t="s">
        <v>1070</v>
      </c>
      <c r="C8" s="1" t="s">
        <v>99</v>
      </c>
      <c r="D8" s="1" t="s">
        <v>529</v>
      </c>
      <c r="E8" s="1" t="s">
        <v>530</v>
      </c>
      <c r="F8" s="1" t="s">
        <v>531</v>
      </c>
      <c r="G8" s="1" t="s">
        <v>2678</v>
      </c>
      <c r="H8" s="4"/>
      <c r="I8" s="1" t="s">
        <v>2679</v>
      </c>
      <c r="J8" s="1"/>
      <c r="K8" s="1"/>
      <c r="L8" s="3" t="str">
        <f>IF(A8="","",IF(NOT(AND(COUNTIFS('20-ابلاغ نتایج'!$A$8:$A$1007,A8)=1,AND(COUNTIFS('17-جلسات و دوره‌ها'!$A$8:$A$1007,E8)=1,IFERROR(INDEX('17-جلسات و دوره‌ها'!$B$8:$B$1007,MATCH(E8,'17-جلسات و دوره‌ها'!$A$8:$A$1007,0)),"")=C8,IFERROR(INDEX('17-جلسات و دوره‌ها'!$C$8:$C$1007,MATCH(E8,'17-جلسات و دوره‌ها'!$A$8:$A$1007,0)),"")=D8),COUNTIFS('07-تصمیمات و مصوبات'!$A$8:$A$1007,B8)=1,IFERROR(INDEX('07-تصمیمات و مصوبات'!$B$8:$B$1007,MATCH(B8,'07-تصمیمات و مصوبات'!$A$8:$A$1007,0)),"")=E8)),"رابطه ابلاغ نامعتبر",IF(AND(G8&lt;&gt;"",ISNUMBER(H8),I8&lt;&gt;"",AND(COUNTIFS('14-مستندات و پیوست‌ها'!$A$8:$A$1007,J8)=1,IFERROR(INDEX('14-مستندات و پیوست‌ها'!$B$8:$B$1007,MATCH(J8,'14-مستندات و پیوست‌ها'!$A$8:$A$1007,0)),"")=C8,OR(IFERROR(INDEX('14-مستندات و پیوست‌ها'!$H$8:$H$1007,MATCH(J8,'14-مستندات و پیوست‌ها'!$A$8:$A$1007,0)),"")="دریافت شده",IFERROR(INDEX('14-مستندات و پیوست‌ها'!$H$8:$H$1007,MATCH(J8,'14-مستندات و پیوست‌ها'!$A$8:$A$1007,0)),"")="فرضی"))),"معتبر","ابلاغ یا شاهد ناقص")))</f>
        <v>ابلاغ یا شاهد ناقص</v>
      </c>
    </row>
    <row r="9" spans="1:12" ht="36" customHeight="1">
      <c r="A9" s="1"/>
      <c r="B9" s="1"/>
      <c r="C9" s="1"/>
      <c r="D9" s="1"/>
      <c r="E9" s="1"/>
      <c r="F9" s="1"/>
      <c r="G9" s="1"/>
      <c r="H9" s="4"/>
      <c r="I9" s="1"/>
      <c r="J9" s="1"/>
      <c r="K9" s="1"/>
      <c r="L9" s="3" t="str">
        <f>IF(A9="","",IF(NOT(AND(COUNTIFS('20-ابلاغ نتایج'!$A$8:$A$1007,A9)=1,AND(COUNTIFS('17-جلسات و دوره‌ها'!$A$8:$A$1007,E9)=1,IFERROR(INDEX('17-جلسات و دوره‌ها'!$B$8:$B$1007,MATCH(E9,'17-جلسات و دوره‌ها'!$A$8:$A$1007,0)),"")=C9,IFERROR(INDEX('17-جلسات و دوره‌ها'!$C$8:$C$1007,MATCH(E9,'17-جلسات و دوره‌ها'!$A$8:$A$1007,0)),"")=D9),COUNTIFS('07-تصمیمات و مصوبات'!$A$8:$A$1007,B9)=1,IFERROR(INDEX('07-تصمیمات و مصوبات'!$B$8:$B$1007,MATCH(B9,'07-تصمیمات و مصوبات'!$A$8:$A$1007,0)),"")=E9)),"رابطه ابلاغ نامعتبر",IF(AND(G9&lt;&gt;"",ISNUMBER(H9),I9&lt;&gt;"",AND(COUNTIFS('14-مستندات و پیوست‌ها'!$A$8:$A$1007,J9)=1,IFERROR(INDEX('14-مستندات و پیوست‌ها'!$B$8:$B$1007,MATCH(J9,'14-مستندات و پیوست‌ها'!$A$8:$A$1007,0)),"")=C9,OR(IFERROR(INDEX('14-مستندات و پیوست‌ها'!$H$8:$H$1007,MATCH(J9,'14-مستندات و پیوست‌ها'!$A$8:$A$1007,0)),"")="دریافت شده",IFERROR(INDEX('14-مستندات و پیوست‌ها'!$H$8:$H$1007,MATCH(J9,'14-مستندات و پیوست‌ها'!$A$8:$A$1007,0)),"")="فرضی"))),"معتبر","ابلاغ یا شاهد ناقص")))</f>
        <v/>
      </c>
    </row>
    <row r="10" spans="1:12" ht="36" customHeight="1">
      <c r="A10" s="1"/>
      <c r="B10" s="1"/>
      <c r="C10" s="1"/>
      <c r="D10" s="1"/>
      <c r="E10" s="1"/>
      <c r="F10" s="1"/>
      <c r="G10" s="1"/>
      <c r="H10" s="4"/>
      <c r="I10" s="1"/>
      <c r="J10" s="1"/>
      <c r="K10" s="1"/>
      <c r="L10" s="3" t="str">
        <f>IF(A10="","",IF(NOT(AND(COUNTIFS('20-ابلاغ نتایج'!$A$8:$A$1007,A10)=1,AND(COUNTIFS('17-جلسات و دوره‌ها'!$A$8:$A$1007,E10)=1,IFERROR(INDEX('17-جلسات و دوره‌ها'!$B$8:$B$1007,MATCH(E10,'17-جلسات و دوره‌ها'!$A$8:$A$1007,0)),"")=C10,IFERROR(INDEX('17-جلسات و دوره‌ها'!$C$8:$C$1007,MATCH(E10,'17-جلسات و دوره‌ها'!$A$8:$A$1007,0)),"")=D10),COUNTIFS('07-تصمیمات و مصوبات'!$A$8:$A$1007,B10)=1,IFERROR(INDEX('07-تصمیمات و مصوبات'!$B$8:$B$1007,MATCH(B10,'07-تصمیمات و مصوبات'!$A$8:$A$1007,0)),"")=E10)),"رابطه ابلاغ نامعتبر",IF(AND(G10&lt;&gt;"",ISNUMBER(H10),I10&lt;&gt;"",AND(COUNTIFS('14-مستندات و پیوست‌ها'!$A$8:$A$1007,J10)=1,IFERROR(INDEX('14-مستندات و پیوست‌ها'!$B$8:$B$1007,MATCH(J10,'14-مستندات و پیوست‌ها'!$A$8:$A$1007,0)),"")=C10,OR(IFERROR(INDEX('14-مستندات و پیوست‌ها'!$H$8:$H$1007,MATCH(J10,'14-مستندات و پیوست‌ها'!$A$8:$A$1007,0)),"")="دریافت شده",IFERROR(INDEX('14-مستندات و پیوست‌ها'!$H$8:$H$1007,MATCH(J10,'14-مستندات و پیوست‌ها'!$A$8:$A$1007,0)),"")="فرضی"))),"معتبر","ابلاغ یا شاهد ناقص")))</f>
        <v/>
      </c>
    </row>
    <row r="11" spans="1:12" ht="36" customHeight="1">
      <c r="A11" s="1"/>
      <c r="B11" s="1"/>
      <c r="C11" s="1"/>
      <c r="D11" s="1"/>
      <c r="E11" s="1"/>
      <c r="F11" s="1"/>
      <c r="G11" s="1"/>
      <c r="H11" s="4"/>
      <c r="I11" s="1"/>
      <c r="J11" s="1"/>
      <c r="K11" s="1"/>
      <c r="L11" s="3" t="str">
        <f>IF(A11="","",IF(NOT(AND(COUNTIFS('20-ابلاغ نتایج'!$A$8:$A$1007,A11)=1,AND(COUNTIFS('17-جلسات و دوره‌ها'!$A$8:$A$1007,E11)=1,IFERROR(INDEX('17-جلسات و دوره‌ها'!$B$8:$B$1007,MATCH(E11,'17-جلسات و دوره‌ها'!$A$8:$A$1007,0)),"")=C11,IFERROR(INDEX('17-جلسات و دوره‌ها'!$C$8:$C$1007,MATCH(E11,'17-جلسات و دوره‌ها'!$A$8:$A$1007,0)),"")=D11),COUNTIFS('07-تصمیمات و مصوبات'!$A$8:$A$1007,B11)=1,IFERROR(INDEX('07-تصمیمات و مصوبات'!$B$8:$B$1007,MATCH(B11,'07-تصمیمات و مصوبات'!$A$8:$A$1007,0)),"")=E11)),"رابطه ابلاغ نامعتبر",IF(AND(G11&lt;&gt;"",ISNUMBER(H11),I11&lt;&gt;"",AND(COUNTIFS('14-مستندات و پیوست‌ها'!$A$8:$A$1007,J11)=1,IFERROR(INDEX('14-مستندات و پیوست‌ها'!$B$8:$B$1007,MATCH(J11,'14-مستندات و پیوست‌ها'!$A$8:$A$1007,0)),"")=C11,OR(IFERROR(INDEX('14-مستندات و پیوست‌ها'!$H$8:$H$1007,MATCH(J11,'14-مستندات و پیوست‌ها'!$A$8:$A$1007,0)),"")="دریافت شده",IFERROR(INDEX('14-مستندات و پیوست‌ها'!$H$8:$H$1007,MATCH(J11,'14-مستندات و پیوست‌ها'!$A$8:$A$1007,0)),"")="فرضی"))),"معتبر","ابلاغ یا شاهد ناقص")))</f>
        <v/>
      </c>
    </row>
    <row r="12" spans="1:12" ht="36" customHeight="1">
      <c r="A12" s="1"/>
      <c r="B12" s="1"/>
      <c r="C12" s="1"/>
      <c r="D12" s="1"/>
      <c r="E12" s="1"/>
      <c r="F12" s="1"/>
      <c r="G12" s="1"/>
      <c r="H12" s="4"/>
      <c r="I12" s="1"/>
      <c r="J12" s="1"/>
      <c r="K12" s="1"/>
      <c r="L12" s="3" t="str">
        <f>IF(A12="","",IF(NOT(AND(COUNTIFS('20-ابلاغ نتایج'!$A$8:$A$1007,A12)=1,AND(COUNTIFS('17-جلسات و دوره‌ها'!$A$8:$A$1007,E12)=1,IFERROR(INDEX('17-جلسات و دوره‌ها'!$B$8:$B$1007,MATCH(E12,'17-جلسات و دوره‌ها'!$A$8:$A$1007,0)),"")=C12,IFERROR(INDEX('17-جلسات و دوره‌ها'!$C$8:$C$1007,MATCH(E12,'17-جلسات و دوره‌ها'!$A$8:$A$1007,0)),"")=D12),COUNTIFS('07-تصمیمات و مصوبات'!$A$8:$A$1007,B12)=1,IFERROR(INDEX('07-تصمیمات و مصوبات'!$B$8:$B$1007,MATCH(B12,'07-تصمیمات و مصوبات'!$A$8:$A$1007,0)),"")=E12)),"رابطه ابلاغ نامعتبر",IF(AND(G12&lt;&gt;"",ISNUMBER(H12),I12&lt;&gt;"",AND(COUNTIFS('14-مستندات و پیوست‌ها'!$A$8:$A$1007,J12)=1,IFERROR(INDEX('14-مستندات و پیوست‌ها'!$B$8:$B$1007,MATCH(J12,'14-مستندات و پیوست‌ها'!$A$8:$A$1007,0)),"")=C12,OR(IFERROR(INDEX('14-مستندات و پیوست‌ها'!$H$8:$H$1007,MATCH(J12,'14-مستندات و پیوست‌ها'!$A$8:$A$1007,0)),"")="دریافت شده",IFERROR(INDEX('14-مستندات و پیوست‌ها'!$H$8:$H$1007,MATCH(J12,'14-مستندات و پیوست‌ها'!$A$8:$A$1007,0)),"")="فرضی"))),"معتبر","ابلاغ یا شاهد ناقص")))</f>
        <v/>
      </c>
    </row>
    <row r="13" spans="1:12" ht="36" customHeight="1">
      <c r="A13" s="1"/>
      <c r="B13" s="1"/>
      <c r="C13" s="1"/>
      <c r="D13" s="1"/>
      <c r="E13" s="1"/>
      <c r="F13" s="1"/>
      <c r="G13" s="1"/>
      <c r="H13" s="4"/>
      <c r="I13" s="1"/>
      <c r="J13" s="1"/>
      <c r="K13" s="1"/>
      <c r="L13" s="3" t="str">
        <f>IF(A13="","",IF(NOT(AND(COUNTIFS('20-ابلاغ نتایج'!$A$8:$A$1007,A13)=1,AND(COUNTIFS('17-جلسات و دوره‌ها'!$A$8:$A$1007,E13)=1,IFERROR(INDEX('17-جلسات و دوره‌ها'!$B$8:$B$1007,MATCH(E13,'17-جلسات و دوره‌ها'!$A$8:$A$1007,0)),"")=C13,IFERROR(INDEX('17-جلسات و دوره‌ها'!$C$8:$C$1007,MATCH(E13,'17-جلسات و دوره‌ها'!$A$8:$A$1007,0)),"")=D13),COUNTIFS('07-تصمیمات و مصوبات'!$A$8:$A$1007,B13)=1,IFERROR(INDEX('07-تصمیمات و مصوبات'!$B$8:$B$1007,MATCH(B13,'07-تصمیمات و مصوبات'!$A$8:$A$1007,0)),"")=E13)),"رابطه ابلاغ نامعتبر",IF(AND(G13&lt;&gt;"",ISNUMBER(H13),I13&lt;&gt;"",AND(COUNTIFS('14-مستندات و پیوست‌ها'!$A$8:$A$1007,J13)=1,IFERROR(INDEX('14-مستندات و پیوست‌ها'!$B$8:$B$1007,MATCH(J13,'14-مستندات و پیوست‌ها'!$A$8:$A$1007,0)),"")=C13,OR(IFERROR(INDEX('14-مستندات و پیوست‌ها'!$H$8:$H$1007,MATCH(J13,'14-مستندات و پیوست‌ها'!$A$8:$A$1007,0)),"")="دریافت شده",IFERROR(INDEX('14-مستندات و پیوست‌ها'!$H$8:$H$1007,MATCH(J13,'14-مستندات و پیوست‌ها'!$A$8:$A$1007,0)),"")="فرضی"))),"معتبر","ابلاغ یا شاهد ناقص")))</f>
        <v/>
      </c>
    </row>
    <row r="14" spans="1:12" ht="36" customHeight="1">
      <c r="A14" s="1"/>
      <c r="B14" s="1"/>
      <c r="C14" s="1"/>
      <c r="D14" s="1"/>
      <c r="E14" s="1"/>
      <c r="F14" s="1"/>
      <c r="G14" s="1"/>
      <c r="H14" s="4"/>
      <c r="I14" s="1"/>
      <c r="J14" s="1"/>
      <c r="K14" s="1"/>
      <c r="L14" s="3" t="str">
        <f>IF(A14="","",IF(NOT(AND(COUNTIFS('20-ابلاغ نتایج'!$A$8:$A$1007,A14)=1,AND(COUNTIFS('17-جلسات و دوره‌ها'!$A$8:$A$1007,E14)=1,IFERROR(INDEX('17-جلسات و دوره‌ها'!$B$8:$B$1007,MATCH(E14,'17-جلسات و دوره‌ها'!$A$8:$A$1007,0)),"")=C14,IFERROR(INDEX('17-جلسات و دوره‌ها'!$C$8:$C$1007,MATCH(E14,'17-جلسات و دوره‌ها'!$A$8:$A$1007,0)),"")=D14),COUNTIFS('07-تصمیمات و مصوبات'!$A$8:$A$1007,B14)=1,IFERROR(INDEX('07-تصمیمات و مصوبات'!$B$8:$B$1007,MATCH(B14,'07-تصمیمات و مصوبات'!$A$8:$A$1007,0)),"")=E14)),"رابطه ابلاغ نامعتبر",IF(AND(G14&lt;&gt;"",ISNUMBER(H14),I14&lt;&gt;"",AND(COUNTIFS('14-مستندات و پیوست‌ها'!$A$8:$A$1007,J14)=1,IFERROR(INDEX('14-مستندات و پیوست‌ها'!$B$8:$B$1007,MATCH(J14,'14-مستندات و پیوست‌ها'!$A$8:$A$1007,0)),"")=C14,OR(IFERROR(INDEX('14-مستندات و پیوست‌ها'!$H$8:$H$1007,MATCH(J14,'14-مستندات و پیوست‌ها'!$A$8:$A$1007,0)),"")="دریافت شده",IFERROR(INDEX('14-مستندات و پیوست‌ها'!$H$8:$H$1007,MATCH(J14,'14-مستندات و پیوست‌ها'!$A$8:$A$1007,0)),"")="فرضی"))),"معتبر","ابلاغ یا شاهد ناقص")))</f>
        <v/>
      </c>
    </row>
    <row r="15" spans="1:12" ht="36" customHeight="1">
      <c r="A15" s="1"/>
      <c r="B15" s="1"/>
      <c r="C15" s="1"/>
      <c r="D15" s="1"/>
      <c r="E15" s="1"/>
      <c r="F15" s="1"/>
      <c r="G15" s="1"/>
      <c r="H15" s="4"/>
      <c r="I15" s="1"/>
      <c r="J15" s="1"/>
      <c r="K15" s="1"/>
      <c r="L15" s="3" t="str">
        <f>IF(A15="","",IF(NOT(AND(COUNTIFS('20-ابلاغ نتایج'!$A$8:$A$1007,A15)=1,AND(COUNTIFS('17-جلسات و دوره‌ها'!$A$8:$A$1007,E15)=1,IFERROR(INDEX('17-جلسات و دوره‌ها'!$B$8:$B$1007,MATCH(E15,'17-جلسات و دوره‌ها'!$A$8:$A$1007,0)),"")=C15,IFERROR(INDEX('17-جلسات و دوره‌ها'!$C$8:$C$1007,MATCH(E15,'17-جلسات و دوره‌ها'!$A$8:$A$1007,0)),"")=D15),COUNTIFS('07-تصمیمات و مصوبات'!$A$8:$A$1007,B15)=1,IFERROR(INDEX('07-تصمیمات و مصوبات'!$B$8:$B$1007,MATCH(B15,'07-تصمیمات و مصوبات'!$A$8:$A$1007,0)),"")=E15)),"رابطه ابلاغ نامعتبر",IF(AND(G15&lt;&gt;"",ISNUMBER(H15),I15&lt;&gt;"",AND(COUNTIFS('14-مستندات و پیوست‌ها'!$A$8:$A$1007,J15)=1,IFERROR(INDEX('14-مستندات و پیوست‌ها'!$B$8:$B$1007,MATCH(J15,'14-مستندات و پیوست‌ها'!$A$8:$A$1007,0)),"")=C15,OR(IFERROR(INDEX('14-مستندات و پیوست‌ها'!$H$8:$H$1007,MATCH(J15,'14-مستندات و پیوست‌ها'!$A$8:$A$1007,0)),"")="دریافت شده",IFERROR(INDEX('14-مستندات و پیوست‌ها'!$H$8:$H$1007,MATCH(J15,'14-مستندات و پیوست‌ها'!$A$8:$A$1007,0)),"")="فرضی"))),"معتبر","ابلاغ یا شاهد ناقص")))</f>
        <v/>
      </c>
    </row>
    <row r="16" spans="1:12" ht="36" customHeight="1">
      <c r="A16" s="1"/>
      <c r="B16" s="1"/>
      <c r="C16" s="1"/>
      <c r="D16" s="1"/>
      <c r="E16" s="1"/>
      <c r="F16" s="1"/>
      <c r="G16" s="1"/>
      <c r="H16" s="4"/>
      <c r="I16" s="1"/>
      <c r="J16" s="1"/>
      <c r="K16" s="1"/>
      <c r="L16" s="3" t="str">
        <f>IF(A16="","",IF(NOT(AND(COUNTIFS('20-ابلاغ نتایج'!$A$8:$A$1007,A16)=1,AND(COUNTIFS('17-جلسات و دوره‌ها'!$A$8:$A$1007,E16)=1,IFERROR(INDEX('17-جلسات و دوره‌ها'!$B$8:$B$1007,MATCH(E16,'17-جلسات و دوره‌ها'!$A$8:$A$1007,0)),"")=C16,IFERROR(INDEX('17-جلسات و دوره‌ها'!$C$8:$C$1007,MATCH(E16,'17-جلسات و دوره‌ها'!$A$8:$A$1007,0)),"")=D16),COUNTIFS('07-تصمیمات و مصوبات'!$A$8:$A$1007,B16)=1,IFERROR(INDEX('07-تصمیمات و مصوبات'!$B$8:$B$1007,MATCH(B16,'07-تصمیمات و مصوبات'!$A$8:$A$1007,0)),"")=E16)),"رابطه ابلاغ نامعتبر",IF(AND(G16&lt;&gt;"",ISNUMBER(H16),I16&lt;&gt;"",AND(COUNTIFS('14-مستندات و پیوست‌ها'!$A$8:$A$1007,J16)=1,IFERROR(INDEX('14-مستندات و پیوست‌ها'!$B$8:$B$1007,MATCH(J16,'14-مستندات و پیوست‌ها'!$A$8:$A$1007,0)),"")=C16,OR(IFERROR(INDEX('14-مستندات و پیوست‌ها'!$H$8:$H$1007,MATCH(J16,'14-مستندات و پیوست‌ها'!$A$8:$A$1007,0)),"")="دریافت شده",IFERROR(INDEX('14-مستندات و پیوست‌ها'!$H$8:$H$1007,MATCH(J16,'14-مستندات و پیوست‌ها'!$A$8:$A$1007,0)),"")="فرضی"))),"معتبر","ابلاغ یا شاهد ناقص")))</f>
        <v/>
      </c>
    </row>
    <row r="17" spans="1:12" ht="36" customHeight="1">
      <c r="A17" s="1"/>
      <c r="B17" s="1"/>
      <c r="C17" s="1"/>
      <c r="D17" s="1"/>
      <c r="E17" s="1"/>
      <c r="F17" s="1"/>
      <c r="G17" s="1"/>
      <c r="H17" s="4"/>
      <c r="I17" s="1"/>
      <c r="J17" s="1"/>
      <c r="K17" s="1"/>
      <c r="L17" s="3" t="str">
        <f>IF(A17="","",IF(NOT(AND(COUNTIFS('20-ابلاغ نتایج'!$A$8:$A$1007,A17)=1,AND(COUNTIFS('17-جلسات و دوره‌ها'!$A$8:$A$1007,E17)=1,IFERROR(INDEX('17-جلسات و دوره‌ها'!$B$8:$B$1007,MATCH(E17,'17-جلسات و دوره‌ها'!$A$8:$A$1007,0)),"")=C17,IFERROR(INDEX('17-جلسات و دوره‌ها'!$C$8:$C$1007,MATCH(E17,'17-جلسات و دوره‌ها'!$A$8:$A$1007,0)),"")=D17),COUNTIFS('07-تصمیمات و مصوبات'!$A$8:$A$1007,B17)=1,IFERROR(INDEX('07-تصمیمات و مصوبات'!$B$8:$B$1007,MATCH(B17,'07-تصمیمات و مصوبات'!$A$8:$A$1007,0)),"")=E17)),"رابطه ابلاغ نامعتبر",IF(AND(G17&lt;&gt;"",ISNUMBER(H17),I17&lt;&gt;"",AND(COUNTIFS('14-مستندات و پیوست‌ها'!$A$8:$A$1007,J17)=1,IFERROR(INDEX('14-مستندات و پیوست‌ها'!$B$8:$B$1007,MATCH(J17,'14-مستندات و پیوست‌ها'!$A$8:$A$1007,0)),"")=C17,OR(IFERROR(INDEX('14-مستندات و پیوست‌ها'!$H$8:$H$1007,MATCH(J17,'14-مستندات و پیوست‌ها'!$A$8:$A$1007,0)),"")="دریافت شده",IFERROR(INDEX('14-مستندات و پیوست‌ها'!$H$8:$H$1007,MATCH(J17,'14-مستندات و پیوست‌ها'!$A$8:$A$1007,0)),"")="فرضی"))),"معتبر","ابلاغ یا شاهد ناقص")))</f>
        <v/>
      </c>
    </row>
    <row r="18" spans="1:12" ht="36" customHeight="1">
      <c r="A18" s="1"/>
      <c r="B18" s="1"/>
      <c r="C18" s="1"/>
      <c r="D18" s="1"/>
      <c r="E18" s="1"/>
      <c r="F18" s="1"/>
      <c r="G18" s="1"/>
      <c r="H18" s="4"/>
      <c r="I18" s="1"/>
      <c r="J18" s="1"/>
      <c r="K18" s="1"/>
      <c r="L18" s="3" t="str">
        <f>IF(A18="","",IF(NOT(AND(COUNTIFS('20-ابلاغ نتایج'!$A$8:$A$1007,A18)=1,AND(COUNTIFS('17-جلسات و دوره‌ها'!$A$8:$A$1007,E18)=1,IFERROR(INDEX('17-جلسات و دوره‌ها'!$B$8:$B$1007,MATCH(E18,'17-جلسات و دوره‌ها'!$A$8:$A$1007,0)),"")=C18,IFERROR(INDEX('17-جلسات و دوره‌ها'!$C$8:$C$1007,MATCH(E18,'17-جلسات و دوره‌ها'!$A$8:$A$1007,0)),"")=D18),COUNTIFS('07-تصمیمات و مصوبات'!$A$8:$A$1007,B18)=1,IFERROR(INDEX('07-تصمیمات و مصوبات'!$B$8:$B$1007,MATCH(B18,'07-تصمیمات و مصوبات'!$A$8:$A$1007,0)),"")=E18)),"رابطه ابلاغ نامعتبر",IF(AND(G18&lt;&gt;"",ISNUMBER(H18),I18&lt;&gt;"",AND(COUNTIFS('14-مستندات و پیوست‌ها'!$A$8:$A$1007,J18)=1,IFERROR(INDEX('14-مستندات و پیوست‌ها'!$B$8:$B$1007,MATCH(J18,'14-مستندات و پیوست‌ها'!$A$8:$A$1007,0)),"")=C18,OR(IFERROR(INDEX('14-مستندات و پیوست‌ها'!$H$8:$H$1007,MATCH(J18,'14-مستندات و پیوست‌ها'!$A$8:$A$1007,0)),"")="دریافت شده",IFERROR(INDEX('14-مستندات و پیوست‌ها'!$H$8:$H$1007,MATCH(J18,'14-مستندات و پیوست‌ها'!$A$8:$A$1007,0)),"")="فرضی"))),"معتبر","ابلاغ یا شاهد ناقص")))</f>
        <v/>
      </c>
    </row>
    <row r="19" spans="1:12" ht="36" customHeight="1">
      <c r="A19" s="1"/>
      <c r="B19" s="1"/>
      <c r="C19" s="1"/>
      <c r="D19" s="1"/>
      <c r="E19" s="1"/>
      <c r="F19" s="1"/>
      <c r="G19" s="1"/>
      <c r="H19" s="4"/>
      <c r="I19" s="1"/>
      <c r="J19" s="1"/>
      <c r="K19" s="1"/>
      <c r="L19" s="3" t="str">
        <f>IF(A19="","",IF(NOT(AND(COUNTIFS('20-ابلاغ نتایج'!$A$8:$A$1007,A19)=1,AND(COUNTIFS('17-جلسات و دوره‌ها'!$A$8:$A$1007,E19)=1,IFERROR(INDEX('17-جلسات و دوره‌ها'!$B$8:$B$1007,MATCH(E19,'17-جلسات و دوره‌ها'!$A$8:$A$1007,0)),"")=C19,IFERROR(INDEX('17-جلسات و دوره‌ها'!$C$8:$C$1007,MATCH(E19,'17-جلسات و دوره‌ها'!$A$8:$A$1007,0)),"")=D19),COUNTIFS('07-تصمیمات و مصوبات'!$A$8:$A$1007,B19)=1,IFERROR(INDEX('07-تصمیمات و مصوبات'!$B$8:$B$1007,MATCH(B19,'07-تصمیمات و مصوبات'!$A$8:$A$1007,0)),"")=E19)),"رابطه ابلاغ نامعتبر",IF(AND(G19&lt;&gt;"",ISNUMBER(H19),I19&lt;&gt;"",AND(COUNTIFS('14-مستندات و پیوست‌ها'!$A$8:$A$1007,J19)=1,IFERROR(INDEX('14-مستندات و پیوست‌ها'!$B$8:$B$1007,MATCH(J19,'14-مستندات و پیوست‌ها'!$A$8:$A$1007,0)),"")=C19,OR(IFERROR(INDEX('14-مستندات و پیوست‌ها'!$H$8:$H$1007,MATCH(J19,'14-مستندات و پیوست‌ها'!$A$8:$A$1007,0)),"")="دریافت شده",IFERROR(INDEX('14-مستندات و پیوست‌ها'!$H$8:$H$1007,MATCH(J19,'14-مستندات و پیوست‌ها'!$A$8:$A$1007,0)),"")="فرضی"))),"معتبر","ابلاغ یا شاهد ناقص")))</f>
        <v/>
      </c>
    </row>
    <row r="20" spans="1:12" ht="36" customHeight="1">
      <c r="A20" s="1"/>
      <c r="B20" s="1"/>
      <c r="C20" s="1"/>
      <c r="D20" s="1"/>
      <c r="E20" s="1"/>
      <c r="F20" s="1"/>
      <c r="G20" s="1"/>
      <c r="H20" s="4"/>
      <c r="I20" s="1"/>
      <c r="J20" s="1"/>
      <c r="K20" s="1"/>
      <c r="L20" s="3" t="str">
        <f>IF(A20="","",IF(NOT(AND(COUNTIFS('20-ابلاغ نتایج'!$A$8:$A$1007,A20)=1,AND(COUNTIFS('17-جلسات و دوره‌ها'!$A$8:$A$1007,E20)=1,IFERROR(INDEX('17-جلسات و دوره‌ها'!$B$8:$B$1007,MATCH(E20,'17-جلسات و دوره‌ها'!$A$8:$A$1007,0)),"")=C20,IFERROR(INDEX('17-جلسات و دوره‌ها'!$C$8:$C$1007,MATCH(E20,'17-جلسات و دوره‌ها'!$A$8:$A$1007,0)),"")=D20),COUNTIFS('07-تصمیمات و مصوبات'!$A$8:$A$1007,B20)=1,IFERROR(INDEX('07-تصمیمات و مصوبات'!$B$8:$B$1007,MATCH(B20,'07-تصمیمات و مصوبات'!$A$8:$A$1007,0)),"")=E20)),"رابطه ابلاغ نامعتبر",IF(AND(G20&lt;&gt;"",ISNUMBER(H20),I20&lt;&gt;"",AND(COUNTIFS('14-مستندات و پیوست‌ها'!$A$8:$A$1007,J20)=1,IFERROR(INDEX('14-مستندات و پیوست‌ها'!$B$8:$B$1007,MATCH(J20,'14-مستندات و پیوست‌ها'!$A$8:$A$1007,0)),"")=C20,OR(IFERROR(INDEX('14-مستندات و پیوست‌ها'!$H$8:$H$1007,MATCH(J20,'14-مستندات و پیوست‌ها'!$A$8:$A$1007,0)),"")="دریافت شده",IFERROR(INDEX('14-مستندات و پیوست‌ها'!$H$8:$H$1007,MATCH(J20,'14-مستندات و پیوست‌ها'!$A$8:$A$1007,0)),"")="فرضی"))),"معتبر","ابلاغ یا شاهد ناقص")))</f>
        <v/>
      </c>
    </row>
  </sheetData>
  <mergeCells count="2">
    <mergeCell ref="A1:L1"/>
    <mergeCell ref="A2:L3"/>
  </mergeCells>
  <conditionalFormatting sqref="A8:A20">
    <cfRule type="duplicateValues" dxfId="39" priority="1"/>
  </conditionalFormatting>
  <conditionalFormatting sqref="K8:K20">
    <cfRule type="containsText" dxfId="38" priority="7" operator="containsText" text="ناقص"/>
  </conditionalFormatting>
  <conditionalFormatting sqref="L8:L20">
    <cfRule type="containsText" dxfId="37" priority="2" operator="containsText" text="ناقص"/>
  </conditionalFormatting>
  <printOptions horizontalCentered="1"/>
  <pageMargins left="0.25" right="0.25" top="0.5" bottom="0.5" header="0.2" footer="0.2"/>
  <pageSetup paperSize="8" scale="85" fitToWidth="0" fitToHeight="0" orientation="landscape"/>
  <headerFooter>
    <oddHeader>&amp;LIMS / v02&amp;Cبازنگری مدیریت یکپارچه&amp;Rهلدینگ نیکان</oddHeader>
    <oddFooter>&amp;L&amp;A&amp;Cصفحه &amp;P از &amp;N&amp;Rوضعیت تصویب مطابق محتوای گزارش</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42</vt:i4>
      </vt:variant>
    </vt:vector>
  </HeadingPairs>
  <TitlesOfParts>
    <vt:vector size="63" baseType="lpstr">
      <vt:lpstr>00-راهنما</vt:lpstr>
      <vt:lpstr>01-تنظیمات</vt:lpstr>
      <vt:lpstr>02-ماتریس الزامات</vt:lpstr>
      <vt:lpstr>03-ورودی‌های بازنگری</vt:lpstr>
      <vt:lpstr>04-تحلیل شاخص‌ها</vt:lpstr>
      <vt:lpstr>05-موضوعات مدیریتی</vt:lpstr>
      <vt:lpstr>06-نتایج بازنگری</vt:lpstr>
      <vt:lpstr>07-تصمیمات و مصوبات</vt:lpstr>
      <vt:lpstr>08-برنامه اقدامات</vt:lpstr>
      <vt:lpstr>09-منابع و تغییرات</vt:lpstr>
      <vt:lpstr>10-ارزیابی اثربخشی</vt:lpstr>
      <vt:lpstr>11-صورت‌جلسه</vt:lpstr>
      <vt:lpstr>12-داشبورد مدیریتی</vt:lpstr>
      <vt:lpstr>13-کنترل انطباق</vt:lpstr>
      <vt:lpstr>14-مستندات و پیوست‌ها</vt:lpstr>
      <vt:lpstr>15-روابط</vt:lpstr>
      <vt:lpstr>16-آزمون‌ها</vt:lpstr>
      <vt:lpstr>17-جلسات و دوره‌ها</vt:lpstr>
      <vt:lpstr>18-دامنه استانداردها</vt:lpstr>
      <vt:lpstr>19-سوابق مبنا</vt:lpstr>
      <vt:lpstr>20-ابلاغ نتایج</vt:lpstr>
      <vt:lpstr>'00-راهنما'!Print_Area</vt:lpstr>
      <vt:lpstr>'01-تنظیمات'!Print_Area</vt:lpstr>
      <vt:lpstr>'02-ماتریس الزامات'!Print_Area</vt:lpstr>
      <vt:lpstr>'03-ورودی‌های بازنگری'!Print_Area</vt:lpstr>
      <vt:lpstr>'04-تحلیل شاخص‌ها'!Print_Area</vt:lpstr>
      <vt:lpstr>'05-موضوعات مدیریتی'!Print_Area</vt:lpstr>
      <vt:lpstr>'06-نتایج بازنگری'!Print_Area</vt:lpstr>
      <vt:lpstr>'07-تصمیمات و مصوبات'!Print_Area</vt:lpstr>
      <vt:lpstr>'08-برنامه اقدامات'!Print_Area</vt:lpstr>
      <vt:lpstr>'09-منابع و تغییرات'!Print_Area</vt:lpstr>
      <vt:lpstr>'10-ارزیابی اثربخشی'!Print_Area</vt:lpstr>
      <vt:lpstr>'11-صورت‌جلسه'!Print_Area</vt:lpstr>
      <vt:lpstr>'12-داشبورد مدیریتی'!Print_Area</vt:lpstr>
      <vt:lpstr>'13-کنترل انطباق'!Print_Area</vt:lpstr>
      <vt:lpstr>'14-مستندات و پیوست‌ها'!Print_Area</vt:lpstr>
      <vt:lpstr>'15-روابط'!Print_Area</vt:lpstr>
      <vt:lpstr>'16-آزمون‌ها'!Print_Area</vt:lpstr>
      <vt:lpstr>'17-جلسات و دوره‌ها'!Print_Area</vt:lpstr>
      <vt:lpstr>'18-دامنه استانداردها'!Print_Area</vt:lpstr>
      <vt:lpstr>'19-سوابق مبنا'!Print_Area</vt:lpstr>
      <vt:lpstr>'20-ابلاغ نتایج'!Print_Area</vt:lpstr>
      <vt:lpstr>'00-راهنما'!Print_Titles</vt:lpstr>
      <vt:lpstr>'01-تنظیمات'!Print_Titles</vt:lpstr>
      <vt:lpstr>'02-ماتریس الزامات'!Print_Titles</vt:lpstr>
      <vt:lpstr>'03-ورودی‌های بازنگری'!Print_Titles</vt:lpstr>
      <vt:lpstr>'04-تحلیل شاخص‌ها'!Print_Titles</vt:lpstr>
      <vt:lpstr>'05-موضوعات مدیریتی'!Print_Titles</vt:lpstr>
      <vt:lpstr>'06-نتایج بازنگری'!Print_Titles</vt:lpstr>
      <vt:lpstr>'07-تصمیمات و مصوبات'!Print_Titles</vt:lpstr>
      <vt:lpstr>'08-برنامه اقدامات'!Print_Titles</vt:lpstr>
      <vt:lpstr>'09-منابع و تغییرات'!Print_Titles</vt:lpstr>
      <vt:lpstr>'10-ارزیابی اثربخشی'!Print_Titles</vt:lpstr>
      <vt:lpstr>'11-صورت‌جلسه'!Print_Titles</vt:lpstr>
      <vt:lpstr>'12-داشبورد مدیریتی'!Print_Titles</vt:lpstr>
      <vt:lpstr>'13-کنترل انطباق'!Print_Titles</vt:lpstr>
      <vt:lpstr>'14-مستندات و پیوست‌ها'!Print_Titles</vt:lpstr>
      <vt:lpstr>'15-روابط'!Print_Titles</vt:lpstr>
      <vt:lpstr>'16-آزمون‌ها'!Print_Titles</vt:lpstr>
      <vt:lpstr>'17-جلسات و دوره‌ها'!Print_Titles</vt:lpstr>
      <vt:lpstr>'18-دامنه استانداردها'!Print_Titles</vt:lpstr>
      <vt:lpstr>'19-سوابق مبنا'!Print_Titles</vt:lpstr>
      <vt:lpstr>'20-ابلاغ نتایج'!Print_Titles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Tazmin1</cp:lastModifiedBy>
  <dcterms:modified xsi:type="dcterms:W3CDTF">2026-10-19T10:53:52Z</dcterms:modified>
</cp:coreProperties>
</file>