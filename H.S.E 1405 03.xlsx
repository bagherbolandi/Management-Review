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V:\GHASEM 007\POLYMER -TADBIR\NOORISTA-PLASTIC403\I.A.T.F - NIPCO  1404\IATF-NIPCO-1405\IATF-1405\NEW-1405\M.A-1405\1405 02\RIVEW-MANAGMENT\1405\FAINAL 1405\1405 02\"/>
    </mc:Choice>
  </mc:AlternateContent>
  <xr:revisionPtr revIDLastSave="0" documentId="13_ncr:1_{FA901C2C-827F-4815-85E2-3F67DD4C961F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15" sheetId="12" r:id="rId1"/>
    <sheet name="14" sheetId="10" r:id="rId2"/>
    <sheet name="8-9" sheetId="14" r:id="rId3"/>
    <sheet name="3" sheetId="13" r:id="rId4"/>
    <sheet name="2" sheetId="4" r:id="rId5"/>
    <sheet name="1" sheetId="1" r:id="rId6"/>
    <sheet name="0" sheetId="15" r:id="rId7"/>
  </sheets>
  <definedNames>
    <definedName name="_xlnm.Print_Area" localSheetId="6">'0'!$A$1:$Q$40</definedName>
    <definedName name="_xlnm.Print_Area" localSheetId="5">'1'!$A$1:$O$31</definedName>
    <definedName name="_xlnm.Print_Area" localSheetId="0">'15'!$A$1:$O$17</definedName>
    <definedName name="_xlnm.Print_Area" localSheetId="4">'2'!$A$1:$O$16</definedName>
    <definedName name="_xlnm.Print_Area" localSheetId="2">'8-9'!$A$1:$O$41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4" i="13" l="1"/>
  <c r="O23" i="13"/>
  <c r="O17" i="13" l="1"/>
  <c r="O9" i="13"/>
  <c r="O1" i="13"/>
  <c r="O2" i="4"/>
  <c r="O10" i="13" s="1"/>
  <c r="O18" i="13" s="1"/>
  <c r="O34" i="14" s="1"/>
  <c r="O2" i="12" s="1"/>
  <c r="O33" i="14"/>
  <c r="O1" i="12"/>
  <c r="O1" i="10"/>
  <c r="O1" i="14"/>
  <c r="O1" i="4" l="1"/>
</calcChain>
</file>

<file path=xl/sharedStrings.xml><?xml version="1.0" encoding="utf-8"?>
<sst xmlns="http://schemas.openxmlformats.org/spreadsheetml/2006/main" count="353" uniqueCount="173">
  <si>
    <t>ورودی بازنگری مدیریت</t>
  </si>
  <si>
    <t>وضعیت اقدامات بازنگری مدیریت قبلی</t>
  </si>
  <si>
    <t>مسایل داخلی</t>
  </si>
  <si>
    <t>هدف</t>
  </si>
  <si>
    <t>معیار پذیرش</t>
  </si>
  <si>
    <t>شاخص دوره قبل</t>
  </si>
  <si>
    <t>شاخص این دوره</t>
  </si>
  <si>
    <t xml:space="preserve">تحلیل و بررسی </t>
  </si>
  <si>
    <t>کفایت منابع</t>
  </si>
  <si>
    <t>انسانی</t>
  </si>
  <si>
    <t>تجهیزاتی</t>
  </si>
  <si>
    <t>فضا</t>
  </si>
  <si>
    <t>اثر بخشی اقدامات انجام شده در پرداختن به ریسک و فرصت ها</t>
  </si>
  <si>
    <t>عملکرد ضمانت</t>
  </si>
  <si>
    <t>اثر بخشی ممیزی ها</t>
  </si>
  <si>
    <t>مسئول</t>
  </si>
  <si>
    <t>تاریخ</t>
  </si>
  <si>
    <t>مسایل خارجی</t>
  </si>
  <si>
    <t xml:space="preserve">فرم بازنگری مدیریت </t>
  </si>
  <si>
    <t>توليد</t>
  </si>
  <si>
    <t>بازرسي و آزمون</t>
  </si>
  <si>
    <t>فروش و بازنگری قرارداد</t>
  </si>
  <si>
    <t>نگهداری و تعمیرات</t>
  </si>
  <si>
    <t xml:space="preserve">برنامه ریزی </t>
  </si>
  <si>
    <t>شماره بروزرسانی : 0</t>
  </si>
  <si>
    <t>تاریخ بروز رسانی : 99/05/10</t>
  </si>
  <si>
    <t>خروجی  بازنگری مدیریت</t>
  </si>
  <si>
    <t>صفحه</t>
  </si>
  <si>
    <t>اقدام پیشنهادی/منابع مورد نیاز</t>
  </si>
  <si>
    <t>امور مهندسی</t>
  </si>
  <si>
    <t xml:space="preserve">تغییرات در سیستم مدیریت کیفیت: </t>
  </si>
  <si>
    <t xml:space="preserve">فرصتهای بهبود : </t>
  </si>
  <si>
    <t xml:space="preserve">نیازمندیهای منابع: </t>
  </si>
  <si>
    <t>رضایت مشتری خارجی</t>
  </si>
  <si>
    <t>خرید داخلی</t>
  </si>
  <si>
    <t>خرید خارجی</t>
  </si>
  <si>
    <t>منابع انسانی</t>
  </si>
  <si>
    <t>خرابی های بالقوه عرصه مصرف در قالب PFMEA بررسی و ارزیابی میگردد و در صورت صدور شکایت از سوی مشتریان ضمن صدور 8D و تحلیل و ریشه یابی ، در صورت لزوم  PFMEA به روز میگردد</t>
  </si>
  <si>
    <t>پیوسته</t>
  </si>
  <si>
    <t>تیم CFT</t>
  </si>
  <si>
    <t>منابع</t>
  </si>
  <si>
    <t>مسولیت مدیریت/ کلیه فرایندها</t>
  </si>
  <si>
    <t>کارا</t>
  </si>
  <si>
    <t>اث</t>
  </si>
  <si>
    <t xml:space="preserve">اداری </t>
  </si>
  <si>
    <t>رضایت ذینفعان</t>
  </si>
  <si>
    <t>سهامداران</t>
  </si>
  <si>
    <t>کارکنان</t>
  </si>
  <si>
    <t>جامعه عام</t>
  </si>
  <si>
    <t>جامعه خاص</t>
  </si>
  <si>
    <t>پایش و اندازه گیری</t>
  </si>
  <si>
    <t>در قسمت شاخص های سازمانی به این مطلب اشاره شده است</t>
  </si>
  <si>
    <t>در حوزه اداره کار، بیمه ، مالیات ، شهرداری ، شهرکهای صنعتی و محیط زیست مشکلی وجود نداشته است</t>
  </si>
  <si>
    <t>در قسمت شاخص های سازمانی (PPMخدمات پس از فروش) وخرابی های بالقوه عرصه مصرف شناسایی شده از طریق تحلیل ریسک به آن اشاره شده است</t>
  </si>
  <si>
    <t>بدلیل کمبود فضا و نبود انبار نیم ساخته مشکلات فوق ، ایجاد شده است</t>
  </si>
  <si>
    <t>مدیریت عامل/ بازرگانی</t>
  </si>
  <si>
    <t xml:space="preserve"> ایمنی</t>
  </si>
  <si>
    <t>شماره فرم : MA-F-19</t>
  </si>
  <si>
    <t>تضمین کیفیت/مهندسی</t>
  </si>
  <si>
    <t>مدیریت</t>
  </si>
  <si>
    <t xml:space="preserve">              عدم به روز بودن ریسک ها و طرح های اقتضایی                              عدم تکمیل فرم استاندارد سفارش گذاری و حمل</t>
  </si>
  <si>
    <t>عدم به روز بودن طرح اقتضایی/ ناقص بودن فرم ریسک تامین کنندگان/ ناقص بودن تست ریپورت های در یافتی/ اثر بخش نبودن اقدامات توسعه تامین کنندگان/عدم وجود پایش عملکرد (شرکت های پایا پلاست و پلیمر تدبیر نیکان)/ناقص بودن فرم استاندارد سفارش گذاری ( نبودن شیلد حرارتی و ورق smc)</t>
  </si>
  <si>
    <t xml:space="preserve">متاسفانه اقدامات اصلاحی صادره ، به خوبی از سوی مالکان فرایندها تجزیه و تحلیل نمیگردد و صرفا اقداماتی جهت بسته شدن اقدام اصلاحی تعریف میگردد که منجر به بروز ایرادات تکراری چه در سطح سازمان و چه در نزد مشتری میگردد ، از آنجا که در ساختار اقدام اصلاحی موجود در سیستم اتوماسیون باکس اثربخش اقدام تعریف نشده است لذا بسته شدن اقدام معادل با اثربخش بودن تعریف میگردد </t>
  </si>
  <si>
    <t>درخواست تغییر در ساختار اتوماسیون به گونه ای که پاسخ های که منجر به اثر بخشی نباشد به صادر کننده عودت گردد</t>
  </si>
  <si>
    <t>تضمین/ IT</t>
  </si>
  <si>
    <t>منابع/آموزش</t>
  </si>
  <si>
    <t>ادامه اخذ گرید A</t>
  </si>
  <si>
    <t>ماهیانه</t>
  </si>
  <si>
    <t>سالیانه</t>
  </si>
  <si>
    <t>پایش مستمر شاخص های مشتری و صدور اقدام اصلاحی در صورت بروز افزایش ppm</t>
  </si>
  <si>
    <t>تدوین برنامه مدونی با چشم انداز چند ساله  برای تقویت و ارتقا پرسنل های چند مهارتی/ در صورت امکان job rotation</t>
  </si>
  <si>
    <t>بازرسی / آزمون</t>
  </si>
  <si>
    <t>تضمین/IT</t>
  </si>
  <si>
    <t xml:space="preserve">امضاء مدیرعامل </t>
  </si>
  <si>
    <t>شش ماهه</t>
  </si>
  <si>
    <t>در این دوره ممیزی نگردید</t>
  </si>
  <si>
    <t>کلیه فرایندها</t>
  </si>
  <si>
    <t>مالی /کلیه فرآیندها</t>
  </si>
  <si>
    <t xml:space="preserve">عدم تکمیل نیاز سنجی آموزشی </t>
  </si>
  <si>
    <t xml:space="preserve">تکمیل نیاز سنجی </t>
  </si>
  <si>
    <t xml:space="preserve">منابع </t>
  </si>
  <si>
    <t>عدم تکمیل نیاز سنجی آموزشی</t>
  </si>
  <si>
    <t>فرم بازنگری مدیریت (H.S.E)</t>
  </si>
  <si>
    <t xml:space="preserve"> بازنگری مدیریت (H.S.E)</t>
  </si>
  <si>
    <t>عملکرد فرایند و انطباق الزامات و خدمات درحوزه H.S.E</t>
  </si>
  <si>
    <t>ممیزی داخلی درحوزه H.S.E</t>
  </si>
  <si>
    <t xml:space="preserve">درسال 1403 ممیزی در حوزه پیاده سازی الزامات I.M.S انجام شده است 
و موارد در سه حوزه انطباق و عدم انطباق و فرصت بهبود دسته بندی شده است . </t>
  </si>
  <si>
    <t xml:space="preserve">پیاده سازی الزامات I.M.S و اخذ گواهی نامه استاندارد </t>
  </si>
  <si>
    <t>تدوین مستندات در حوزه I.M.S و جاری سازی آن در سازمان</t>
  </si>
  <si>
    <t xml:space="preserve">اضافه شدن الزامات I.M.S در حوزه مستندات مدیریت کیفیت </t>
  </si>
  <si>
    <t>میزان برآورده شدن دستیابی به اهداف کلان
درحوزه I.M.S</t>
  </si>
  <si>
    <t>ضریب تکرار حادثه</t>
  </si>
  <si>
    <t>ضریب شدت حادثه</t>
  </si>
  <si>
    <t xml:space="preserve">درصد انطباق کل ایمنی و بهداشت با الزامات </t>
  </si>
  <si>
    <t xml:space="preserve">درصد انطباق کل زیست محیطی با الزامات </t>
  </si>
  <si>
    <t>میانگین درصد مشارکت و مشاوره کارکنان (واحدها)</t>
  </si>
  <si>
    <t>درصد انطباق اندازه گیری آلاینده های محیط کار</t>
  </si>
  <si>
    <t>درصد انطباق اندازه گیری زیست محیطی</t>
  </si>
  <si>
    <t>درصد انطباق با قوانین ایمنی</t>
  </si>
  <si>
    <t>درصد انطباق با قوانین زیست محیطی</t>
  </si>
  <si>
    <t>درصد انطباق با اجرای برنامه ی مانور</t>
  </si>
  <si>
    <t xml:space="preserve">درصد سلامت </t>
  </si>
  <si>
    <t>بازنگری  کارنامه H.S.E
درحوزه پایش</t>
  </si>
  <si>
    <t xml:space="preserve"> بازنگری مدیریت (H.S.E) براساس الزامات I.M.S</t>
  </si>
  <si>
    <t>تغییر در مسایل داخلی و خارجی سیستم استانداردI.M.S</t>
  </si>
  <si>
    <t xml:space="preserve">	تعیین موارد پسماند درسازمان نورایستاپلاستیک وتعیین حوزه های ایمنی و زیست محیطی </t>
  </si>
  <si>
    <t xml:space="preserve"> کنترل و کاهش و بهینه کردن مصارف برق ؛ گاز – گازوئیل</t>
  </si>
  <si>
    <t xml:space="preserve">بهینه کردن موارد مرتبط با رنگ </t>
  </si>
  <si>
    <t xml:space="preserve">حوزه مرتبط با تولید قطعات کامپوزیتی با استفاده از پسماند  </t>
  </si>
  <si>
    <t>تعریف پایش واندازه گیری : براساس آیین نامه شماره 1570 انجام می گردد</t>
  </si>
  <si>
    <t xml:space="preserve">موارد مربوط به حوزه ایمنی و بهداشت  -آیین نامه های  اداری دولتی </t>
  </si>
  <si>
    <t>در حوزه شرکت های صنعتی هم جوار  مشکلی وجود نداشته است</t>
  </si>
  <si>
    <t>در حوزه شرکتهای معتبر صدور گواهی نامه لیفتراک+بالابر+جراثقال سقی  مشکلی وجود نداشته است</t>
  </si>
  <si>
    <t>در حوزه  شرکتهای معتبر صدور گواهی نامه سلامت کپسول های آتش نشانی و مخازن تحت  فشار و تست هیدرو استاتیک و شرکتهای معتبر صدور گواهی نامه  چاه ارت مشکلی وجود نداشته است</t>
  </si>
  <si>
    <t>H.S.E</t>
  </si>
  <si>
    <t xml:space="preserve">عدم تکمیل نیاز سنجی مربوط به پیاده سازی الزامات سیستم مدیریت جامع </t>
  </si>
  <si>
    <t xml:space="preserve">منابع /کلیه فرآیندها </t>
  </si>
  <si>
    <t>*برنامه حسابرسی داخلی تدوین نشده است. *موارد چک لیست به طور کامل با استاندارد مطابقت ندارند و شواهد حسابرسی به درستی مستند نشده است.
*باید مروری بر مطالعات زمینه سازمانی - شامل عوامل داخلی و خارجی و استراتژی‌های کسب‌وکار - انجام شود.
*خط مشی سیستم مدیریت یکپارچه باید بررسی و با الزامات استانداردهای ISO 45001 و ISO 14001 همسو شود.
*برنامه‌ای برای دستیابی به اهداف تعریف نشده است.
*سند شناسایی نیازها و انتظارات ذینفعان باید اصلاح شود و همه ذینفعان شناسایی شوند.</t>
  </si>
  <si>
    <t>مسئولیت مدیریت /تضمین کیفیت</t>
  </si>
  <si>
    <t>1404/12</t>
  </si>
  <si>
    <t>با ساخت پالت های برنامه ریزی شده و فضای حاصل از جابجایی سایت ایمن ایستاالکتریک ، مشکل تا حدود زیادی مرتفع میشود</t>
  </si>
  <si>
    <t>استناد به ممیزی 5S و پایش سطح انطباق سازمان با الزامات استاندارد I.M.S شامل ISO14001,ISO45001 
در حوزه منابع انسانی
پیوست</t>
  </si>
  <si>
    <t>استناد به ممیزی 5S و پایش سطح انطباق سازمان با الزامات استاندارد I.M.S شامل ISO14001,ISO45001 
در حوزه بازرسی و آزمون
پیوست</t>
  </si>
  <si>
    <t xml:space="preserve">عدم تکمیل نیاز سنجی آموزشی بر اساس الزامات استاندارد جامع </t>
  </si>
  <si>
    <t>استناد به ممیزی 5S و پایش سطح انطباق سازمان با الزامات استاندارد I.M.S شامل ISO14001,ISO45001 
در حوزه نگهداری و تعمیرات 
پیوست</t>
  </si>
  <si>
    <t>استناد به ممیزی 5S و پایش سطح انطباق سازمان با الزامات استاندارد I.M.S شامل ISO14001,ISO45001 
در حوزه برنامه ریزی
پیوست</t>
  </si>
  <si>
    <t xml:space="preserve">مشاوره و مشارکت کارکنان </t>
  </si>
  <si>
    <t xml:space="preserve">پایش واندازه گیری </t>
  </si>
  <si>
    <t>اندازه گیری ذرات معلق ریز در هوا</t>
  </si>
  <si>
    <t>ارتعاشات</t>
  </si>
  <si>
    <t>رطوبت</t>
  </si>
  <si>
    <t>صدا</t>
  </si>
  <si>
    <t>روشنایی</t>
  </si>
  <si>
    <t>حوزه آتش نشانی و اطفاء و اعلان حریق</t>
  </si>
  <si>
    <t>آب آشامیدنی</t>
  </si>
  <si>
    <t>معاینات طب کار</t>
  </si>
  <si>
    <t>تناسب</t>
  </si>
  <si>
    <t>کفایت</t>
  </si>
  <si>
    <t>اثربخشی</t>
  </si>
  <si>
    <t>رویدادها</t>
  </si>
  <si>
    <t xml:space="preserve">پایش </t>
  </si>
  <si>
    <t>انطباق</t>
  </si>
  <si>
    <t>ممیزی</t>
  </si>
  <si>
    <t>مشارکت</t>
  </si>
  <si>
    <t xml:space="preserve">ریسک ها و فرصت ها </t>
  </si>
  <si>
    <t xml:space="preserve">براساس گزارش شماره R-NP-14031201 به تاریخ اول اسفندماه 1403 انجام شده است و نوبت بعدی در سال 1404انجام خواهد شد . </t>
  </si>
  <si>
    <t xml:space="preserve">اداری/ بهداشت و محیط زیست </t>
  </si>
  <si>
    <t>بهبود شرایط محیطی سالن تولید و کارگاه های پشتیبانی براساس چک لیست جدید 5S</t>
  </si>
  <si>
    <t xml:space="preserve">نیازمند بازنگری طرح جانمایی سازمان بعداز انتقال شرکت ایمن ایستاالکتریک به محل جدید و اضافه شدن محوطه شرکت ایمن ایستابه شرکت نورایستاپلاستیک </t>
  </si>
  <si>
    <t>با توجه به تعهدات سال 1404 سازمان به سهامداران و برگزاری مجمع ، تعهدات تعیین شده محقق شده است.</t>
  </si>
  <si>
    <t>اداره بهداشت</t>
  </si>
  <si>
    <t>اداره محیط زیست</t>
  </si>
  <si>
    <t>اداره کار</t>
  </si>
  <si>
    <t xml:space="preserve">براساس نتایج ممیزی داخلی - ممیزی های سوم شخص و ممیزی 5S بررسی و گزارش می گردد . </t>
  </si>
  <si>
    <t>برنامه ممیزی براساس الزامات I.M.S جهت مدت زمان سه سال تدوین شده است و اجرا می گردد .</t>
  </si>
  <si>
    <t>Q.A</t>
  </si>
  <si>
    <t xml:space="preserve">براساس الزامات استاندارد I.M.S در واحد ایمنی و بهداشت انجام می گدد . </t>
  </si>
  <si>
    <t>خرابی های بالقوه  در حوزه ایمنی و بهداشت و محیط زیست   شناسایی شده از طریق تحلیل ریسک</t>
  </si>
  <si>
    <t>خرابی های بالفعل حوزه ایمنی و بهداشت و محیط زیست  و تاثیر آنها بر ایمنی و محیط زیست</t>
  </si>
  <si>
    <t xml:space="preserve">در حوزه خرابی های بالفعل عرصه حوزه ایمنی و بهداشت و محیط زیست  : ارتباط سازمان با مراجع قانونی ذی صلاح می باشد تا در صورت تغییرات در محدوده پذیرش الزمات قانونی - در اسرع وقت در سازمان اصلاح گردد . </t>
  </si>
  <si>
    <t xml:space="preserve">در صفحه شش گزارش - موارد مربوط به پایش و اندازه گیری ثبت گردیده است .
جهت موارد عدم انطباق در گزارش باید اقدامات اصلاحی تعریف گردد و پیگیری های لازم جهت بهبود شرایط انجام گردد .
البته لازم به ذکر است به دلیل - برنامه ریزی سازمان جهت بهبود فضای سالن های تولید ؛ بسته بندی و ... و اضافه شدن فضای شرکت ایمن ایستاالکتریک 
موارد مربوط به پیاده سازی بهبود جریان مواد کالا - به تاریخ بعد از الحاق فضای شرکت ایمن ایستاالکتریک به شرکت نورایستاپلاستیک انجام خواهد گردید . </t>
  </si>
  <si>
    <t xml:space="preserve">در حوزهای ایمنی و بهداشت - از اداره های قانونی و الزامات مقرارتی - عدم انطباق با الزامات گزارش نگردیده است . </t>
  </si>
  <si>
    <t xml:space="preserve">جهت بررسی کفایت منابع در حوزه ایمنی و بهداشت و محیط زیست 
براساس چک لیست بازنگری شده 5S که در آن الزامات استانداردهای ISO14001,ISO45001 نیز لحاظ گردیده است و گزارش آن به پیوست می باشد 
در حال حاضر میانگین انطباق سازمان در حدود 50 درصد می باشد و نیازمند ارتقاء سیستم می باشد و باید منابع و زیرساخت سازمان ارتقاء پیدا کند .
البته نکته مهم و حائز اهمیت این است در اولین اقدام باید تغییرات طرح جانمایی با اضافه شدن محوطه ایمن ایستاالکتریک بروز رسانی گردد . </t>
  </si>
  <si>
    <t xml:space="preserve">مهمترین ریسک در شرایط کنونی: عدم بروزرسانی طرح جانمایی سازمان و استقرار سیستم های ایمنی و بهداشت در سالن تولید و مسیر های لجستیکی 
</t>
  </si>
  <si>
    <t xml:space="preserve">هرسال یکبار انجام می گردد. </t>
  </si>
  <si>
    <t xml:space="preserve">با استقرار سیستم تصفیه آب - کیفیت آب تحت کنترل می باشد . </t>
  </si>
  <si>
    <t xml:space="preserve">روش اجرای مشاوره و مشارکت کارکنان با کد شماره H.S.E- P-05 براساس الزامات I.M.S بروزرسانی گردیده است و مستندات مرتبط تکمیل می گردد . </t>
  </si>
  <si>
    <t xml:space="preserve">برگزاری جلسات مشاوره کارکنان </t>
  </si>
  <si>
    <t>1405/05/22</t>
  </si>
  <si>
    <t>1405/09</t>
  </si>
  <si>
    <t>1405/12</t>
  </si>
  <si>
    <t>1405/012</t>
  </si>
  <si>
    <t xml:space="preserve">براساس گزارش شماره R-NP-14031201 به تاریخ اول اسفندماه 1405 انجام شده است و نوبت بعدی در سال 1406انجام خواهد شد 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</si>
</sst>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B Nazanin"/>
      <charset val="178"/>
    </font>
    <font>
      <b/>
      <sz val="11"/>
      <color theme="1"/>
      <name val="B Nazanin"/>
      <charset val="178"/>
    </font>
    <font>
      <sz val="12"/>
      <color theme="1"/>
      <name val="B Nazanin"/>
      <charset val="178"/>
    </font>
    <font>
      <sz val="14"/>
      <color theme="1"/>
      <name val="B Nazanin"/>
      <charset val="178"/>
    </font>
    <font>
      <sz val="16"/>
      <color theme="1"/>
      <name val="B Nazanin"/>
      <charset val="178"/>
    </font>
    <font>
      <sz val="9"/>
      <color theme="1"/>
      <name val="B Nazanin"/>
      <charset val="178"/>
    </font>
    <font>
      <sz val="24"/>
      <color theme="1"/>
      <name val="B Nazanin"/>
      <charset val="178"/>
    </font>
    <font>
      <sz val="8"/>
      <color theme="1"/>
      <name val="B Nazanin"/>
      <charset val="178"/>
    </font>
    <font>
      <sz val="10"/>
      <color theme="1"/>
      <name val="B Nazanin"/>
      <charset val="178"/>
    </font>
    <font>
      <sz val="11"/>
      <color theme="1"/>
      <name val="Calibri"/>
      <family val="2"/>
      <charset val="178"/>
      <scheme val="minor"/>
    </font>
    <font>
      <b/>
      <sz val="22"/>
      <color theme="1"/>
      <name val="B Nazanin"/>
      <charset val="178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theme="1"/>
      <name val="B Nazanin"/>
      <charset val="178"/>
    </font>
    <font>
      <b/>
      <sz val="9"/>
      <color theme="1"/>
      <name val="B Nazanin"/>
      <charset val="178"/>
    </font>
    <font>
      <b/>
      <sz val="26"/>
      <name val="B Nazanin"/>
      <charset val="178"/>
    </font>
    <font>
      <sz val="28"/>
      <name val="Arial"/>
      <family val="2"/>
    </font>
    <font>
      <b/>
      <sz val="8"/>
      <color theme="1"/>
      <name val="B Nazanin"/>
      <charset val="178"/>
    </font>
    <font>
      <sz val="20"/>
      <color theme="1"/>
      <name val="Calibri"/>
      <family val="2"/>
      <scheme val="minor"/>
    </font>
    <font>
      <sz val="8"/>
      <name val="Calibri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3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ck">
        <color auto="1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ck">
        <color auto="1"/>
      </right>
      <top style="medium">
        <color indexed="64"/>
      </top>
      <bottom style="thin">
        <color auto="1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ck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medium">
        <color indexed="64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thick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medium">
        <color indexed="64"/>
      </right>
      <top/>
      <bottom/>
      <diagonal/>
    </border>
    <border>
      <left style="thick">
        <color auto="1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ck">
        <color indexed="64"/>
      </bottom>
      <diagonal/>
    </border>
    <border>
      <left style="medium">
        <color indexed="64"/>
      </left>
      <right/>
      <top style="thin">
        <color auto="1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ck">
        <color auto="1"/>
      </top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auto="1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auto="1"/>
      </left>
      <right style="thin">
        <color auto="1"/>
      </right>
      <top style="medium">
        <color indexed="64"/>
      </top>
      <bottom/>
      <diagonal/>
    </border>
    <border>
      <left style="thick">
        <color auto="1"/>
      </left>
      <right style="thin">
        <color auto="1"/>
      </right>
      <top/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auto="1"/>
      </bottom>
      <diagonal/>
    </border>
    <border>
      <left style="thick">
        <color auto="1"/>
      </left>
      <right/>
      <top style="thick">
        <color indexed="64"/>
      </top>
      <bottom style="thick">
        <color auto="1"/>
      </bottom>
      <diagonal/>
    </border>
    <border>
      <left/>
      <right/>
      <top style="thick">
        <color indexed="64"/>
      </top>
      <bottom style="thick">
        <color auto="1"/>
      </bottom>
      <diagonal/>
    </border>
    <border>
      <left/>
      <right style="thick">
        <color auto="1"/>
      </right>
      <top style="thick">
        <color indexed="64"/>
      </top>
      <bottom style="thick">
        <color auto="1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ck">
        <color auto="1"/>
      </top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/>
      <diagonal/>
    </border>
    <border>
      <left style="medium">
        <color indexed="64"/>
      </left>
      <right style="thick">
        <color auto="1"/>
      </right>
      <top/>
      <bottom/>
      <diagonal/>
    </border>
    <border>
      <left style="medium">
        <color indexed="64"/>
      </left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medium">
        <color indexed="64"/>
      </left>
      <right style="thick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ck">
        <color auto="1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indexed="64"/>
      </left>
      <right style="thick">
        <color auto="1"/>
      </right>
      <top style="thick">
        <color indexed="64"/>
      </top>
      <bottom/>
      <diagonal/>
    </border>
    <border>
      <left style="thin">
        <color indexed="64"/>
      </left>
      <right style="thick">
        <color auto="1"/>
      </right>
      <top/>
      <bottom style="thick">
        <color indexed="64"/>
      </bottom>
      <diagonal/>
    </border>
    <border>
      <left style="thin">
        <color indexed="64"/>
      </left>
      <right style="thick">
        <color auto="1"/>
      </right>
      <top style="medium">
        <color indexed="64"/>
      </top>
      <bottom/>
      <diagonal/>
    </border>
    <border>
      <left style="thin">
        <color indexed="64"/>
      </left>
      <right style="thick">
        <color auto="1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</borders>
  <cellStyleXfs count="2">
    <xf numFmtId="0" fontId="0" fillId="0" borderId="0"/>
    <xf numFmtId="9" fontId="22" fillId="0" borderId="0" applyFont="0" applyFill="0" applyBorder="0" applyAlignment="0" applyProtection="0"/>
  </cellStyleXfs>
  <cellXfs count="568">
    <xf numFmtId="0" fontId="0" fillId="0" borderId="0" xfId="0"/>
    <xf numFmtId="0" fontId="13" fillId="0" borderId="0" xfId="0" applyFont="1" applyAlignment="1">
      <alignment horizontal="center" vertical="center"/>
    </xf>
    <xf numFmtId="0" fontId="13" fillId="0" borderId="35" xfId="0" applyFont="1" applyBorder="1" applyAlignment="1">
      <alignment vertical="center"/>
    </xf>
    <xf numFmtId="0" fontId="13" fillId="0" borderId="69" xfId="0" applyFont="1" applyBorder="1" applyAlignment="1">
      <alignment horizontal="center" vertical="center"/>
    </xf>
    <xf numFmtId="0" fontId="13" fillId="0" borderId="59" xfId="0" applyFont="1" applyBorder="1" applyAlignment="1">
      <alignment vertical="center"/>
    </xf>
    <xf numFmtId="0" fontId="13" fillId="0" borderId="61" xfId="0" applyFont="1" applyBorder="1" applyAlignment="1">
      <alignment vertical="center"/>
    </xf>
    <xf numFmtId="0" fontId="13" fillId="0" borderId="56" xfId="0" applyFont="1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99" xfId="0" applyFont="1" applyBorder="1" applyAlignment="1">
      <alignment vertical="center"/>
    </xf>
    <xf numFmtId="0" fontId="13" fillId="0" borderId="49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3" fillId="0" borderId="72" xfId="0" applyFont="1" applyBorder="1" applyAlignment="1">
      <alignment horizontal="center" vertical="center"/>
    </xf>
    <xf numFmtId="0" fontId="13" fillId="0" borderId="70" xfId="0" applyFont="1" applyBorder="1" applyAlignment="1">
      <alignment horizontal="center" vertical="center"/>
    </xf>
    <xf numFmtId="0" fontId="9" fillId="0" borderId="128" xfId="0" applyFont="1" applyBorder="1" applyAlignment="1">
      <alignment horizontal="center" vertical="center"/>
    </xf>
    <xf numFmtId="0" fontId="20" fillId="0" borderId="108" xfId="0" applyFont="1" applyBorder="1" applyAlignment="1">
      <alignment horizontal="center" vertical="center" wrapText="1"/>
    </xf>
    <xf numFmtId="0" fontId="20" fillId="0" borderId="131" xfId="0" applyFont="1" applyBorder="1" applyAlignment="1">
      <alignment horizontal="center" vertical="center" wrapText="1"/>
    </xf>
    <xf numFmtId="0" fontId="25" fillId="2" borderId="11" xfId="0" applyFont="1" applyFill="1" applyBorder="1" applyAlignment="1">
      <alignment horizontal="center" vertical="center"/>
    </xf>
    <xf numFmtId="0" fontId="25" fillId="2" borderId="14" xfId="0" applyFont="1" applyFill="1" applyBorder="1" applyAlignment="1">
      <alignment horizontal="center" vertical="center"/>
    </xf>
    <xf numFmtId="0" fontId="25" fillId="2" borderId="54" xfId="0" applyFont="1" applyFill="1" applyBorder="1" applyAlignment="1">
      <alignment horizontal="center" vertical="center"/>
    </xf>
    <xf numFmtId="0" fontId="25" fillId="2" borderId="55" xfId="0" applyFont="1" applyFill="1" applyBorder="1" applyAlignment="1">
      <alignment horizontal="center" vertical="center"/>
    </xf>
    <xf numFmtId="0" fontId="11" fillId="0" borderId="49" xfId="0" applyFont="1" applyBorder="1" applyAlignment="1">
      <alignment horizontal="center" vertical="center" wrapText="1" readingOrder="2"/>
    </xf>
    <xf numFmtId="0" fontId="21" fillId="0" borderId="69" xfId="0" applyFont="1" applyBorder="1" applyAlignment="1">
      <alignment horizontal="center" vertical="center" wrapText="1" readingOrder="2"/>
    </xf>
    <xf numFmtId="0" fontId="13" fillId="0" borderId="74" xfId="0" applyFont="1" applyBorder="1" applyAlignment="1">
      <alignment horizontal="center" vertical="center" wrapText="1" readingOrder="2"/>
    </xf>
    <xf numFmtId="0" fontId="18" fillId="0" borderId="99" xfId="0" applyFont="1" applyFill="1" applyBorder="1" applyAlignment="1">
      <alignment horizontal="center" vertical="center" wrapText="1"/>
    </xf>
    <xf numFmtId="0" fontId="13" fillId="0" borderId="132" xfId="0" applyFont="1" applyBorder="1" applyAlignment="1">
      <alignment vertical="center"/>
    </xf>
    <xf numFmtId="0" fontId="13" fillId="2" borderId="119" xfId="0" applyFont="1" applyFill="1" applyBorder="1" applyAlignment="1">
      <alignment horizontal="center" vertical="center"/>
    </xf>
    <xf numFmtId="0" fontId="21" fillId="2" borderId="74" xfId="0" applyFont="1" applyFill="1" applyBorder="1" applyAlignment="1">
      <alignment horizontal="center" vertical="center"/>
    </xf>
    <xf numFmtId="0" fontId="21" fillId="0" borderId="30" xfId="0" applyFont="1" applyBorder="1" applyAlignment="1">
      <alignment horizontal="center" vertical="center" wrapText="1"/>
    </xf>
    <xf numFmtId="0" fontId="13" fillId="2" borderId="109" xfId="0" applyFont="1" applyFill="1" applyBorder="1" applyAlignment="1">
      <alignment horizontal="center" vertical="center"/>
    </xf>
    <xf numFmtId="0" fontId="20" fillId="2" borderId="70" xfId="0" applyFont="1" applyFill="1" applyBorder="1" applyAlignment="1">
      <alignment horizontal="center" vertical="center" wrapText="1"/>
    </xf>
    <xf numFmtId="0" fontId="16" fillId="0" borderId="25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right" vertical="center" wrapText="1"/>
    </xf>
    <xf numFmtId="0" fontId="13" fillId="0" borderId="70" xfId="0" applyFont="1" applyBorder="1" applyAlignment="1">
      <alignment horizontal="center" vertical="center" wrapText="1"/>
    </xf>
    <xf numFmtId="0" fontId="13" fillId="0" borderId="99" xfId="0" applyFont="1" applyBorder="1" applyAlignment="1">
      <alignment vertical="center" wrapText="1"/>
    </xf>
    <xf numFmtId="0" fontId="13" fillId="0" borderId="48" xfId="0" applyFont="1" applyBorder="1" applyAlignment="1">
      <alignment horizontal="center" vertical="center"/>
    </xf>
    <xf numFmtId="0" fontId="16" fillId="0" borderId="137" xfId="0" applyFont="1" applyBorder="1" applyAlignment="1">
      <alignment horizontal="center" vertical="center"/>
    </xf>
    <xf numFmtId="0" fontId="16" fillId="0" borderId="92" xfId="0" applyFont="1" applyBorder="1" applyAlignment="1">
      <alignment horizontal="center" vertical="center"/>
    </xf>
    <xf numFmtId="0" fontId="13" fillId="0" borderId="73" xfId="0" applyFont="1" applyBorder="1" applyAlignment="1">
      <alignment horizontal="center" vertical="center"/>
    </xf>
    <xf numFmtId="0" fontId="26" fillId="0" borderId="70" xfId="0" applyFont="1" applyBorder="1" applyAlignment="1">
      <alignment horizontal="center" vertical="center" wrapText="1"/>
    </xf>
    <xf numFmtId="0" fontId="9" fillId="2" borderId="88" xfId="0" applyFont="1" applyFill="1" applyBorder="1" applyAlignment="1">
      <alignment horizontal="center" vertical="center"/>
    </xf>
    <xf numFmtId="0" fontId="9" fillId="2" borderId="129" xfId="0" applyFont="1" applyFill="1" applyBorder="1" applyAlignment="1">
      <alignment horizontal="center" vertical="center"/>
    </xf>
    <xf numFmtId="0" fontId="9" fillId="2" borderId="128" xfId="0" applyFont="1" applyFill="1" applyBorder="1" applyAlignment="1">
      <alignment horizontal="center" vertical="center"/>
    </xf>
    <xf numFmtId="0" fontId="8" fillId="0" borderId="111" xfId="0" applyFont="1" applyBorder="1" applyAlignment="1">
      <alignment horizontal="center" vertical="center"/>
    </xf>
    <xf numFmtId="0" fontId="13" fillId="0" borderId="133" xfId="0" applyFont="1" applyBorder="1" applyAlignment="1">
      <alignment vertical="center" textRotation="90" wrapText="1"/>
    </xf>
    <xf numFmtId="0" fontId="13" fillId="0" borderId="0" xfId="0" applyFont="1" applyAlignment="1">
      <alignment horizontal="center" vertical="center" wrapText="1"/>
    </xf>
    <xf numFmtId="0" fontId="20" fillId="2" borderId="30" xfId="0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20" fillId="2" borderId="108" xfId="0" applyFont="1" applyFill="1" applyBorder="1" applyAlignment="1">
      <alignment horizontal="center" vertical="center" wrapText="1"/>
    </xf>
    <xf numFmtId="0" fontId="21" fillId="0" borderId="79" xfId="0" applyFont="1" applyBorder="1" applyAlignment="1">
      <alignment horizontal="center" vertical="center"/>
    </xf>
    <xf numFmtId="0" fontId="21" fillId="0" borderId="130" xfId="0" applyFont="1" applyBorder="1" applyAlignment="1">
      <alignment horizontal="center" vertical="center" wrapText="1"/>
    </xf>
    <xf numFmtId="0" fontId="21" fillId="0" borderId="73" xfId="0" applyFont="1" applyBorder="1" applyAlignment="1">
      <alignment horizontal="center" vertical="center"/>
    </xf>
    <xf numFmtId="0" fontId="13" fillId="2" borderId="33" xfId="0" applyFont="1" applyFill="1" applyBorder="1" applyAlignment="1">
      <alignment horizontal="center" vertical="center"/>
    </xf>
    <xf numFmtId="0" fontId="21" fillId="2" borderId="110" xfId="0" applyFont="1" applyFill="1" applyBorder="1" applyAlignment="1">
      <alignment horizontal="center" vertical="center"/>
    </xf>
    <xf numFmtId="0" fontId="26" fillId="2" borderId="73" xfId="0" applyFont="1" applyFill="1" applyBorder="1" applyAlignment="1">
      <alignment horizontal="center" vertical="center" wrapText="1"/>
    </xf>
    <xf numFmtId="0" fontId="21" fillId="2" borderId="85" xfId="0" applyFont="1" applyFill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/>
    </xf>
    <xf numFmtId="0" fontId="13" fillId="0" borderId="118" xfId="0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13" fillId="0" borderId="110" xfId="0" applyFont="1" applyBorder="1" applyAlignment="1">
      <alignment horizontal="center" vertical="center"/>
    </xf>
    <xf numFmtId="0" fontId="21" fillId="0" borderId="60" xfId="0" applyFont="1" applyBorder="1" applyAlignment="1">
      <alignment horizontal="center" vertical="center" wrapText="1"/>
    </xf>
    <xf numFmtId="0" fontId="13" fillId="0" borderId="68" xfId="0" applyFont="1" applyBorder="1" applyAlignment="1">
      <alignment horizontal="center" vertical="center"/>
    </xf>
    <xf numFmtId="0" fontId="13" fillId="0" borderId="99" xfId="0" applyFont="1" applyBorder="1" applyAlignment="1">
      <alignment horizontal="center" vertical="center"/>
    </xf>
    <xf numFmtId="0" fontId="13" fillId="0" borderId="75" xfId="0" applyFont="1" applyBorder="1" applyAlignment="1">
      <alignment horizontal="center" vertical="center" wrapText="1"/>
    </xf>
    <xf numFmtId="0" fontId="13" fillId="0" borderId="72" xfId="0" applyFont="1" applyBorder="1" applyAlignment="1">
      <alignment horizontal="center" vertical="center" wrapText="1"/>
    </xf>
    <xf numFmtId="0" fontId="13" fillId="2" borderId="120" xfId="0" applyFont="1" applyFill="1" applyBorder="1" applyAlignment="1">
      <alignment horizontal="center" vertical="center"/>
    </xf>
    <xf numFmtId="0" fontId="21" fillId="2" borderId="70" xfId="0" applyFont="1" applyFill="1" applyBorder="1" applyAlignment="1">
      <alignment horizontal="center" vertical="center"/>
    </xf>
    <xf numFmtId="0" fontId="13" fillId="2" borderId="70" xfId="0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vertical="center" wrapText="1" readingOrder="2"/>
    </xf>
    <xf numFmtId="0" fontId="13" fillId="2" borderId="74" xfId="0" applyFont="1" applyFill="1" applyBorder="1" applyAlignment="1">
      <alignment vertical="center" wrapText="1" readingOrder="2"/>
    </xf>
    <xf numFmtId="0" fontId="13" fillId="2" borderId="79" xfId="0" applyFont="1" applyFill="1" applyBorder="1" applyAlignment="1">
      <alignment horizontal="center" vertical="center" wrapText="1" readingOrder="2"/>
    </xf>
    <xf numFmtId="0" fontId="20" fillId="2" borderId="75" xfId="0" applyFont="1" applyFill="1" applyBorder="1" applyAlignment="1">
      <alignment horizontal="center" vertical="center" wrapText="1"/>
    </xf>
    <xf numFmtId="0" fontId="13" fillId="2" borderId="111" xfId="0" applyFont="1" applyFill="1" applyBorder="1" applyAlignment="1">
      <alignment horizontal="center" vertical="center"/>
    </xf>
    <xf numFmtId="0" fontId="21" fillId="0" borderId="79" xfId="0" applyFont="1" applyBorder="1" applyAlignment="1">
      <alignment horizontal="center" vertical="center" wrapText="1" readingOrder="2"/>
    </xf>
    <xf numFmtId="0" fontId="4" fillId="0" borderId="126" xfId="0" applyFont="1" applyBorder="1" applyAlignment="1">
      <alignment horizontal="center" vertical="center" wrapText="1" readingOrder="2"/>
    </xf>
    <xf numFmtId="0" fontId="4" fillId="2" borderId="111" xfId="0" applyFont="1" applyFill="1" applyBorder="1" applyAlignment="1">
      <alignment horizontal="center" vertical="center" wrapText="1" readingOrder="2"/>
    </xf>
    <xf numFmtId="0" fontId="13" fillId="2" borderId="72" xfId="0" applyFont="1" applyFill="1" applyBorder="1" applyAlignment="1">
      <alignment vertical="center" wrapText="1" readingOrder="2"/>
    </xf>
    <xf numFmtId="0" fontId="7" fillId="2" borderId="43" xfId="0" applyFont="1" applyFill="1" applyBorder="1" applyAlignment="1">
      <alignment horizontal="center" vertical="center" wrapText="1" readingOrder="2"/>
    </xf>
    <xf numFmtId="0" fontId="4" fillId="2" borderId="120" xfId="0" applyFont="1" applyFill="1" applyBorder="1" applyAlignment="1">
      <alignment horizontal="center" vertical="center" wrapText="1" readingOrder="2"/>
    </xf>
    <xf numFmtId="0" fontId="13" fillId="0" borderId="43" xfId="0" applyNumberFormat="1" applyFont="1" applyBorder="1" applyAlignment="1">
      <alignment horizontal="center" vertical="center"/>
    </xf>
    <xf numFmtId="0" fontId="27" fillId="0" borderId="20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27" fillId="0" borderId="47" xfId="0" applyFont="1" applyBorder="1" applyAlignment="1">
      <alignment horizontal="center" vertical="center" wrapText="1"/>
    </xf>
    <xf numFmtId="0" fontId="27" fillId="0" borderId="36" xfId="0" applyFont="1" applyBorder="1" applyAlignment="1">
      <alignment horizontal="center" vertical="center" wrapText="1"/>
    </xf>
    <xf numFmtId="0" fontId="27" fillId="0" borderId="63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/>
    </xf>
    <xf numFmtId="0" fontId="3" fillId="0" borderId="120" xfId="0" applyFont="1" applyBorder="1" applyAlignment="1">
      <alignment horizontal="center" vertical="center"/>
    </xf>
    <xf numFmtId="0" fontId="13" fillId="0" borderId="132" xfId="0" applyFont="1" applyBorder="1" applyAlignment="1">
      <alignment horizontal="center" vertical="center"/>
    </xf>
    <xf numFmtId="0" fontId="21" fillId="2" borderId="85" xfId="0" applyFont="1" applyFill="1" applyBorder="1" applyAlignment="1">
      <alignment horizontal="center" vertical="center" wrapText="1"/>
    </xf>
    <xf numFmtId="0" fontId="2" fillId="0" borderId="109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18" xfId="0" applyFont="1" applyBorder="1" applyAlignment="1">
      <alignment horizontal="center" vertical="center"/>
    </xf>
    <xf numFmtId="0" fontId="27" fillId="2" borderId="61" xfId="0" applyFont="1" applyFill="1" applyBorder="1" applyAlignment="1">
      <alignment horizontal="center" vertical="center" wrapText="1" readingOrder="2"/>
    </xf>
    <xf numFmtId="0" fontId="30" fillId="2" borderId="5" xfId="0" applyFont="1" applyFill="1" applyBorder="1" applyAlignment="1">
      <alignment horizontal="center" vertical="center" wrapText="1" readingOrder="2"/>
    </xf>
    <xf numFmtId="0" fontId="27" fillId="2" borderId="5" xfId="0" applyFont="1" applyFill="1" applyBorder="1" applyAlignment="1">
      <alignment horizontal="center" vertical="center" wrapText="1" readingOrder="2"/>
    </xf>
    <xf numFmtId="0" fontId="27" fillId="2" borderId="98" xfId="0" applyFont="1" applyFill="1" applyBorder="1" applyAlignment="1">
      <alignment horizontal="center" vertical="center" wrapText="1" readingOrder="2"/>
    </xf>
    <xf numFmtId="0" fontId="27" fillId="0" borderId="5" xfId="0" applyFont="1" applyBorder="1" applyAlignment="1">
      <alignment horizontal="center" vertical="center" wrapText="1" readingOrder="2"/>
    </xf>
    <xf numFmtId="0" fontId="30" fillId="2" borderId="98" xfId="0" applyFont="1" applyFill="1" applyBorder="1" applyAlignment="1">
      <alignment horizontal="center" vertical="center" wrapText="1" readingOrder="2"/>
    </xf>
    <xf numFmtId="0" fontId="20" fillId="2" borderId="76" xfId="0" applyFont="1" applyFill="1" applyBorder="1" applyAlignment="1">
      <alignment horizontal="center" vertical="center" wrapText="1"/>
    </xf>
    <xf numFmtId="0" fontId="20" fillId="2" borderId="70" xfId="0" applyFont="1" applyFill="1" applyBorder="1" applyAlignment="1">
      <alignment vertical="center" wrapText="1" readingOrder="2"/>
    </xf>
    <xf numFmtId="0" fontId="20" fillId="2" borderId="111" xfId="0" applyFont="1" applyFill="1" applyBorder="1" applyAlignment="1">
      <alignment vertical="center" wrapText="1" readingOrder="2"/>
    </xf>
    <xf numFmtId="0" fontId="31" fillId="0" borderId="24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 readingOrder="2"/>
    </xf>
    <xf numFmtId="0" fontId="1" fillId="2" borderId="109" xfId="0" applyFont="1" applyFill="1" applyBorder="1" applyAlignment="1">
      <alignment horizontal="center" vertical="center" wrapText="1" readingOrder="2"/>
    </xf>
    <xf numFmtId="10" fontId="31" fillId="0" borderId="24" xfId="0" applyNumberFormat="1" applyFont="1" applyBorder="1" applyAlignment="1">
      <alignment horizontal="center" vertical="center" wrapText="1"/>
    </xf>
    <xf numFmtId="0" fontId="13" fillId="0" borderId="112" xfId="0" applyFont="1" applyBorder="1" applyAlignment="1">
      <alignment horizontal="center" vertical="center"/>
    </xf>
    <xf numFmtId="0" fontId="13" fillId="0" borderId="113" xfId="0" applyFont="1" applyBorder="1" applyAlignment="1">
      <alignment horizontal="center" vertical="center"/>
    </xf>
    <xf numFmtId="0" fontId="15" fillId="0" borderId="52" xfId="0" applyFont="1" applyBorder="1" applyAlignment="1">
      <alignment horizontal="center" vertical="center" wrapText="1" readingOrder="2"/>
    </xf>
    <xf numFmtId="0" fontId="15" fillId="0" borderId="0" xfId="0" applyFont="1" applyBorder="1" applyAlignment="1">
      <alignment horizontal="center" vertical="center" wrapText="1" readingOrder="2"/>
    </xf>
    <xf numFmtId="0" fontId="15" fillId="0" borderId="17" xfId="0" applyFont="1" applyBorder="1" applyAlignment="1">
      <alignment horizontal="center" vertical="center" wrapText="1" readingOrder="2"/>
    </xf>
    <xf numFmtId="0" fontId="16" fillId="0" borderId="91" xfId="0" applyFont="1" applyBorder="1" applyAlignment="1">
      <alignment horizontal="center" vertical="center" wrapText="1" readingOrder="2"/>
    </xf>
    <xf numFmtId="0" fontId="16" fillId="0" borderId="39" xfId="0" applyFont="1" applyBorder="1" applyAlignment="1">
      <alignment horizontal="center" vertical="center" wrapText="1" readingOrder="2"/>
    </xf>
    <xf numFmtId="0" fontId="16" fillId="0" borderId="64" xfId="0" applyFont="1" applyBorder="1" applyAlignment="1">
      <alignment horizontal="center" vertical="center" wrapText="1" readingOrder="2"/>
    </xf>
    <xf numFmtId="0" fontId="13" fillId="0" borderId="114" xfId="0" applyFont="1" applyBorder="1" applyAlignment="1">
      <alignment horizontal="center" vertical="center"/>
    </xf>
    <xf numFmtId="0" fontId="15" fillId="0" borderId="95" xfId="0" applyFont="1" applyBorder="1" applyAlignment="1">
      <alignment horizontal="center" vertical="center" wrapText="1" readingOrder="2"/>
    </xf>
    <xf numFmtId="0" fontId="15" fillId="0" borderId="53" xfId="0" applyFont="1" applyBorder="1" applyAlignment="1">
      <alignment horizontal="center" vertical="center" wrapText="1" readingOrder="2"/>
    </xf>
    <xf numFmtId="0" fontId="15" fillId="0" borderId="60" xfId="0" applyFont="1" applyBorder="1" applyAlignment="1">
      <alignment horizontal="center" vertical="center" wrapText="1" readingOrder="2"/>
    </xf>
    <xf numFmtId="0" fontId="15" fillId="0" borderId="27" xfId="0" applyFont="1" applyBorder="1" applyAlignment="1">
      <alignment horizontal="center" vertical="center" wrapText="1" readingOrder="2"/>
    </xf>
    <xf numFmtId="0" fontId="15" fillId="0" borderId="9" xfId="0" applyFont="1" applyBorder="1" applyAlignment="1">
      <alignment horizontal="center" vertical="center" wrapText="1" readingOrder="2"/>
    </xf>
    <xf numFmtId="0" fontId="15" fillId="0" borderId="5" xfId="0" applyFont="1" applyBorder="1" applyAlignment="1">
      <alignment horizontal="center" vertical="center" wrapText="1" readingOrder="2"/>
    </xf>
    <xf numFmtId="0" fontId="16" fillId="0" borderId="18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4" fillId="0" borderId="65" xfId="0" applyFont="1" applyBorder="1" applyAlignment="1">
      <alignment horizontal="center" vertical="center" wrapText="1"/>
    </xf>
    <xf numFmtId="0" fontId="14" fillId="0" borderId="57" xfId="0" applyFont="1" applyBorder="1" applyAlignment="1">
      <alignment horizontal="center" vertical="center" wrapText="1"/>
    </xf>
    <xf numFmtId="0" fontId="14" fillId="0" borderId="103" xfId="0" applyFont="1" applyBorder="1" applyAlignment="1">
      <alignment horizontal="center" vertical="center" wrapText="1"/>
    </xf>
    <xf numFmtId="0" fontId="14" fillId="0" borderId="122" xfId="0" applyFont="1" applyBorder="1" applyAlignment="1">
      <alignment horizontal="center" vertical="center" wrapText="1"/>
    </xf>
    <xf numFmtId="0" fontId="15" fillId="0" borderId="82" xfId="0" applyFont="1" applyBorder="1" applyAlignment="1">
      <alignment horizontal="center" vertical="center" wrapText="1" readingOrder="2"/>
    </xf>
    <xf numFmtId="0" fontId="15" fillId="0" borderId="48" xfId="0" applyFont="1" applyBorder="1" applyAlignment="1">
      <alignment horizontal="center" vertical="center" wrapText="1" readingOrder="2"/>
    </xf>
    <xf numFmtId="0" fontId="15" fillId="0" borderId="94" xfId="0" applyFont="1" applyBorder="1" applyAlignment="1">
      <alignment horizontal="center" vertical="center" wrapText="1" readingOrder="2"/>
    </xf>
    <xf numFmtId="0" fontId="15" fillId="0" borderId="58" xfId="0" applyFont="1" applyBorder="1" applyAlignment="1">
      <alignment horizontal="center" vertical="center" wrapText="1" readingOrder="2"/>
    </xf>
    <xf numFmtId="0" fontId="15" fillId="0" borderId="56" xfId="0" applyFont="1" applyBorder="1" applyAlignment="1">
      <alignment horizontal="center" vertical="center" wrapText="1" readingOrder="2"/>
    </xf>
    <xf numFmtId="0" fontId="23" fillId="0" borderId="18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 wrapText="1"/>
    </xf>
    <xf numFmtId="0" fontId="23" fillId="0" borderId="38" xfId="0" applyFont="1" applyBorder="1" applyAlignment="1">
      <alignment horizontal="center" vertical="center" wrapText="1"/>
    </xf>
    <xf numFmtId="0" fontId="23" fillId="0" borderId="39" xfId="0" applyFont="1" applyBorder="1" applyAlignment="1">
      <alignment horizontal="center" vertical="center" wrapText="1"/>
    </xf>
    <xf numFmtId="0" fontId="23" fillId="0" borderId="64" xfId="0" applyFont="1" applyBorder="1" applyAlignment="1">
      <alignment horizontal="center" vertical="center" wrapText="1"/>
    </xf>
    <xf numFmtId="0" fontId="15" fillId="0" borderId="28" xfId="0" applyFont="1" applyBorder="1" applyAlignment="1">
      <alignment horizontal="center" vertical="center" wrapText="1"/>
    </xf>
    <xf numFmtId="0" fontId="15" fillId="0" borderId="30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6" fillId="2" borderId="18" xfId="0" applyFont="1" applyFill="1" applyBorder="1" applyAlignment="1">
      <alignment horizontal="center" vertical="center" wrapText="1"/>
    </xf>
    <xf numFmtId="0" fontId="16" fillId="2" borderId="20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17" fillId="0" borderId="32" xfId="0" applyFont="1" applyBorder="1" applyAlignment="1">
      <alignment horizontal="right" vertical="top" wrapText="1"/>
    </xf>
    <xf numFmtId="0" fontId="17" fillId="0" borderId="29" xfId="0" applyFont="1" applyBorder="1" applyAlignment="1">
      <alignment horizontal="right" vertical="top"/>
    </xf>
    <xf numFmtId="0" fontId="17" fillId="0" borderId="121" xfId="0" applyFont="1" applyBorder="1" applyAlignment="1">
      <alignment horizontal="right" vertical="top"/>
    </xf>
    <xf numFmtId="0" fontId="17" fillId="0" borderId="52" xfId="0" applyFont="1" applyBorder="1" applyAlignment="1">
      <alignment horizontal="right" vertical="top"/>
    </xf>
    <xf numFmtId="0" fontId="17" fillId="0" borderId="0" xfId="0" applyFont="1" applyBorder="1" applyAlignment="1">
      <alignment horizontal="right" vertical="top"/>
    </xf>
    <xf numFmtId="0" fontId="17" fillId="0" borderId="37" xfId="0" applyFont="1" applyBorder="1" applyAlignment="1">
      <alignment horizontal="right" vertical="top"/>
    </xf>
    <xf numFmtId="0" fontId="17" fillId="0" borderId="57" xfId="0" applyFont="1" applyBorder="1" applyAlignment="1">
      <alignment horizontal="right" vertical="top"/>
    </xf>
    <xf numFmtId="0" fontId="17" fillId="0" borderId="21" xfId="0" applyFont="1" applyBorder="1" applyAlignment="1">
      <alignment horizontal="right" vertical="top"/>
    </xf>
    <xf numFmtId="0" fontId="17" fillId="0" borderId="116" xfId="0" applyFont="1" applyBorder="1" applyAlignment="1">
      <alignment horizontal="right" vertical="top"/>
    </xf>
    <xf numFmtId="0" fontId="13" fillId="2" borderId="140" xfId="0" applyFont="1" applyFill="1" applyBorder="1" applyAlignment="1">
      <alignment horizontal="center" vertical="center"/>
    </xf>
    <xf numFmtId="0" fontId="13" fillId="2" borderId="100" xfId="0" applyFont="1" applyFill="1" applyBorder="1" applyAlignment="1">
      <alignment horizontal="center" vertical="center"/>
    </xf>
    <xf numFmtId="0" fontId="13" fillId="2" borderId="141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 wrapText="1"/>
    </xf>
    <xf numFmtId="0" fontId="13" fillId="0" borderId="89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81" xfId="0" applyFont="1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 wrapText="1"/>
    </xf>
    <xf numFmtId="0" fontId="15" fillId="0" borderId="29" xfId="0" applyFont="1" applyBorder="1" applyAlignment="1">
      <alignment horizontal="center" vertical="center" wrapText="1"/>
    </xf>
    <xf numFmtId="0" fontId="15" fillId="0" borderId="89" xfId="0" applyFont="1" applyBorder="1" applyAlignment="1">
      <alignment horizontal="center" vertical="center" wrapText="1"/>
    </xf>
    <xf numFmtId="0" fontId="15" fillId="0" borderId="52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0" borderId="45" xfId="0" applyFont="1" applyBorder="1" applyAlignment="1">
      <alignment horizontal="center" vertical="center" wrapText="1"/>
    </xf>
    <xf numFmtId="0" fontId="15" fillId="0" borderId="57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15" fillId="0" borderId="81" xfId="0" applyFont="1" applyBorder="1" applyAlignment="1">
      <alignment horizontal="center" vertical="center" wrapText="1"/>
    </xf>
    <xf numFmtId="0" fontId="13" fillId="0" borderId="80" xfId="0" applyFont="1" applyBorder="1" applyAlignment="1">
      <alignment horizontal="center" vertical="center" wrapText="1" readingOrder="2"/>
    </xf>
    <xf numFmtId="0" fontId="13" fillId="0" borderId="66" xfId="0" applyFont="1" applyBorder="1" applyAlignment="1">
      <alignment horizontal="center" vertical="center" wrapText="1" readingOrder="2"/>
    </xf>
    <xf numFmtId="0" fontId="13" fillId="0" borderId="36" xfId="0" applyFont="1" applyBorder="1" applyAlignment="1">
      <alignment horizontal="center" vertical="center" wrapText="1" readingOrder="2"/>
    </xf>
    <xf numFmtId="0" fontId="13" fillId="0" borderId="116" xfId="0" applyFont="1" applyBorder="1" applyAlignment="1">
      <alignment horizontal="center" vertical="center" wrapText="1" readingOrder="2"/>
    </xf>
    <xf numFmtId="0" fontId="16" fillId="0" borderId="65" xfId="0" applyFont="1" applyBorder="1" applyAlignment="1">
      <alignment horizontal="center" vertical="center" wrapText="1" readingOrder="2"/>
    </xf>
    <xf numFmtId="0" fontId="16" fillId="0" borderId="19" xfId="0" applyFont="1" applyBorder="1" applyAlignment="1">
      <alignment horizontal="center" vertical="center" wrapText="1" readingOrder="2"/>
    </xf>
    <xf numFmtId="0" fontId="16" fillId="0" borderId="44" xfId="0" applyFont="1" applyBorder="1" applyAlignment="1">
      <alignment horizontal="center" vertical="center" wrapText="1" readingOrder="2"/>
    </xf>
    <xf numFmtId="0" fontId="16" fillId="0" borderId="57" xfId="0" applyFont="1" applyBorder="1" applyAlignment="1">
      <alignment horizontal="center" vertical="center" wrapText="1" readingOrder="2"/>
    </xf>
    <xf numFmtId="0" fontId="16" fillId="0" borderId="21" xfId="0" applyFont="1" applyBorder="1" applyAlignment="1">
      <alignment horizontal="center" vertical="center" wrapText="1" readingOrder="2"/>
    </xf>
    <xf numFmtId="0" fontId="16" fillId="0" borderId="81" xfId="0" applyFont="1" applyBorder="1" applyAlignment="1">
      <alignment horizontal="center" vertical="center" wrapText="1" readingOrder="2"/>
    </xf>
    <xf numFmtId="0" fontId="14" fillId="0" borderId="138" xfId="0" applyFont="1" applyBorder="1" applyAlignment="1">
      <alignment horizontal="center" vertical="center" wrapText="1"/>
    </xf>
    <xf numFmtId="0" fontId="14" fillId="0" borderId="139" xfId="0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 wrapText="1"/>
    </xf>
    <xf numFmtId="0" fontId="14" fillId="0" borderId="63" xfId="0" applyFont="1" applyBorder="1" applyAlignment="1">
      <alignment horizontal="center" vertical="center" wrapText="1"/>
    </xf>
    <xf numFmtId="0" fontId="14" fillId="0" borderId="101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16" fillId="0" borderId="121" xfId="0" applyFont="1" applyBorder="1" applyAlignment="1">
      <alignment horizontal="center" vertical="center" wrapText="1" readingOrder="2"/>
    </xf>
    <xf numFmtId="0" fontId="16" fillId="0" borderId="37" xfId="0" applyFont="1" applyBorder="1" applyAlignment="1">
      <alignment horizontal="center" vertical="center" wrapText="1" readingOrder="2"/>
    </xf>
    <xf numFmtId="0" fontId="16" fillId="0" borderId="116" xfId="0" applyFont="1" applyBorder="1" applyAlignment="1">
      <alignment horizontal="center" vertical="center" wrapText="1" readingOrder="2"/>
    </xf>
    <xf numFmtId="0" fontId="13" fillId="0" borderId="90" xfId="0" applyFont="1" applyBorder="1" applyAlignment="1">
      <alignment horizontal="center" vertical="center" wrapText="1" readingOrder="2"/>
    </xf>
    <xf numFmtId="0" fontId="13" fillId="0" borderId="13" xfId="0" applyFont="1" applyBorder="1" applyAlignment="1">
      <alignment horizontal="center" vertical="center" wrapText="1" readingOrder="2"/>
    </xf>
    <xf numFmtId="0" fontId="16" fillId="0" borderId="40" xfId="0" applyFont="1" applyBorder="1" applyAlignment="1">
      <alignment horizontal="center" vertical="center" wrapText="1" readingOrder="2"/>
    </xf>
    <xf numFmtId="0" fontId="13" fillId="0" borderId="62" xfId="0" applyFont="1" applyBorder="1" applyAlignment="1">
      <alignment horizontal="center" vertical="center" wrapText="1" readingOrder="2"/>
    </xf>
    <xf numFmtId="0" fontId="13" fillId="0" borderId="28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15" fillId="0" borderId="38" xfId="0" applyFont="1" applyBorder="1" applyAlignment="1">
      <alignment horizontal="center" vertical="center" wrapText="1"/>
    </xf>
    <xf numFmtId="0" fontId="15" fillId="0" borderId="64" xfId="0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 readingOrder="2"/>
    </xf>
    <xf numFmtId="0" fontId="17" fillId="0" borderId="29" xfId="0" applyFont="1" applyBorder="1" applyAlignment="1">
      <alignment horizontal="center" vertical="center" wrapText="1" readingOrder="2"/>
    </xf>
    <xf numFmtId="0" fontId="17" fillId="0" borderId="89" xfId="0" applyFont="1" applyBorder="1" applyAlignment="1">
      <alignment horizontal="center" vertical="center" wrapText="1" readingOrder="2"/>
    </xf>
    <xf numFmtId="0" fontId="17" fillId="0" borderId="52" xfId="0" applyFont="1" applyBorder="1" applyAlignment="1">
      <alignment horizontal="center" vertical="center" wrapText="1" readingOrder="2"/>
    </xf>
    <xf numFmtId="0" fontId="17" fillId="0" borderId="0" xfId="0" applyFont="1" applyBorder="1" applyAlignment="1">
      <alignment horizontal="center" vertical="center" wrapText="1" readingOrder="2"/>
    </xf>
    <xf numFmtId="0" fontId="17" fillId="0" borderId="45" xfId="0" applyFont="1" applyBorder="1" applyAlignment="1">
      <alignment horizontal="center" vertical="center" wrapText="1" readingOrder="2"/>
    </xf>
    <xf numFmtId="0" fontId="17" fillId="0" borderId="57" xfId="0" applyFont="1" applyBorder="1" applyAlignment="1">
      <alignment horizontal="center" vertical="center" wrapText="1" readingOrder="2"/>
    </xf>
    <xf numFmtId="0" fontId="17" fillId="0" borderId="21" xfId="0" applyFont="1" applyBorder="1" applyAlignment="1">
      <alignment horizontal="center" vertical="center" wrapText="1" readingOrder="2"/>
    </xf>
    <xf numFmtId="0" fontId="17" fillId="0" borderId="81" xfId="0" applyFont="1" applyBorder="1" applyAlignment="1">
      <alignment horizontal="center" vertical="center" wrapText="1" readingOrder="2"/>
    </xf>
    <xf numFmtId="0" fontId="17" fillId="0" borderId="91" xfId="0" applyFont="1" applyBorder="1" applyAlignment="1">
      <alignment horizontal="center" vertical="center" wrapText="1" readingOrder="2"/>
    </xf>
    <xf numFmtId="0" fontId="17" fillId="0" borderId="39" xfId="0" applyFont="1" applyBorder="1" applyAlignment="1">
      <alignment horizontal="center" vertical="center" wrapText="1" readingOrder="2"/>
    </xf>
    <xf numFmtId="0" fontId="17" fillId="0" borderId="46" xfId="0" applyFont="1" applyBorder="1" applyAlignment="1">
      <alignment horizontal="center" vertical="center" wrapText="1" readingOrder="2"/>
    </xf>
    <xf numFmtId="0" fontId="13" fillId="2" borderId="32" xfId="0" applyFont="1" applyFill="1" applyBorder="1" applyAlignment="1">
      <alignment horizontal="center" vertical="center"/>
    </xf>
    <xf numFmtId="0" fontId="13" fillId="2" borderId="52" xfId="0" applyFont="1" applyFill="1" applyBorder="1" applyAlignment="1">
      <alignment horizontal="center" vertical="center"/>
    </xf>
    <xf numFmtId="0" fontId="13" fillId="2" borderId="91" xfId="0" applyFont="1" applyFill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64" xfId="0" applyFont="1" applyBorder="1" applyAlignment="1">
      <alignment horizontal="center" vertical="center"/>
    </xf>
    <xf numFmtId="0" fontId="16" fillId="0" borderId="32" xfId="0" applyFont="1" applyBorder="1" applyAlignment="1">
      <alignment horizontal="right" vertical="top" wrapText="1"/>
    </xf>
    <xf numFmtId="0" fontId="16" fillId="0" borderId="29" xfId="0" applyFont="1" applyBorder="1" applyAlignment="1">
      <alignment horizontal="right" vertical="top"/>
    </xf>
    <xf numFmtId="0" fontId="16" fillId="0" borderId="52" xfId="0" applyFont="1" applyBorder="1" applyAlignment="1">
      <alignment horizontal="right" vertical="top"/>
    </xf>
    <xf numFmtId="0" fontId="16" fillId="0" borderId="0" xfId="0" applyFont="1" applyBorder="1" applyAlignment="1">
      <alignment horizontal="right" vertical="top"/>
    </xf>
    <xf numFmtId="0" fontId="16" fillId="0" borderId="91" xfId="0" applyFont="1" applyBorder="1" applyAlignment="1">
      <alignment horizontal="right" vertical="top"/>
    </xf>
    <xf numFmtId="0" fontId="16" fillId="0" borderId="39" xfId="0" applyFont="1" applyBorder="1" applyAlignment="1">
      <alignment horizontal="right" vertical="top"/>
    </xf>
    <xf numFmtId="0" fontId="14" fillId="0" borderId="130" xfId="0" applyFont="1" applyBorder="1" applyAlignment="1">
      <alignment horizontal="center" vertical="center" wrapText="1"/>
    </xf>
    <xf numFmtId="0" fontId="14" fillId="0" borderId="52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5" fillId="0" borderId="99" xfId="0" applyFont="1" applyBorder="1" applyAlignment="1">
      <alignment horizontal="center" vertical="center" wrapText="1" readingOrder="2"/>
    </xf>
    <xf numFmtId="0" fontId="14" fillId="0" borderId="85" xfId="0" applyFont="1" applyBorder="1" applyAlignment="1">
      <alignment horizontal="center" vertical="center" wrapText="1"/>
    </xf>
    <xf numFmtId="0" fontId="14" fillId="0" borderId="79" xfId="0" applyFont="1" applyBorder="1" applyAlignment="1">
      <alignment horizontal="center" vertical="center" wrapText="1"/>
    </xf>
    <xf numFmtId="0" fontId="14" fillId="0" borderId="78" xfId="0" applyFont="1" applyBorder="1" applyAlignment="1">
      <alignment horizontal="center" vertical="center" wrapText="1"/>
    </xf>
    <xf numFmtId="0" fontId="15" fillId="0" borderId="118" xfId="0" applyFont="1" applyBorder="1" applyAlignment="1">
      <alignment horizontal="center" vertical="center" wrapText="1"/>
    </xf>
    <xf numFmtId="0" fontId="15" fillId="0" borderId="119" xfId="0" applyFont="1" applyBorder="1" applyAlignment="1">
      <alignment horizontal="center" vertical="center" wrapText="1"/>
    </xf>
    <xf numFmtId="0" fontId="15" fillId="0" borderId="122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0" fontId="16" fillId="0" borderId="52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91" xfId="0" applyFont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0" fontId="16" fillId="0" borderId="64" xfId="0" applyFont="1" applyBorder="1" applyAlignment="1">
      <alignment horizontal="center" vertical="center" wrapText="1"/>
    </xf>
    <xf numFmtId="0" fontId="21" fillId="0" borderId="52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87" xfId="0" applyFont="1" applyBorder="1" applyAlignment="1">
      <alignment horizontal="center" vertical="center" wrapText="1"/>
    </xf>
    <xf numFmtId="0" fontId="21" fillId="0" borderId="42" xfId="0" applyFont="1" applyBorder="1" applyAlignment="1">
      <alignment horizontal="center" vertical="center" wrapText="1"/>
    </xf>
    <xf numFmtId="0" fontId="21" fillId="0" borderId="71" xfId="0" applyFont="1" applyBorder="1" applyAlignment="1">
      <alignment horizontal="center" vertical="center" wrapText="1"/>
    </xf>
    <xf numFmtId="0" fontId="21" fillId="2" borderId="112" xfId="0" applyFont="1" applyFill="1" applyBorder="1" applyAlignment="1">
      <alignment horizontal="center" vertical="center" wrapText="1" readingOrder="2"/>
    </xf>
    <xf numFmtId="0" fontId="21" fillId="2" borderId="113" xfId="0" applyFont="1" applyFill="1" applyBorder="1" applyAlignment="1">
      <alignment horizontal="center" vertical="center" wrapText="1" readingOrder="2"/>
    </xf>
    <xf numFmtId="0" fontId="21" fillId="2" borderId="114" xfId="0" applyFont="1" applyFill="1" applyBorder="1" applyAlignment="1">
      <alignment horizontal="center" vertical="center" wrapText="1" readingOrder="2"/>
    </xf>
    <xf numFmtId="0" fontId="14" fillId="0" borderId="28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 wrapText="1"/>
    </xf>
    <xf numFmtId="0" fontId="14" fillId="0" borderId="30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5" fillId="0" borderId="28" xfId="0" applyFont="1" applyBorder="1" applyAlignment="1">
      <alignment horizontal="center" vertical="center" wrapText="1" readingOrder="2"/>
    </xf>
    <xf numFmtId="0" fontId="15" fillId="0" borderId="29" xfId="0" applyFont="1" applyBorder="1" applyAlignment="1">
      <alignment horizontal="center" vertical="center" wrapText="1" readingOrder="2"/>
    </xf>
    <xf numFmtId="0" fontId="15" fillId="0" borderId="30" xfId="0" applyFont="1" applyBorder="1" applyAlignment="1">
      <alignment horizontal="center" vertical="center" wrapText="1" readingOrder="2"/>
    </xf>
    <xf numFmtId="0" fontId="15" fillId="0" borderId="16" xfId="0" applyFont="1" applyBorder="1" applyAlignment="1">
      <alignment horizontal="center" vertical="center" wrapText="1" readingOrder="2"/>
    </xf>
    <xf numFmtId="0" fontId="13" fillId="0" borderId="132" xfId="0" applyFont="1" applyBorder="1" applyAlignment="1">
      <alignment horizontal="center" vertical="center" wrapText="1"/>
    </xf>
    <xf numFmtId="0" fontId="13" fillId="2" borderId="112" xfId="0" applyFont="1" applyFill="1" applyBorder="1" applyAlignment="1">
      <alignment horizontal="center" vertical="center" wrapText="1" readingOrder="2"/>
    </xf>
    <xf numFmtId="0" fontId="13" fillId="2" borderId="113" xfId="0" applyFont="1" applyFill="1" applyBorder="1" applyAlignment="1">
      <alignment horizontal="center" vertical="center" wrapText="1" readingOrder="2"/>
    </xf>
    <xf numFmtId="0" fontId="13" fillId="2" borderId="114" xfId="0" applyFont="1" applyFill="1" applyBorder="1" applyAlignment="1">
      <alignment horizontal="center" vertical="center" wrapText="1" readingOrder="2"/>
    </xf>
    <xf numFmtId="0" fontId="13" fillId="0" borderId="99" xfId="0" applyFont="1" applyBorder="1" applyAlignment="1">
      <alignment horizontal="center" vertical="center" wrapText="1"/>
    </xf>
    <xf numFmtId="0" fontId="21" fillId="2" borderId="18" xfId="0" applyFont="1" applyFill="1" applyBorder="1" applyAlignment="1">
      <alignment horizontal="center" vertical="center" wrapText="1" readingOrder="2"/>
    </xf>
    <xf numFmtId="0" fontId="21" fillId="2" borderId="19" xfId="0" applyFont="1" applyFill="1" applyBorder="1" applyAlignment="1">
      <alignment horizontal="center" vertical="center" wrapText="1" readingOrder="2"/>
    </xf>
    <xf numFmtId="0" fontId="21" fillId="2" borderId="36" xfId="0" applyFont="1" applyFill="1" applyBorder="1" applyAlignment="1">
      <alignment horizontal="center" vertical="center" wrapText="1" readingOrder="2"/>
    </xf>
    <xf numFmtId="0" fontId="21" fillId="2" borderId="16" xfId="0" applyFont="1" applyFill="1" applyBorder="1" applyAlignment="1">
      <alignment horizontal="center" vertical="center" wrapText="1" readingOrder="2"/>
    </xf>
    <xf numFmtId="0" fontId="21" fillId="2" borderId="0" xfId="0" applyFont="1" applyFill="1" applyBorder="1" applyAlignment="1">
      <alignment horizontal="center" vertical="center" wrapText="1" readingOrder="2"/>
    </xf>
    <xf numFmtId="0" fontId="21" fillId="2" borderId="37" xfId="0" applyFont="1" applyFill="1" applyBorder="1" applyAlignment="1">
      <alignment horizontal="center" vertical="center" wrapText="1" readingOrder="2"/>
    </xf>
    <xf numFmtId="0" fontId="21" fillId="2" borderId="38" xfId="0" applyFont="1" applyFill="1" applyBorder="1" applyAlignment="1">
      <alignment horizontal="center" vertical="center" wrapText="1" readingOrder="2"/>
    </xf>
    <xf numFmtId="0" fontId="21" fillId="2" borderId="39" xfId="0" applyFont="1" applyFill="1" applyBorder="1" applyAlignment="1">
      <alignment horizontal="center" vertical="center" wrapText="1" readingOrder="2"/>
    </xf>
    <xf numFmtId="0" fontId="21" fillId="2" borderId="40" xfId="0" applyFont="1" applyFill="1" applyBorder="1" applyAlignment="1">
      <alignment horizontal="center" vertical="center" wrapText="1" readingOrder="2"/>
    </xf>
    <xf numFmtId="0" fontId="13" fillId="2" borderId="65" xfId="0" applyFont="1" applyFill="1" applyBorder="1" applyAlignment="1">
      <alignment horizontal="center" vertical="center" wrapText="1" readingOrder="2"/>
    </xf>
    <xf numFmtId="0" fontId="13" fillId="2" borderId="19" xfId="0" applyFont="1" applyFill="1" applyBorder="1" applyAlignment="1">
      <alignment horizontal="center" vertical="center" wrapText="1" readingOrder="2"/>
    </xf>
    <xf numFmtId="0" fontId="13" fillId="2" borderId="20" xfId="0" applyFont="1" applyFill="1" applyBorder="1" applyAlignment="1">
      <alignment horizontal="center" vertical="center" wrapText="1" readingOrder="2"/>
    </xf>
    <xf numFmtId="0" fontId="13" fillId="2" borderId="52" xfId="0" applyFont="1" applyFill="1" applyBorder="1" applyAlignment="1">
      <alignment horizontal="center" vertical="center" wrapText="1" readingOrder="2"/>
    </xf>
    <xf numFmtId="0" fontId="13" fillId="2" borderId="0" xfId="0" applyFont="1" applyFill="1" applyBorder="1" applyAlignment="1">
      <alignment horizontal="center" vertical="center" wrapText="1" readingOrder="2"/>
    </xf>
    <xf numFmtId="0" fontId="13" fillId="2" borderId="17" xfId="0" applyFont="1" applyFill="1" applyBorder="1" applyAlignment="1">
      <alignment horizontal="center" vertical="center" wrapText="1" readingOrder="2"/>
    </xf>
    <xf numFmtId="0" fontId="13" fillId="2" borderId="57" xfId="0" applyFont="1" applyFill="1" applyBorder="1" applyAlignment="1">
      <alignment horizontal="center" vertical="center" wrapText="1" readingOrder="2"/>
    </xf>
    <xf numFmtId="0" fontId="13" fillId="2" borderId="21" xfId="0" applyFont="1" applyFill="1" applyBorder="1" applyAlignment="1">
      <alignment horizontal="center" vertical="center" wrapText="1" readingOrder="2"/>
    </xf>
    <xf numFmtId="0" fontId="13" fillId="2" borderId="26" xfId="0" applyFont="1" applyFill="1" applyBorder="1" applyAlignment="1">
      <alignment horizontal="center" vertical="center" wrapText="1" readingOrder="2"/>
    </xf>
    <xf numFmtId="0" fontId="13" fillId="0" borderId="47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13" fillId="0" borderId="115" xfId="0" applyFont="1" applyBorder="1" applyAlignment="1">
      <alignment horizontal="center" vertical="center"/>
    </xf>
    <xf numFmtId="0" fontId="13" fillId="0" borderId="83" xfId="0" applyFont="1" applyBorder="1" applyAlignment="1">
      <alignment horizontal="center" vertical="center"/>
    </xf>
    <xf numFmtId="0" fontId="13" fillId="0" borderId="127" xfId="0" applyFont="1" applyBorder="1" applyAlignment="1">
      <alignment horizontal="center" vertical="center"/>
    </xf>
    <xf numFmtId="0" fontId="15" fillId="0" borderId="79" xfId="0" applyFont="1" applyBorder="1" applyAlignment="1">
      <alignment horizontal="center" vertical="center"/>
    </xf>
    <xf numFmtId="0" fontId="13" fillId="0" borderId="85" xfId="0" applyFont="1" applyBorder="1" applyAlignment="1">
      <alignment horizontal="center" vertical="center"/>
    </xf>
    <xf numFmtId="0" fontId="13" fillId="0" borderId="78" xfId="0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center" vertical="center" wrapText="1"/>
    </xf>
    <xf numFmtId="0" fontId="13" fillId="2" borderId="38" xfId="0" applyFont="1" applyFill="1" applyBorder="1" applyAlignment="1">
      <alignment horizontal="center" vertical="center" wrapText="1"/>
    </xf>
    <xf numFmtId="0" fontId="13" fillId="2" borderId="64" xfId="0" applyFont="1" applyFill="1" applyBorder="1" applyAlignment="1">
      <alignment horizontal="center" vertical="center" wrapText="1"/>
    </xf>
    <xf numFmtId="0" fontId="13" fillId="2" borderId="118" xfId="0" applyFont="1" applyFill="1" applyBorder="1" applyAlignment="1">
      <alignment horizontal="center" vertical="center"/>
    </xf>
    <xf numFmtId="0" fontId="13" fillId="2" borderId="119" xfId="0" applyFont="1" applyFill="1" applyBorder="1" applyAlignment="1">
      <alignment horizontal="center" vertical="center"/>
    </xf>
    <xf numFmtId="0" fontId="13" fillId="2" borderId="104" xfId="0" applyFont="1" applyFill="1" applyBorder="1" applyAlignment="1">
      <alignment horizontal="center" vertical="center"/>
    </xf>
    <xf numFmtId="9" fontId="17" fillId="0" borderId="32" xfId="1" applyFont="1" applyBorder="1" applyAlignment="1">
      <alignment horizontal="center" vertical="center" wrapText="1" readingOrder="2"/>
    </xf>
    <xf numFmtId="9" fontId="17" fillId="0" borderId="29" xfId="1" applyFont="1" applyBorder="1" applyAlignment="1">
      <alignment horizontal="center" vertical="center" wrapText="1" readingOrder="2"/>
    </xf>
    <xf numFmtId="9" fontId="17" fillId="0" borderId="30" xfId="1" applyFont="1" applyBorder="1" applyAlignment="1">
      <alignment horizontal="center" vertical="center" wrapText="1" readingOrder="2"/>
    </xf>
    <xf numFmtId="9" fontId="17" fillId="0" borderId="57" xfId="1" applyFont="1" applyBorder="1" applyAlignment="1">
      <alignment horizontal="center" vertical="center" wrapText="1" readingOrder="2"/>
    </xf>
    <xf numFmtId="9" fontId="17" fillId="0" borderId="21" xfId="1" applyFont="1" applyBorder="1" applyAlignment="1">
      <alignment horizontal="center" vertical="center" wrapText="1" readingOrder="2"/>
    </xf>
    <xf numFmtId="9" fontId="17" fillId="0" borderId="26" xfId="1" applyFont="1" applyBorder="1" applyAlignment="1">
      <alignment horizontal="center" vertical="center" wrapText="1" readingOrder="2"/>
    </xf>
    <xf numFmtId="0" fontId="14" fillId="0" borderId="97" xfId="0" applyFont="1" applyBorder="1" applyAlignment="1">
      <alignment horizontal="center" vertical="center" wrapText="1"/>
    </xf>
    <xf numFmtId="9" fontId="16" fillId="0" borderId="142" xfId="1" applyFont="1" applyBorder="1" applyAlignment="1">
      <alignment horizontal="center" vertical="center" wrapText="1" readingOrder="2"/>
    </xf>
    <xf numFmtId="9" fontId="16" fillId="0" borderId="88" xfId="1" applyFont="1" applyBorder="1" applyAlignment="1">
      <alignment horizontal="center" vertical="center" wrapText="1" readingOrder="2"/>
    </xf>
    <xf numFmtId="9" fontId="16" fillId="0" borderId="68" xfId="1" applyFont="1" applyBorder="1" applyAlignment="1">
      <alignment horizontal="center" vertical="center" wrapText="1" readingOrder="2"/>
    </xf>
    <xf numFmtId="9" fontId="17" fillId="0" borderId="142" xfId="1" applyFont="1" applyBorder="1" applyAlignment="1">
      <alignment horizontal="center" vertical="center" wrapText="1"/>
    </xf>
    <xf numFmtId="9" fontId="17" fillId="0" borderId="88" xfId="1" applyFont="1" applyBorder="1" applyAlignment="1">
      <alignment horizontal="center" vertical="center" wrapText="1"/>
    </xf>
    <xf numFmtId="9" fontId="17" fillId="0" borderId="68" xfId="1" applyFont="1" applyBorder="1" applyAlignment="1">
      <alignment horizontal="center" vertical="center" wrapText="1"/>
    </xf>
    <xf numFmtId="9" fontId="17" fillId="0" borderId="142" xfId="1" applyFont="1" applyBorder="1" applyAlignment="1">
      <alignment horizontal="center" vertical="center"/>
    </xf>
    <xf numFmtId="9" fontId="17" fillId="0" borderId="88" xfId="1" applyFont="1" applyBorder="1" applyAlignment="1">
      <alignment horizontal="center" vertical="center"/>
    </xf>
    <xf numFmtId="9" fontId="17" fillId="0" borderId="68" xfId="1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13" fillId="0" borderId="46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51" xfId="0" applyFont="1" applyBorder="1" applyAlignment="1">
      <alignment horizontal="center" vertical="center"/>
    </xf>
    <xf numFmtId="0" fontId="19" fillId="0" borderId="39" xfId="0" applyFont="1" applyBorder="1" applyAlignment="1">
      <alignment horizontal="center" vertical="center"/>
    </xf>
    <xf numFmtId="0" fontId="19" fillId="0" borderId="64" xfId="0" applyFont="1" applyBorder="1" applyAlignment="1">
      <alignment horizontal="center" vertical="center"/>
    </xf>
    <xf numFmtId="0" fontId="14" fillId="0" borderId="123" xfId="0" applyFont="1" applyBorder="1" applyAlignment="1">
      <alignment horizontal="center" vertical="center" wrapText="1"/>
    </xf>
    <xf numFmtId="0" fontId="14" fillId="0" borderId="124" xfId="0" applyFont="1" applyBorder="1" applyAlignment="1">
      <alignment horizontal="center" vertical="center" wrapText="1"/>
    </xf>
    <xf numFmtId="0" fontId="14" fillId="0" borderId="80" xfId="0" applyFont="1" applyBorder="1" applyAlignment="1">
      <alignment horizontal="center" vertical="center" wrapText="1"/>
    </xf>
    <xf numFmtId="0" fontId="14" fillId="0" borderId="66" xfId="0" applyFont="1" applyBorder="1" applyAlignment="1">
      <alignment horizontal="center" vertical="center" wrapText="1"/>
    </xf>
    <xf numFmtId="0" fontId="14" fillId="0" borderId="117" xfId="0" applyFont="1" applyBorder="1" applyAlignment="1">
      <alignment horizontal="center" vertical="center" wrapText="1"/>
    </xf>
    <xf numFmtId="0" fontId="14" fillId="0" borderId="108" xfId="0" applyFont="1" applyBorder="1" applyAlignment="1">
      <alignment horizontal="center" vertical="center" wrapText="1"/>
    </xf>
    <xf numFmtId="0" fontId="14" fillId="2" borderId="65" xfId="0" applyFont="1" applyFill="1" applyBorder="1" applyAlignment="1">
      <alignment horizontal="center" vertical="center" wrapText="1"/>
    </xf>
    <xf numFmtId="0" fontId="14" fillId="2" borderId="19" xfId="0" applyFont="1" applyFill="1" applyBorder="1" applyAlignment="1">
      <alignment horizontal="center" vertical="center" wrapText="1"/>
    </xf>
    <xf numFmtId="0" fontId="14" fillId="2" borderId="20" xfId="0" applyFont="1" applyFill="1" applyBorder="1" applyAlignment="1">
      <alignment horizontal="center" vertical="center" wrapText="1"/>
    </xf>
    <xf numFmtId="0" fontId="14" fillId="2" borderId="57" xfId="0" applyFont="1" applyFill="1" applyBorder="1" applyAlignment="1">
      <alignment horizontal="center" vertical="center" wrapText="1"/>
    </xf>
    <xf numFmtId="0" fontId="14" fillId="2" borderId="21" xfId="0" applyFont="1" applyFill="1" applyBorder="1" applyAlignment="1">
      <alignment horizontal="center" vertical="center" wrapText="1"/>
    </xf>
    <xf numFmtId="0" fontId="14" fillId="2" borderId="26" xfId="0" applyFont="1" applyFill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0" fontId="14" fillId="0" borderId="44" xfId="0" applyFont="1" applyBorder="1" applyAlignment="1">
      <alignment horizontal="center" vertical="center" wrapText="1"/>
    </xf>
    <xf numFmtId="0" fontId="14" fillId="0" borderId="81" xfId="0" applyFont="1" applyBorder="1" applyAlignment="1">
      <alignment horizontal="center" vertical="center" wrapText="1"/>
    </xf>
    <xf numFmtId="0" fontId="14" fillId="0" borderId="54" xfId="0" applyFont="1" applyBorder="1" applyAlignment="1">
      <alignment horizontal="center" vertical="center" wrapText="1"/>
    </xf>
    <xf numFmtId="0" fontId="13" fillId="0" borderId="115" xfId="0" applyFont="1" applyBorder="1" applyAlignment="1">
      <alignment horizontal="center" vertical="center" textRotation="90" wrapText="1"/>
    </xf>
    <xf numFmtId="0" fontId="13" fillId="0" borderId="83" xfId="0" applyFont="1" applyBorder="1" applyAlignment="1">
      <alignment horizontal="center" vertical="center" textRotation="90" wrapText="1"/>
    </xf>
    <xf numFmtId="0" fontId="13" fillId="0" borderId="84" xfId="0" applyFont="1" applyBorder="1" applyAlignment="1">
      <alignment horizontal="center" vertical="center" textRotation="90" wrapText="1"/>
    </xf>
    <xf numFmtId="9" fontId="17" fillId="0" borderId="99" xfId="1" applyFont="1" applyBorder="1" applyAlignment="1">
      <alignment horizontal="center" vertical="center"/>
    </xf>
    <xf numFmtId="9" fontId="17" fillId="0" borderId="99" xfId="1" applyFont="1" applyBorder="1" applyAlignment="1">
      <alignment horizontal="center" vertical="center" wrapText="1"/>
    </xf>
    <xf numFmtId="9" fontId="21" fillId="0" borderId="99" xfId="1" applyFont="1" applyBorder="1" applyAlignment="1">
      <alignment horizontal="center" vertical="center" wrapText="1"/>
    </xf>
    <xf numFmtId="0" fontId="16" fillId="0" borderId="134" xfId="0" applyFont="1" applyFill="1" applyBorder="1" applyAlignment="1">
      <alignment horizontal="center" vertical="center" wrapText="1"/>
    </xf>
    <xf numFmtId="0" fontId="16" fillId="0" borderId="135" xfId="0" applyFont="1" applyFill="1" applyBorder="1" applyAlignment="1">
      <alignment horizontal="center" vertical="center" wrapText="1"/>
    </xf>
    <xf numFmtId="0" fontId="16" fillId="0" borderId="136" xfId="0" applyFont="1" applyFill="1" applyBorder="1" applyAlignment="1">
      <alignment horizontal="center" vertical="center" wrapText="1"/>
    </xf>
    <xf numFmtId="9" fontId="13" fillId="0" borderId="99" xfId="1" applyFont="1" applyBorder="1" applyAlignment="1">
      <alignment horizontal="center" vertical="center" wrapText="1" readingOrder="2"/>
    </xf>
    <xf numFmtId="9" fontId="17" fillId="2" borderId="134" xfId="1" applyFont="1" applyFill="1" applyBorder="1" applyAlignment="1">
      <alignment horizontal="center" vertical="center" wrapText="1"/>
    </xf>
    <xf numFmtId="9" fontId="17" fillId="2" borderId="135" xfId="1" applyFont="1" applyFill="1" applyBorder="1" applyAlignment="1">
      <alignment horizontal="center" vertical="center" wrapText="1"/>
    </xf>
    <xf numFmtId="9" fontId="17" fillId="2" borderId="136" xfId="1" applyFont="1" applyFill="1" applyBorder="1" applyAlignment="1">
      <alignment horizontal="center" vertical="center" wrapText="1"/>
    </xf>
    <xf numFmtId="0" fontId="13" fillId="0" borderId="118" xfId="0" applyFont="1" applyBorder="1" applyAlignment="1">
      <alignment horizontal="center" vertical="center"/>
    </xf>
    <xf numFmtId="0" fontId="13" fillId="0" borderId="122" xfId="0" applyFont="1" applyBorder="1" applyAlignment="1">
      <alignment horizontal="center" vertical="center"/>
    </xf>
    <xf numFmtId="9" fontId="13" fillId="0" borderId="99" xfId="1" applyFont="1" applyBorder="1" applyAlignment="1">
      <alignment horizontal="center" vertical="center" wrapText="1"/>
    </xf>
    <xf numFmtId="9" fontId="18" fillId="0" borderId="99" xfId="1" applyFont="1" applyBorder="1" applyAlignment="1">
      <alignment horizontal="center" vertical="center" wrapText="1" readingOrder="2"/>
    </xf>
    <xf numFmtId="0" fontId="18" fillId="2" borderId="96" xfId="0" applyFont="1" applyFill="1" applyBorder="1" applyAlignment="1">
      <alignment horizontal="center" vertical="center" wrapText="1"/>
    </xf>
    <xf numFmtId="0" fontId="18" fillId="2" borderId="31" xfId="0" applyFont="1" applyFill="1" applyBorder="1" applyAlignment="1">
      <alignment horizontal="center" vertical="center" wrapText="1"/>
    </xf>
    <xf numFmtId="0" fontId="18" fillId="2" borderId="98" xfId="0" applyFont="1" applyFill="1" applyBorder="1" applyAlignment="1">
      <alignment horizontal="center" vertical="center" wrapText="1"/>
    </xf>
    <xf numFmtId="0" fontId="14" fillId="0" borderId="45" xfId="0" applyFont="1" applyBorder="1" applyAlignment="1">
      <alignment horizontal="center" vertical="center" wrapText="1"/>
    </xf>
    <xf numFmtId="0" fontId="5" fillId="2" borderId="93" xfId="0" applyFont="1" applyFill="1" applyBorder="1" applyAlignment="1">
      <alignment horizontal="center" vertical="center"/>
    </xf>
    <xf numFmtId="0" fontId="6" fillId="2" borderId="33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21" fillId="0" borderId="95" xfId="0" applyFont="1" applyBorder="1" applyAlignment="1">
      <alignment horizontal="center" vertical="center"/>
    </xf>
    <xf numFmtId="0" fontId="21" fillId="0" borderId="52" xfId="0" applyFont="1" applyBorder="1" applyAlignment="1">
      <alignment horizontal="center" vertical="center"/>
    </xf>
    <xf numFmtId="0" fontId="21" fillId="0" borderId="96" xfId="0" applyFont="1" applyBorder="1" applyAlignment="1">
      <alignment horizontal="center" vertical="center"/>
    </xf>
    <xf numFmtId="0" fontId="21" fillId="0" borderId="75" xfId="0" applyFont="1" applyBorder="1" applyAlignment="1">
      <alignment horizontal="center" vertical="center" wrapText="1"/>
    </xf>
    <xf numFmtId="0" fontId="21" fillId="0" borderId="76" xfId="0" applyFont="1" applyBorder="1" applyAlignment="1">
      <alignment horizontal="center" vertical="center" wrapText="1"/>
    </xf>
    <xf numFmtId="9" fontId="15" fillId="2" borderId="95" xfId="0" applyNumberFormat="1" applyFont="1" applyFill="1" applyBorder="1" applyAlignment="1">
      <alignment horizontal="center" vertical="center" wrapText="1"/>
    </xf>
    <xf numFmtId="9" fontId="15" fillId="2" borderId="53" xfId="0" applyNumberFormat="1" applyFont="1" applyFill="1" applyBorder="1" applyAlignment="1">
      <alignment horizontal="center" vertical="center" wrapText="1"/>
    </xf>
    <xf numFmtId="9" fontId="15" fillId="2" borderId="60" xfId="0" applyNumberFormat="1" applyFont="1" applyFill="1" applyBorder="1" applyAlignment="1">
      <alignment horizontal="center" vertical="center" wrapText="1"/>
    </xf>
    <xf numFmtId="0" fontId="13" fillId="0" borderId="95" xfId="0" applyFont="1" applyBorder="1" applyAlignment="1">
      <alignment horizontal="center" vertical="center"/>
    </xf>
    <xf numFmtId="0" fontId="13" fillId="0" borderId="53" xfId="0" applyFont="1" applyBorder="1" applyAlignment="1">
      <alignment horizontal="center" vertical="center"/>
    </xf>
    <xf numFmtId="0" fontId="13" fillId="0" borderId="60" xfId="0" applyFont="1" applyBorder="1" applyAlignment="1">
      <alignment horizontal="center" vertical="center"/>
    </xf>
    <xf numFmtId="0" fontId="18" fillId="2" borderId="27" xfId="0" applyFont="1" applyFill="1" applyBorder="1" applyAlignment="1">
      <alignment horizontal="center" vertical="center" wrapText="1"/>
    </xf>
    <xf numFmtId="0" fontId="18" fillId="2" borderId="9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9" fillId="2" borderId="27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3" fillId="0" borderId="110" xfId="0" applyFont="1" applyBorder="1" applyAlignment="1">
      <alignment horizontal="center" vertical="center"/>
    </xf>
    <xf numFmtId="0" fontId="3" fillId="0" borderId="119" xfId="0" applyFont="1" applyBorder="1" applyAlignment="1">
      <alignment horizontal="center" vertical="center"/>
    </xf>
    <xf numFmtId="0" fontId="21" fillId="2" borderId="27" xfId="0" applyFont="1" applyFill="1" applyBorder="1" applyAlignment="1">
      <alignment horizontal="center" vertical="center" wrapText="1"/>
    </xf>
    <xf numFmtId="0" fontId="21" fillId="2" borderId="9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21" fillId="2" borderId="77" xfId="0" applyFont="1" applyFill="1" applyBorder="1" applyAlignment="1">
      <alignment horizontal="center" vertical="center" wrapText="1"/>
    </xf>
    <xf numFmtId="0" fontId="21" fillId="2" borderId="34" xfId="0" applyFont="1" applyFill="1" applyBorder="1" applyAlignment="1">
      <alignment horizontal="center" vertical="center" wrapText="1"/>
    </xf>
    <xf numFmtId="0" fontId="21" fillId="2" borderId="61" xfId="0" applyFont="1" applyFill="1" applyBorder="1" applyAlignment="1">
      <alignment horizontal="center" vertical="center" wrapText="1"/>
    </xf>
    <xf numFmtId="0" fontId="20" fillId="0" borderId="77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0" borderId="61" xfId="0" applyFont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9" fontId="18" fillId="2" borderId="27" xfId="0" applyNumberFormat="1" applyFont="1" applyFill="1" applyBorder="1" applyAlignment="1">
      <alignment horizontal="center" vertical="center" wrapText="1"/>
    </xf>
    <xf numFmtId="9" fontId="18" fillId="2" borderId="9" xfId="0" applyNumberFormat="1" applyFont="1" applyFill="1" applyBorder="1" applyAlignment="1">
      <alignment horizontal="center" vertical="center" wrapText="1"/>
    </xf>
    <xf numFmtId="9" fontId="18" fillId="2" borderId="5" xfId="0" applyNumberFormat="1" applyFont="1" applyFill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24" fillId="2" borderId="95" xfId="0" applyFont="1" applyFill="1" applyBorder="1" applyAlignment="1">
      <alignment horizontal="center" vertical="center" wrapText="1" readingOrder="2"/>
    </xf>
    <xf numFmtId="0" fontId="24" fillId="2" borderId="53" xfId="0" applyFont="1" applyFill="1" applyBorder="1" applyAlignment="1">
      <alignment horizontal="center" vertical="center" wrapText="1" readingOrder="2"/>
    </xf>
    <xf numFmtId="0" fontId="24" fillId="2" borderId="60" xfId="0" applyFont="1" applyFill="1" applyBorder="1" applyAlignment="1">
      <alignment horizontal="center" vertical="center" wrapText="1" readingOrder="2"/>
    </xf>
    <xf numFmtId="0" fontId="24" fillId="2" borderId="27" xfId="0" applyFont="1" applyFill="1" applyBorder="1" applyAlignment="1">
      <alignment horizontal="center" vertical="center" wrapText="1" readingOrder="2"/>
    </xf>
    <xf numFmtId="0" fontId="24" fillId="2" borderId="9" xfId="0" applyFont="1" applyFill="1" applyBorder="1" applyAlignment="1">
      <alignment horizontal="center" vertical="center" wrapText="1" readingOrder="2"/>
    </xf>
    <xf numFmtId="0" fontId="24" fillId="2" borderId="5" xfId="0" applyFont="1" applyFill="1" applyBorder="1" applyAlignment="1">
      <alignment horizontal="center" vertical="center" wrapText="1" readingOrder="2"/>
    </xf>
    <xf numFmtId="9" fontId="13" fillId="0" borderId="27" xfId="0" applyNumberFormat="1" applyFont="1" applyBorder="1" applyAlignment="1">
      <alignment horizontal="center" vertical="center"/>
    </xf>
    <xf numFmtId="9" fontId="13" fillId="0" borderId="9" xfId="0" applyNumberFormat="1" applyFont="1" applyBorder="1" applyAlignment="1">
      <alignment horizontal="center" vertical="center"/>
    </xf>
    <xf numFmtId="9" fontId="13" fillId="0" borderId="5" xfId="0" applyNumberFormat="1" applyFont="1" applyBorder="1" applyAlignment="1">
      <alignment horizontal="center" vertical="center"/>
    </xf>
    <xf numFmtId="0" fontId="18" fillId="0" borderId="105" xfId="0" applyFont="1" applyBorder="1" applyAlignment="1">
      <alignment horizontal="center" vertical="center" wrapText="1"/>
    </xf>
    <xf numFmtId="0" fontId="18" fillId="0" borderId="106" xfId="0" applyFont="1" applyBorder="1" applyAlignment="1">
      <alignment horizontal="center" vertical="center" wrapText="1"/>
    </xf>
    <xf numFmtId="0" fontId="18" fillId="2" borderId="96" xfId="0" applyFont="1" applyFill="1" applyBorder="1" applyAlignment="1">
      <alignment horizontal="center" vertical="center"/>
    </xf>
    <xf numFmtId="0" fontId="18" fillId="2" borderId="31" xfId="0" applyFont="1" applyFill="1" applyBorder="1" applyAlignment="1">
      <alignment horizontal="center" vertical="center"/>
    </xf>
    <xf numFmtId="0" fontId="18" fillId="2" borderId="98" xfId="0" applyFont="1" applyFill="1" applyBorder="1" applyAlignment="1">
      <alignment horizontal="center" vertical="center"/>
    </xf>
    <xf numFmtId="0" fontId="13" fillId="0" borderId="119" xfId="0" applyFont="1" applyBorder="1" applyAlignment="1">
      <alignment horizontal="center" vertical="center"/>
    </xf>
    <xf numFmtId="0" fontId="13" fillId="0" borderId="104" xfId="0" applyFont="1" applyBorder="1" applyAlignment="1">
      <alignment horizontal="center" vertical="center"/>
    </xf>
    <xf numFmtId="0" fontId="18" fillId="2" borderId="52" xfId="0" applyFont="1" applyFill="1" applyBorder="1" applyAlignment="1">
      <alignment horizontal="center" vertical="center"/>
    </xf>
    <xf numFmtId="0" fontId="18" fillId="2" borderId="0" xfId="0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horizontal="center" vertical="center"/>
    </xf>
    <xf numFmtId="0" fontId="18" fillId="2" borderId="27" xfId="0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18" fillId="2" borderId="94" xfId="0" applyFont="1" applyFill="1" applyBorder="1" applyAlignment="1">
      <alignment horizontal="center" vertical="center" wrapText="1"/>
    </xf>
    <xf numFmtId="0" fontId="18" fillId="2" borderId="58" xfId="0" applyFont="1" applyFill="1" applyBorder="1" applyAlignment="1">
      <alignment horizontal="center" vertical="center" wrapText="1"/>
    </xf>
    <xf numFmtId="0" fontId="18" fillId="2" borderId="56" xfId="0" applyFont="1" applyFill="1" applyBorder="1" applyAlignment="1">
      <alignment horizontal="center" vertical="center" wrapText="1"/>
    </xf>
    <xf numFmtId="0" fontId="18" fillId="2" borderId="94" xfId="0" applyFont="1" applyFill="1" applyBorder="1" applyAlignment="1">
      <alignment horizontal="center" vertical="center"/>
    </xf>
    <xf numFmtId="0" fontId="18" fillId="2" borderId="58" xfId="0" applyFont="1" applyFill="1" applyBorder="1" applyAlignment="1">
      <alignment horizontal="center" vertical="center"/>
    </xf>
    <xf numFmtId="0" fontId="18" fillId="2" borderId="56" xfId="0" applyFont="1" applyFill="1" applyBorder="1" applyAlignment="1">
      <alignment horizontal="center" vertical="center"/>
    </xf>
    <xf numFmtId="0" fontId="21" fillId="0" borderId="107" xfId="0" applyFont="1" applyBorder="1" applyAlignment="1">
      <alignment horizontal="center" vertical="center" wrapText="1"/>
    </xf>
    <xf numFmtId="0" fontId="21" fillId="0" borderId="68" xfId="0" applyFont="1" applyBorder="1" applyAlignment="1">
      <alignment horizontal="center" vertical="center" wrapText="1"/>
    </xf>
    <xf numFmtId="0" fontId="13" fillId="0" borderId="88" xfId="0" applyFont="1" applyBorder="1" applyAlignment="1">
      <alignment horizontal="center" vertical="center"/>
    </xf>
    <xf numFmtId="0" fontId="13" fillId="0" borderId="68" xfId="0" applyFont="1" applyBorder="1" applyAlignment="1">
      <alignment horizontal="center" vertical="center"/>
    </xf>
    <xf numFmtId="0" fontId="13" fillId="0" borderId="58" xfId="0" applyFont="1" applyBorder="1" applyAlignment="1">
      <alignment horizontal="center" vertical="center"/>
    </xf>
    <xf numFmtId="0" fontId="13" fillId="0" borderId="56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18" fillId="0" borderId="61" xfId="0" applyFont="1" applyBorder="1" applyAlignment="1">
      <alignment horizontal="center" vertical="center" wrapText="1"/>
    </xf>
    <xf numFmtId="0" fontId="21" fillId="2" borderId="95" xfId="0" applyFont="1" applyFill="1" applyBorder="1" applyAlignment="1">
      <alignment horizontal="center" vertical="center" wrapText="1" readingOrder="2"/>
    </xf>
    <xf numFmtId="0" fontId="21" fillId="2" borderId="53" xfId="0" applyFont="1" applyFill="1" applyBorder="1" applyAlignment="1">
      <alignment horizontal="center" vertical="center" wrapText="1" readingOrder="2"/>
    </xf>
    <xf numFmtId="0" fontId="21" fillId="2" borderId="60" xfId="0" applyFont="1" applyFill="1" applyBorder="1" applyAlignment="1">
      <alignment horizontal="center" vertical="center" wrapText="1" readingOrder="2"/>
    </xf>
    <xf numFmtId="0" fontId="18" fillId="2" borderId="52" xfId="0" applyFont="1" applyFill="1" applyBorder="1" applyAlignment="1">
      <alignment horizontal="center" vertical="center" wrapText="1" readingOrder="2"/>
    </xf>
    <xf numFmtId="0" fontId="18" fillId="2" borderId="0" xfId="0" applyFont="1" applyFill="1" applyBorder="1" applyAlignment="1">
      <alignment horizontal="center" vertical="center" wrapText="1" readingOrder="2"/>
    </xf>
    <xf numFmtId="0" fontId="18" fillId="2" borderId="17" xfId="0" applyFont="1" applyFill="1" applyBorder="1" applyAlignment="1">
      <alignment horizontal="center" vertical="center" wrapText="1" readingOrder="2"/>
    </xf>
    <xf numFmtId="0" fontId="18" fillId="2" borderId="77" xfId="0" applyFont="1" applyFill="1" applyBorder="1" applyAlignment="1">
      <alignment horizontal="center" vertical="center" wrapText="1" readingOrder="2"/>
    </xf>
    <xf numFmtId="0" fontId="18" fillId="2" borderId="34" xfId="0" applyFont="1" applyFill="1" applyBorder="1" applyAlignment="1">
      <alignment horizontal="center" vertical="center" wrapText="1" readingOrder="2"/>
    </xf>
    <xf numFmtId="0" fontId="18" fillId="2" borderId="61" xfId="0" applyFont="1" applyFill="1" applyBorder="1" applyAlignment="1">
      <alignment horizontal="center" vertical="center" wrapText="1" readingOrder="2"/>
    </xf>
    <xf numFmtId="0" fontId="18" fillId="2" borderId="27" xfId="0" applyFont="1" applyFill="1" applyBorder="1" applyAlignment="1">
      <alignment horizontal="center" vertical="center" wrapText="1" readingOrder="2"/>
    </xf>
    <xf numFmtId="0" fontId="18" fillId="2" borderId="9" xfId="0" applyFont="1" applyFill="1" applyBorder="1" applyAlignment="1">
      <alignment horizontal="center" vertical="center" wrapText="1" readingOrder="2"/>
    </xf>
    <xf numFmtId="0" fontId="18" fillId="2" borderId="5" xfId="0" applyFont="1" applyFill="1" applyBorder="1" applyAlignment="1">
      <alignment horizontal="center" vertical="center" wrapText="1" readingOrder="2"/>
    </xf>
    <xf numFmtId="0" fontId="13" fillId="0" borderId="95" xfId="0" applyFont="1" applyBorder="1" applyAlignment="1">
      <alignment horizontal="center" vertical="center" wrapText="1" readingOrder="2"/>
    </xf>
    <xf numFmtId="0" fontId="13" fillId="0" borderId="53" xfId="0" applyFont="1" applyBorder="1" applyAlignment="1">
      <alignment horizontal="center" vertical="center" wrapText="1" readingOrder="2"/>
    </xf>
    <xf numFmtId="0" fontId="13" fillId="0" borderId="60" xfId="0" applyFont="1" applyBorder="1" applyAlignment="1">
      <alignment horizontal="center" vertical="center" wrapText="1" readingOrder="2"/>
    </xf>
    <xf numFmtId="0" fontId="16" fillId="0" borderId="102" xfId="0" applyFont="1" applyBorder="1" applyAlignment="1">
      <alignment horizontal="center" vertical="center" wrapText="1"/>
    </xf>
    <xf numFmtId="0" fontId="16" fillId="0" borderId="67" xfId="0" applyFont="1" applyBorder="1" applyAlignment="1">
      <alignment horizontal="center" vertical="center" wrapText="1"/>
    </xf>
    <xf numFmtId="0" fontId="13" fillId="0" borderId="105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8" fillId="2" borderId="105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8" fillId="2" borderId="106" xfId="0" applyFont="1" applyFill="1" applyBorder="1" applyAlignment="1">
      <alignment horizontal="center" vertical="center" wrapText="1"/>
    </xf>
    <xf numFmtId="0" fontId="18" fillId="2" borderId="32" xfId="0" applyFont="1" applyFill="1" applyBorder="1" applyAlignment="1">
      <alignment horizontal="center" vertical="center" wrapText="1" readingOrder="2"/>
    </xf>
    <xf numFmtId="0" fontId="18" fillId="2" borderId="29" xfId="0" applyFont="1" applyFill="1" applyBorder="1" applyAlignment="1">
      <alignment horizontal="center" vertical="center" wrapText="1" readingOrder="2"/>
    </xf>
    <xf numFmtId="0" fontId="18" fillId="2" borderId="30" xfId="0" applyFont="1" applyFill="1" applyBorder="1" applyAlignment="1">
      <alignment horizontal="center" vertical="center" wrapText="1" readingOrder="2"/>
    </xf>
    <xf numFmtId="0" fontId="15" fillId="0" borderId="105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21" fillId="2" borderId="94" xfId="0" applyFont="1" applyFill="1" applyBorder="1" applyAlignment="1">
      <alignment horizontal="center" vertical="center" wrapText="1" readingOrder="2"/>
    </xf>
    <xf numFmtId="0" fontId="21" fillId="2" borderId="58" xfId="0" applyFont="1" applyFill="1" applyBorder="1" applyAlignment="1">
      <alignment horizontal="center" vertical="center" wrapText="1" readingOrder="2"/>
    </xf>
    <xf numFmtId="0" fontId="21" fillId="2" borderId="56" xfId="0" applyFont="1" applyFill="1" applyBorder="1" applyAlignment="1">
      <alignment horizontal="center" vertical="center" wrapText="1" readingOrder="2"/>
    </xf>
    <xf numFmtId="0" fontId="21" fillId="2" borderId="96" xfId="0" applyFont="1" applyFill="1" applyBorder="1" applyAlignment="1">
      <alignment horizontal="center" vertical="center" wrapText="1" readingOrder="2"/>
    </xf>
    <xf numFmtId="0" fontId="21" fillId="2" borderId="31" xfId="0" applyFont="1" applyFill="1" applyBorder="1" applyAlignment="1">
      <alignment horizontal="center" vertical="center" wrapText="1" readingOrder="2"/>
    </xf>
    <xf numFmtId="0" fontId="21" fillId="2" borderId="98" xfId="0" applyFont="1" applyFill="1" applyBorder="1" applyAlignment="1">
      <alignment horizontal="center" vertical="center" wrapText="1" readingOrder="2"/>
    </xf>
    <xf numFmtId="0" fontId="15" fillId="0" borderId="102" xfId="0" applyFont="1" applyBorder="1" applyAlignment="1">
      <alignment horizontal="center" vertical="center" wrapText="1"/>
    </xf>
    <xf numFmtId="0" fontId="15" fillId="0" borderId="67" xfId="0" applyFont="1" applyBorder="1" applyAlignment="1">
      <alignment horizontal="center" vertical="center" wrapText="1"/>
    </xf>
    <xf numFmtId="0" fontId="13" fillId="2" borderId="27" xfId="0" applyFont="1" applyFill="1" applyBorder="1" applyAlignment="1">
      <alignment horizontal="center" vertical="center" wrapText="1" readingOrder="2"/>
    </xf>
    <xf numFmtId="0" fontId="13" fillId="2" borderId="9" xfId="0" applyFont="1" applyFill="1" applyBorder="1" applyAlignment="1">
      <alignment horizontal="center" vertical="center" wrapText="1" readingOrder="2"/>
    </xf>
    <xf numFmtId="0" fontId="13" fillId="2" borderId="5" xfId="0" applyFont="1" applyFill="1" applyBorder="1" applyAlignment="1">
      <alignment horizontal="center" vertical="center" wrapText="1" readingOrder="2"/>
    </xf>
    <xf numFmtId="0" fontId="13" fillId="2" borderId="77" xfId="0" applyFont="1" applyFill="1" applyBorder="1" applyAlignment="1">
      <alignment horizontal="center" vertical="center" wrapText="1" readingOrder="2"/>
    </xf>
    <xf numFmtId="0" fontId="13" fillId="2" borderId="34" xfId="0" applyFont="1" applyFill="1" applyBorder="1" applyAlignment="1">
      <alignment horizontal="center" vertical="center" wrapText="1" readingOrder="2"/>
    </xf>
    <xf numFmtId="0" fontId="13" fillId="2" borderId="61" xfId="0" applyFont="1" applyFill="1" applyBorder="1" applyAlignment="1">
      <alignment horizontal="center" vertical="center" wrapText="1" readingOrder="2"/>
    </xf>
    <xf numFmtId="0" fontId="9" fillId="2" borderId="31" xfId="0" applyFont="1" applyFill="1" applyBorder="1" applyAlignment="1">
      <alignment horizontal="center" vertical="center"/>
    </xf>
    <xf numFmtId="0" fontId="9" fillId="2" borderId="98" xfId="0" applyFont="1" applyFill="1" applyBorder="1" applyAlignment="1">
      <alignment horizontal="center" vertical="center"/>
    </xf>
    <xf numFmtId="0" fontId="9" fillId="2" borderId="55" xfId="0" applyFont="1" applyFill="1" applyBorder="1" applyAlignment="1">
      <alignment horizontal="center" vertical="center"/>
    </xf>
    <xf numFmtId="0" fontId="9" fillId="2" borderId="58" xfId="0" applyFont="1" applyFill="1" applyBorder="1" applyAlignment="1">
      <alignment horizontal="center" vertical="center"/>
    </xf>
    <xf numFmtId="0" fontId="9" fillId="2" borderId="56" xfId="0" applyFont="1" applyFill="1" applyBorder="1" applyAlignment="1">
      <alignment horizontal="center" vertical="center"/>
    </xf>
    <xf numFmtId="0" fontId="9" fillId="0" borderId="125" xfId="0" applyFont="1" applyBorder="1" applyAlignment="1">
      <alignment horizontal="center" vertical="center"/>
    </xf>
    <xf numFmtId="0" fontId="9" fillId="0" borderId="88" xfId="0" applyFont="1" applyBorder="1" applyAlignment="1">
      <alignment horizontal="center" vertical="center"/>
    </xf>
    <xf numFmtId="0" fontId="9" fillId="0" borderId="68" xfId="0" applyFont="1" applyBorder="1" applyAlignment="1">
      <alignment horizontal="center" vertical="center"/>
    </xf>
    <xf numFmtId="0" fontId="20" fillId="2" borderId="32" xfId="0" applyFont="1" applyFill="1" applyBorder="1" applyAlignment="1">
      <alignment horizontal="center" vertical="center" wrapText="1" readingOrder="2"/>
    </xf>
    <xf numFmtId="0" fontId="20" fillId="2" borderId="29" xfId="0" applyFont="1" applyFill="1" applyBorder="1" applyAlignment="1">
      <alignment horizontal="center" vertical="center" wrapText="1" readingOrder="2"/>
    </xf>
    <xf numFmtId="0" fontId="20" fillId="2" borderId="30" xfId="0" applyFont="1" applyFill="1" applyBorder="1" applyAlignment="1">
      <alignment horizontal="center" vertical="center" wrapText="1" readingOrder="2"/>
    </xf>
    <xf numFmtId="0" fontId="20" fillId="2" borderId="52" xfId="0" applyFont="1" applyFill="1" applyBorder="1" applyAlignment="1">
      <alignment horizontal="center" vertical="center" wrapText="1" readingOrder="2"/>
    </xf>
    <xf numFmtId="0" fontId="20" fillId="2" borderId="0" xfId="0" applyFont="1" applyFill="1" applyBorder="1" applyAlignment="1">
      <alignment horizontal="center" vertical="center" wrapText="1" readingOrder="2"/>
    </xf>
    <xf numFmtId="0" fontId="20" fillId="2" borderId="17" xfId="0" applyFont="1" applyFill="1" applyBorder="1" applyAlignment="1">
      <alignment horizontal="center" vertical="center" wrapText="1" readingOrder="2"/>
    </xf>
    <xf numFmtId="0" fontId="20" fillId="2" borderId="57" xfId="0" applyFont="1" applyFill="1" applyBorder="1" applyAlignment="1">
      <alignment horizontal="center" vertical="center" wrapText="1" readingOrder="2"/>
    </xf>
    <xf numFmtId="0" fontId="20" fillId="2" borderId="21" xfId="0" applyFont="1" applyFill="1" applyBorder="1" applyAlignment="1">
      <alignment horizontal="center" vertical="center" wrapText="1" readingOrder="2"/>
    </xf>
    <xf numFmtId="0" fontId="20" fillId="2" borderId="26" xfId="0" applyFont="1" applyFill="1" applyBorder="1" applyAlignment="1">
      <alignment horizontal="center" vertical="center" wrapText="1" readingOrder="2"/>
    </xf>
    <xf numFmtId="0" fontId="26" fillId="2" borderId="85" xfId="0" applyFont="1" applyFill="1" applyBorder="1" applyAlignment="1">
      <alignment horizontal="center" vertical="center"/>
    </xf>
    <xf numFmtId="0" fontId="26" fillId="2" borderId="79" xfId="0" applyFont="1" applyFill="1" applyBorder="1" applyAlignment="1">
      <alignment horizontal="center" vertical="center"/>
    </xf>
    <xf numFmtId="0" fontId="26" fillId="2" borderId="78" xfId="0" applyFont="1" applyFill="1" applyBorder="1" applyAlignment="1">
      <alignment horizontal="center" vertical="center"/>
    </xf>
    <xf numFmtId="0" fontId="13" fillId="2" borderId="122" xfId="0" applyFont="1" applyFill="1" applyBorder="1" applyAlignment="1">
      <alignment horizontal="center" vertical="center"/>
    </xf>
    <xf numFmtId="0" fontId="20" fillId="2" borderId="77" xfId="0" applyFont="1" applyFill="1" applyBorder="1" applyAlignment="1">
      <alignment horizontal="center" vertical="center" wrapText="1" readingOrder="2"/>
    </xf>
    <xf numFmtId="0" fontId="20" fillId="2" borderId="34" xfId="0" applyFont="1" applyFill="1" applyBorder="1" applyAlignment="1">
      <alignment horizontal="center" vertical="center" wrapText="1" readingOrder="2"/>
    </xf>
    <xf numFmtId="0" fontId="20" fillId="2" borderId="61" xfId="0" applyFont="1" applyFill="1" applyBorder="1" applyAlignment="1">
      <alignment horizontal="center" vertical="center" wrapText="1" readingOrder="2"/>
    </xf>
    <xf numFmtId="0" fontId="21" fillId="2" borderId="32" xfId="0" applyFont="1" applyFill="1" applyBorder="1" applyAlignment="1">
      <alignment horizontal="center" vertical="center" wrapText="1" readingOrder="2"/>
    </xf>
    <xf numFmtId="0" fontId="21" fillId="2" borderId="29" xfId="0" applyFont="1" applyFill="1" applyBorder="1" applyAlignment="1">
      <alignment horizontal="center" vertical="center" wrapText="1" readingOrder="2"/>
    </xf>
    <xf numFmtId="0" fontId="21" fillId="2" borderId="30" xfId="0" applyFont="1" applyFill="1" applyBorder="1" applyAlignment="1">
      <alignment horizontal="center" vertical="center" wrapText="1" readingOrder="2"/>
    </xf>
    <xf numFmtId="0" fontId="21" fillId="2" borderId="52" xfId="0" applyFont="1" applyFill="1" applyBorder="1" applyAlignment="1">
      <alignment horizontal="center" vertical="center" wrapText="1" readingOrder="2"/>
    </xf>
    <xf numFmtId="0" fontId="21" fillId="2" borderId="17" xfId="0" applyFont="1" applyFill="1" applyBorder="1" applyAlignment="1">
      <alignment horizontal="center" vertical="center" wrapText="1" readingOrder="2"/>
    </xf>
    <xf numFmtId="0" fontId="21" fillId="2" borderId="57" xfId="0" applyFont="1" applyFill="1" applyBorder="1" applyAlignment="1">
      <alignment horizontal="center" vertical="center" wrapText="1" readingOrder="2"/>
    </xf>
    <xf numFmtId="0" fontId="21" fillId="2" borderId="21" xfId="0" applyFont="1" applyFill="1" applyBorder="1" applyAlignment="1">
      <alignment horizontal="center" vertical="center" wrapText="1" readingOrder="2"/>
    </xf>
    <xf numFmtId="0" fontId="21" fillId="2" borderId="26" xfId="0" applyFont="1" applyFill="1" applyBorder="1" applyAlignment="1">
      <alignment horizontal="center" vertical="center" wrapText="1" readingOrder="2"/>
    </xf>
    <xf numFmtId="0" fontId="19" fillId="0" borderId="63" xfId="0" applyFont="1" applyBorder="1" applyAlignment="1">
      <alignment horizontal="center" vertical="center"/>
    </xf>
    <xf numFmtId="0" fontId="19" fillId="0" borderId="47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6" xfId="0" applyFont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27" fillId="0" borderId="65" xfId="0" applyFont="1" applyBorder="1" applyAlignment="1">
      <alignment horizontal="center" vertical="center" wrapText="1"/>
    </xf>
    <xf numFmtId="0" fontId="27" fillId="0" borderId="19" xfId="0" applyFont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0" fontId="27" fillId="0" borderId="18" xfId="0" applyFont="1" applyBorder="1" applyAlignment="1">
      <alignment horizontal="center" vertical="center" wrapText="1"/>
    </xf>
    <xf numFmtId="0" fontId="27" fillId="0" borderId="44" xfId="0" applyFont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 wrapText="1" readingOrder="2"/>
    </xf>
    <xf numFmtId="0" fontId="18" fillId="2" borderId="53" xfId="0" applyFont="1" applyFill="1" applyBorder="1" applyAlignment="1">
      <alignment horizontal="center" vertical="center" wrapText="1" readingOrder="2"/>
    </xf>
    <xf numFmtId="0" fontId="18" fillId="2" borderId="93" xfId="0" applyFont="1" applyFill="1" applyBorder="1" applyAlignment="1">
      <alignment horizontal="center" vertical="center" wrapText="1" readingOrder="2"/>
    </xf>
    <xf numFmtId="0" fontId="20" fillId="2" borderId="70" xfId="0" applyFont="1" applyFill="1" applyBorder="1" applyAlignment="1">
      <alignment horizontal="center" vertical="center" wrapText="1" readingOrder="2"/>
    </xf>
    <xf numFmtId="0" fontId="13" fillId="2" borderId="32" xfId="0" applyFont="1" applyFill="1" applyBorder="1" applyAlignment="1">
      <alignment horizontal="center" vertical="center" wrapText="1" readingOrder="2"/>
    </xf>
    <xf numFmtId="0" fontId="13" fillId="2" borderId="29" xfId="0" applyFont="1" applyFill="1" applyBorder="1" applyAlignment="1">
      <alignment horizontal="center" vertical="center" wrapText="1" readingOrder="2"/>
    </xf>
    <xf numFmtId="0" fontId="13" fillId="2" borderId="30" xfId="0" applyFont="1" applyFill="1" applyBorder="1" applyAlignment="1">
      <alignment horizontal="center" vertical="center" wrapText="1" readingOrder="2"/>
    </xf>
    <xf numFmtId="0" fontId="13" fillId="2" borderId="95" xfId="0" applyFont="1" applyFill="1" applyBorder="1" applyAlignment="1">
      <alignment horizontal="center" vertical="center" wrapText="1" readingOrder="2"/>
    </xf>
    <xf numFmtId="0" fontId="13" fillId="2" borderId="53" xfId="0" applyFont="1" applyFill="1" applyBorder="1" applyAlignment="1">
      <alignment horizontal="center" vertical="center" wrapText="1" readingOrder="2"/>
    </xf>
    <xf numFmtId="0" fontId="13" fillId="2" borderId="60" xfId="0" applyFont="1" applyFill="1" applyBorder="1" applyAlignment="1">
      <alignment horizontal="center" vertical="center" wrapText="1" readingOrder="2"/>
    </xf>
    <xf numFmtId="0" fontId="20" fillId="2" borderId="95" xfId="0" applyFont="1" applyFill="1" applyBorder="1" applyAlignment="1">
      <alignment horizontal="center" vertical="center" wrapText="1" readingOrder="2"/>
    </xf>
    <xf numFmtId="0" fontId="20" fillId="2" borderId="53" xfId="0" applyFont="1" applyFill="1" applyBorder="1" applyAlignment="1">
      <alignment horizontal="center" vertical="center" wrapText="1" readingOrder="2"/>
    </xf>
    <xf numFmtId="0" fontId="20" fillId="2" borderId="60" xfId="0" applyFont="1" applyFill="1" applyBorder="1" applyAlignment="1">
      <alignment horizontal="center" vertical="center" wrapText="1" readingOrder="2"/>
    </xf>
    <xf numFmtId="0" fontId="18" fillId="2" borderId="95" xfId="0" applyFont="1" applyFill="1" applyBorder="1" applyAlignment="1">
      <alignment horizontal="center" vertical="center" wrapText="1" readingOrder="2"/>
    </xf>
    <xf numFmtId="0" fontId="18" fillId="2" borderId="60" xfId="0" applyFont="1" applyFill="1" applyBorder="1" applyAlignment="1">
      <alignment horizontal="center" vertical="center" wrapText="1" readingOrder="2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righ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67235</xdr:colOff>
      <xdr:row>0</xdr:row>
      <xdr:rowOff>145676</xdr:rowOff>
    </xdr:from>
    <xdr:to>
      <xdr:col>1</xdr:col>
      <xdr:colOff>394555</xdr:colOff>
      <xdr:row>1</xdr:row>
      <xdr:rowOff>201705</xdr:rowOff>
    </xdr:to>
    <xdr:pic>
      <xdr:nvPicPr>
        <xdr:cNvPr id="3" name="Picture 2" descr="nipco_fa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2564298" y="145676"/>
          <a:ext cx="853996" cy="4706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145677</xdr:rowOff>
    </xdr:from>
    <xdr:to>
      <xdr:col>1</xdr:col>
      <xdr:colOff>406250</xdr:colOff>
      <xdr:row>1</xdr:row>
      <xdr:rowOff>235324</xdr:rowOff>
    </xdr:to>
    <xdr:pic>
      <xdr:nvPicPr>
        <xdr:cNvPr id="4" name="Picture 3" descr="nipco_fa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3583544" y="145677"/>
          <a:ext cx="876897" cy="504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76637</xdr:colOff>
      <xdr:row>0</xdr:row>
      <xdr:rowOff>153276</xdr:rowOff>
    </xdr:from>
    <xdr:to>
      <xdr:col>1</xdr:col>
      <xdr:colOff>517813</xdr:colOff>
      <xdr:row>1</xdr:row>
      <xdr:rowOff>318267</xdr:rowOff>
    </xdr:to>
    <xdr:pic>
      <xdr:nvPicPr>
        <xdr:cNvPr id="2" name="Picture 1" descr="nipco_fa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501837" y="153276"/>
          <a:ext cx="1050776" cy="5840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76637</xdr:colOff>
      <xdr:row>32</xdr:row>
      <xdr:rowOff>153276</xdr:rowOff>
    </xdr:from>
    <xdr:to>
      <xdr:col>1</xdr:col>
      <xdr:colOff>517813</xdr:colOff>
      <xdr:row>33</xdr:row>
      <xdr:rowOff>318267</xdr:rowOff>
    </xdr:to>
    <xdr:pic>
      <xdr:nvPicPr>
        <xdr:cNvPr id="3" name="Picture 2" descr="nipco_fa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4404860" y="153276"/>
          <a:ext cx="1054279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153866</xdr:colOff>
      <xdr:row>0</xdr:row>
      <xdr:rowOff>87924</xdr:rowOff>
    </xdr:from>
    <xdr:to>
      <xdr:col>1</xdr:col>
      <xdr:colOff>346139</xdr:colOff>
      <xdr:row>1</xdr:row>
      <xdr:rowOff>219809</xdr:rowOff>
    </xdr:to>
    <xdr:pic>
      <xdr:nvPicPr>
        <xdr:cNvPr id="4" name="Picture 3" descr="nipco_fa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2737919" y="87924"/>
          <a:ext cx="771100" cy="4249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153866</xdr:colOff>
      <xdr:row>8</xdr:row>
      <xdr:rowOff>87924</xdr:rowOff>
    </xdr:from>
    <xdr:to>
      <xdr:col>1</xdr:col>
      <xdr:colOff>346139</xdr:colOff>
      <xdr:row>9</xdr:row>
      <xdr:rowOff>219809</xdr:rowOff>
    </xdr:to>
    <xdr:pic>
      <xdr:nvPicPr>
        <xdr:cNvPr id="5" name="Picture 4" descr="nipco_fa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93765462" y="87924"/>
          <a:ext cx="770194" cy="4315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153866</xdr:colOff>
      <xdr:row>16</xdr:row>
      <xdr:rowOff>87924</xdr:rowOff>
    </xdr:from>
    <xdr:to>
      <xdr:col>1</xdr:col>
      <xdr:colOff>346139</xdr:colOff>
      <xdr:row>17</xdr:row>
      <xdr:rowOff>219809</xdr:rowOff>
    </xdr:to>
    <xdr:pic>
      <xdr:nvPicPr>
        <xdr:cNvPr id="6" name="Picture 5" descr="nipco_fa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93765462" y="7932671"/>
          <a:ext cx="770194" cy="4315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153866</xdr:colOff>
      <xdr:row>22</xdr:row>
      <xdr:rowOff>87924</xdr:rowOff>
    </xdr:from>
    <xdr:to>
      <xdr:col>1</xdr:col>
      <xdr:colOff>346139</xdr:colOff>
      <xdr:row>23</xdr:row>
      <xdr:rowOff>219809</xdr:rowOff>
    </xdr:to>
    <xdr:pic>
      <xdr:nvPicPr>
        <xdr:cNvPr id="2" name="Picture 1" descr="nipco_fa">
          <a:extLst>
            <a:ext uri="{FF2B5EF4-FFF2-40B4-BE49-F238E27FC236}">
              <a16:creationId xmlns:a16="http://schemas.microsoft.com/office/drawing/2014/main" id="{5AB87EDE-2848-4516-9C8A-4A9B40607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24816214" y="14819924"/>
          <a:ext cx="804861" cy="4232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209550</xdr:rowOff>
    </xdr:from>
    <xdr:to>
      <xdr:col>1</xdr:col>
      <xdr:colOff>587554</xdr:colOff>
      <xdr:row>1</xdr:row>
      <xdr:rowOff>371475</xdr:rowOff>
    </xdr:to>
    <xdr:pic>
      <xdr:nvPicPr>
        <xdr:cNvPr id="6" name="Picture 5" descr="nipco_fa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508296" y="209550"/>
          <a:ext cx="1054279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51290</xdr:colOff>
      <xdr:row>0</xdr:row>
      <xdr:rowOff>73269</xdr:rowOff>
    </xdr:from>
    <xdr:to>
      <xdr:col>1</xdr:col>
      <xdr:colOff>473061</xdr:colOff>
      <xdr:row>1</xdr:row>
      <xdr:rowOff>344365</xdr:rowOff>
    </xdr:to>
    <xdr:pic>
      <xdr:nvPicPr>
        <xdr:cNvPr id="3" name="Picture 2" descr="nipco_fa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2273959" y="73269"/>
          <a:ext cx="1249713" cy="6887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438153</xdr:colOff>
      <xdr:row>3</xdr:row>
      <xdr:rowOff>66675</xdr:rowOff>
    </xdr:from>
    <xdr:to>
      <xdr:col>13</xdr:col>
      <xdr:colOff>38101</xdr:colOff>
      <xdr:row>33</xdr:row>
      <xdr:rowOff>155196</xdr:rowOff>
    </xdr:to>
    <xdr:sp macro="" textlink="">
      <xdr:nvSpPr>
        <xdr:cNvPr id="2" name="AutoShape 6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>
          <a:spLocks noChangeArrowheads="1"/>
        </xdr:cNvSpPr>
      </xdr:nvSpPr>
      <xdr:spPr bwMode="auto">
        <a:xfrm flipH="1">
          <a:off x="9979723499" y="638175"/>
          <a:ext cx="7524748" cy="5803521"/>
        </a:xfrm>
        <a:prstGeom prst="ellipseRibbon">
          <a:avLst>
            <a:gd name="adj1" fmla="val 25000"/>
            <a:gd name="adj2" fmla="val 75000"/>
            <a:gd name="adj3" fmla="val 12500"/>
          </a:avLst>
        </a:prstGeom>
        <a:solidFill>
          <a:srgbClr val="FAE794"/>
        </a:solidFill>
        <a:ln>
          <a:solidFill>
            <a:schemeClr val="tx1"/>
          </a:solidFill>
          <a:round/>
          <a:headEnd/>
          <a:tailEnd/>
        </a:ln>
        <a:effectLst>
          <a:outerShdw dist="107763" dir="2700000" algn="ctr" rotWithShape="0">
            <a:schemeClr val="bg2">
              <a:alpha val="50000"/>
            </a:schemeClr>
          </a:outerShdw>
        </a:effectLst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</a:bodyPr>
        <a:lstStyle>
          <a:lvl1pPr algn="ctr" rtl="1" fontAlgn="base">
            <a:spcBef>
              <a:spcPct val="0"/>
            </a:spcBef>
            <a:spcAft>
              <a:spcPct val="0"/>
            </a:spcAft>
            <a:defRPr sz="6000" kern="1200">
              <a:solidFill>
                <a:schemeClr val="tx2"/>
              </a:solidFill>
              <a:latin typeface="+mj-lt"/>
              <a:ea typeface="+mj-ea"/>
              <a:cs typeface="+mj-cs"/>
            </a:defRPr>
          </a:lvl1pPr>
          <a:lvl2pPr algn="ctr" rtl="1" fontAlgn="base">
            <a:spcBef>
              <a:spcPct val="0"/>
            </a:spcBef>
            <a:spcAft>
              <a:spcPct val="0"/>
            </a:spcAft>
            <a:defRPr sz="4400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defRPr>
          </a:lvl2pPr>
          <a:lvl3pPr algn="ctr" rtl="1" fontAlgn="base">
            <a:spcBef>
              <a:spcPct val="0"/>
            </a:spcBef>
            <a:spcAft>
              <a:spcPct val="0"/>
            </a:spcAft>
            <a:defRPr sz="4400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defRPr>
          </a:lvl3pPr>
          <a:lvl4pPr algn="ctr" rtl="1" fontAlgn="base">
            <a:spcBef>
              <a:spcPct val="0"/>
            </a:spcBef>
            <a:spcAft>
              <a:spcPct val="0"/>
            </a:spcAft>
            <a:defRPr sz="4400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defRPr>
          </a:lvl4pPr>
          <a:lvl5pPr algn="ctr" rtl="1" fontAlgn="base">
            <a:spcBef>
              <a:spcPct val="0"/>
            </a:spcBef>
            <a:spcAft>
              <a:spcPct val="0"/>
            </a:spcAft>
            <a:defRPr sz="4400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defRPr>
          </a:lvl5pPr>
          <a:lvl6pPr marL="457200" algn="ctr" rtl="1" fontAlgn="base">
            <a:spcBef>
              <a:spcPct val="0"/>
            </a:spcBef>
            <a:spcAft>
              <a:spcPct val="0"/>
            </a:spcAft>
            <a:defRPr sz="4400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defRPr>
          </a:lvl6pPr>
          <a:lvl7pPr marL="914400" algn="ctr" rtl="1" fontAlgn="base">
            <a:spcBef>
              <a:spcPct val="0"/>
            </a:spcBef>
            <a:spcAft>
              <a:spcPct val="0"/>
            </a:spcAft>
            <a:defRPr sz="4400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defRPr>
          </a:lvl7pPr>
          <a:lvl8pPr marL="1371600" algn="ctr" rtl="1" fontAlgn="base">
            <a:spcBef>
              <a:spcPct val="0"/>
            </a:spcBef>
            <a:spcAft>
              <a:spcPct val="0"/>
            </a:spcAft>
            <a:defRPr sz="4400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defRPr>
          </a:lvl8pPr>
          <a:lvl9pPr marL="1828800" algn="ctr" rtl="1" fontAlgn="base">
            <a:spcBef>
              <a:spcPct val="0"/>
            </a:spcBef>
            <a:spcAft>
              <a:spcPct val="0"/>
            </a:spcAft>
            <a:defRPr sz="4400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defRPr>
          </a:lvl9pPr>
        </a:lstStyle>
        <a:p>
          <a:r>
            <a:rPr lang="fa-IR" altLang="en-US" sz="8000" b="1">
              <a:cs typeface="B Zar" pitchFamily="2" charset="-78"/>
            </a:rPr>
            <a:t> </a:t>
          </a:r>
          <a:r>
            <a:rPr lang="fa-IR" altLang="en-US" sz="7200" b="1" u="sng">
              <a:cs typeface="B Zar" pitchFamily="2" charset="-78"/>
            </a:rPr>
            <a:t>شرکت نورایستا پلاستیک</a:t>
          </a:r>
          <a:r>
            <a:rPr lang="en-US" altLang="en-US" sz="8000" b="1" u="sng" baseline="0">
              <a:cs typeface="B Zar" pitchFamily="2" charset="-78"/>
            </a:rPr>
            <a:t> </a:t>
          </a:r>
          <a:r>
            <a:rPr lang="en-US" altLang="en-US" sz="5400" b="1" u="sng" baseline="0">
              <a:cs typeface="B Zar" pitchFamily="2" charset="-78"/>
            </a:rPr>
            <a:t>)</a:t>
          </a:r>
          <a:r>
            <a:rPr lang="fa-IR" altLang="en-US" sz="5400" b="1" u="sng" baseline="0">
              <a:cs typeface="B Zar" pitchFamily="2" charset="-78"/>
            </a:rPr>
            <a:t> </a:t>
          </a:r>
          <a:r>
            <a:rPr lang="en-US" altLang="en-US" sz="5400" b="1" u="sng" baseline="0">
              <a:cs typeface="B Zar" pitchFamily="2" charset="-78"/>
            </a:rPr>
            <a:t>H.S.E</a:t>
          </a:r>
          <a:r>
            <a:rPr lang="fa-IR" altLang="en-US" sz="5400" b="1" u="sng" baseline="0">
              <a:cs typeface="B Zar" pitchFamily="2" charset="-78"/>
            </a:rPr>
            <a:t> </a:t>
          </a:r>
          <a:r>
            <a:rPr lang="en-US" altLang="en-US" sz="5400" b="1" u="sng" baseline="0">
              <a:cs typeface="B Zar" pitchFamily="2" charset="-78"/>
            </a:rPr>
            <a:t>(</a:t>
          </a:r>
          <a:r>
            <a:rPr lang="fa-IR" altLang="en-US" sz="5400" b="1" u="sng" baseline="0">
              <a:cs typeface="B Zar" pitchFamily="2" charset="-78"/>
            </a:rPr>
            <a:t>                                     </a:t>
          </a:r>
          <a:r>
            <a:rPr lang="en-US" sz="6000" u="sng" kern="1200">
              <a:solidFill>
                <a:schemeClr val="tx2"/>
              </a:solidFill>
              <a:effectLst/>
              <a:latin typeface="+mj-lt"/>
              <a:ea typeface="+mj-ea"/>
              <a:cs typeface="+mj-cs"/>
            </a:rPr>
            <a:t>Management Review</a:t>
          </a:r>
          <a:endParaRPr lang="en-US" sz="6000" u="sng">
            <a:effectLst/>
          </a:endParaRPr>
        </a:p>
      </xdr:txBody>
    </xdr:sp>
    <xdr:clientData/>
  </xdr:twoCellAnchor>
  <xdr:twoCellAnchor>
    <xdr:from>
      <xdr:col>5</xdr:col>
      <xdr:colOff>575697</xdr:colOff>
      <xdr:row>35</xdr:row>
      <xdr:rowOff>120650</xdr:rowOff>
    </xdr:from>
    <xdr:to>
      <xdr:col>8</xdr:col>
      <xdr:colOff>381000</xdr:colOff>
      <xdr:row>39</xdr:row>
      <xdr:rowOff>12700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/>
      </xdr:nvSpPr>
      <xdr:spPr>
        <a:xfrm>
          <a:off x="11178286000" y="6232525"/>
          <a:ext cx="1853178" cy="590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800">
              <a:latin typeface="Algerian" pitchFamily="82" charset="0"/>
              <a:cs typeface="AngsanaUPC" pitchFamily="18" charset="-34"/>
            </a:rPr>
            <a:t>1405-01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U18"/>
  <sheetViews>
    <sheetView rightToLeft="1" view="pageBreakPreview" zoomScaleNormal="85" zoomScaleSheetLayoutView="100" workbookViewId="0">
      <selection activeCell="F24" sqref="F24"/>
    </sheetView>
  </sheetViews>
  <sheetFormatPr defaultColWidth="9.21875" defaultRowHeight="16.8" x14ac:dyDescent="0.3"/>
  <cols>
    <col min="1" max="2" width="7.77734375" style="1" customWidth="1"/>
    <col min="3" max="3" width="9.44140625" style="1" customWidth="1"/>
    <col min="4" max="8" width="9.21875" style="1"/>
    <col min="9" max="9" width="6" style="1" customWidth="1"/>
    <col min="10" max="11" width="6" style="8" customWidth="1"/>
    <col min="12" max="12" width="6" style="1" customWidth="1"/>
    <col min="13" max="13" width="5.44140625" style="1" customWidth="1"/>
    <col min="14" max="14" width="12.77734375" style="1" customWidth="1"/>
    <col min="15" max="15" width="11.77734375" style="1" customWidth="1"/>
    <col min="16" max="16384" width="9.21875" style="1"/>
  </cols>
  <sheetData>
    <row r="1" spans="1:21" ht="33" customHeight="1" thickTop="1" x14ac:dyDescent="0.3">
      <c r="A1" s="123"/>
      <c r="B1" s="124"/>
      <c r="C1" s="127" t="s">
        <v>103</v>
      </c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3" t="s">
        <v>16</v>
      </c>
      <c r="O1" s="10" t="str">
        <f>'1'!O1</f>
        <v>1405/05/22</v>
      </c>
    </row>
    <row r="2" spans="1:21" ht="33" customHeight="1" thickBot="1" x14ac:dyDescent="0.35">
      <c r="A2" s="125"/>
      <c r="B2" s="126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" t="s">
        <v>27</v>
      </c>
      <c r="O2" s="11">
        <f>'14'!O2+1</f>
        <v>6</v>
      </c>
    </row>
    <row r="3" spans="1:21" ht="19.5" customHeight="1" thickTop="1" x14ac:dyDescent="0.3">
      <c r="A3" s="138" t="s">
        <v>26</v>
      </c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40"/>
      <c r="N3" s="129" t="s">
        <v>15</v>
      </c>
      <c r="O3" s="131" t="s">
        <v>16</v>
      </c>
    </row>
    <row r="4" spans="1:21" ht="20.25" customHeight="1" thickBot="1" x14ac:dyDescent="0.35">
      <c r="A4" s="141"/>
      <c r="B4" s="142"/>
      <c r="C4" s="142"/>
      <c r="D4" s="142"/>
      <c r="E4" s="142"/>
      <c r="F4" s="142"/>
      <c r="G4" s="142"/>
      <c r="H4" s="142"/>
      <c r="I4" s="142"/>
      <c r="J4" s="142"/>
      <c r="K4" s="142"/>
      <c r="L4" s="142"/>
      <c r="M4" s="143"/>
      <c r="N4" s="130"/>
      <c r="O4" s="132"/>
    </row>
    <row r="5" spans="1:21" ht="44.25" customHeight="1" thickTop="1" thickBot="1" x14ac:dyDescent="0.35">
      <c r="A5" s="121" t="s">
        <v>136</v>
      </c>
      <c r="B5" s="122"/>
      <c r="C5" s="133" t="s">
        <v>66</v>
      </c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22" t="s">
        <v>41</v>
      </c>
      <c r="O5" s="21">
        <v>1405</v>
      </c>
    </row>
    <row r="6" spans="1:21" s="8" customFormat="1" ht="44.25" customHeight="1" thickTop="1" thickBot="1" x14ac:dyDescent="0.35">
      <c r="A6" s="121" t="s">
        <v>137</v>
      </c>
      <c r="B6" s="122"/>
      <c r="C6" s="118" t="s">
        <v>63</v>
      </c>
      <c r="D6" s="119"/>
      <c r="E6" s="119"/>
      <c r="F6" s="119"/>
      <c r="G6" s="119"/>
      <c r="H6" s="119"/>
      <c r="I6" s="119"/>
      <c r="J6" s="119"/>
      <c r="K6" s="119"/>
      <c r="L6" s="119"/>
      <c r="M6" s="120"/>
      <c r="N6" s="73" t="s">
        <v>72</v>
      </c>
      <c r="O6" s="103" t="s">
        <v>170</v>
      </c>
    </row>
    <row r="7" spans="1:21" ht="42.75" customHeight="1" thickTop="1" thickBot="1" x14ac:dyDescent="0.35">
      <c r="A7" s="121" t="s">
        <v>138</v>
      </c>
      <c r="B7" s="122"/>
      <c r="C7" s="135" t="s">
        <v>69</v>
      </c>
      <c r="D7" s="136"/>
      <c r="E7" s="136"/>
      <c r="F7" s="136"/>
      <c r="G7" s="136"/>
      <c r="H7" s="136"/>
      <c r="I7" s="136"/>
      <c r="J7" s="136"/>
      <c r="K7" s="136"/>
      <c r="L7" s="136"/>
      <c r="M7" s="137"/>
      <c r="N7" s="23" t="s">
        <v>71</v>
      </c>
      <c r="O7" s="74" t="s">
        <v>67</v>
      </c>
      <c r="U7" s="45"/>
    </row>
    <row r="8" spans="1:21" ht="34.5" customHeight="1" thickTop="1" thickBot="1" x14ac:dyDescent="0.35">
      <c r="A8" s="121" t="s">
        <v>139</v>
      </c>
      <c r="B8" s="122"/>
      <c r="C8" s="108" t="s">
        <v>70</v>
      </c>
      <c r="D8" s="109"/>
      <c r="E8" s="109"/>
      <c r="F8" s="109"/>
      <c r="G8" s="109"/>
      <c r="H8" s="109"/>
      <c r="I8" s="109"/>
      <c r="J8" s="109"/>
      <c r="K8" s="109"/>
      <c r="L8" s="109"/>
      <c r="M8" s="110"/>
      <c r="N8" s="68" t="s">
        <v>40</v>
      </c>
      <c r="O8" s="104" t="s">
        <v>170</v>
      </c>
    </row>
    <row r="9" spans="1:21" s="8" customFormat="1" ht="44.25" customHeight="1" thickTop="1" thickBot="1" x14ac:dyDescent="0.35">
      <c r="A9" s="121" t="s">
        <v>140</v>
      </c>
      <c r="B9" s="122"/>
      <c r="C9" s="135" t="s">
        <v>145</v>
      </c>
      <c r="D9" s="136"/>
      <c r="E9" s="136"/>
      <c r="F9" s="136"/>
      <c r="G9" s="136"/>
      <c r="H9" s="136"/>
      <c r="I9" s="136"/>
      <c r="J9" s="136"/>
      <c r="K9" s="136"/>
      <c r="L9" s="136"/>
      <c r="M9" s="137"/>
      <c r="N9" s="69" t="s">
        <v>146</v>
      </c>
      <c r="O9" s="104" t="s">
        <v>170</v>
      </c>
    </row>
    <row r="10" spans="1:21" ht="38.25" customHeight="1" thickTop="1" thickBot="1" x14ac:dyDescent="0.35">
      <c r="A10" s="121" t="s">
        <v>141</v>
      </c>
      <c r="B10" s="122"/>
      <c r="C10" s="108" t="s">
        <v>153</v>
      </c>
      <c r="D10" s="109"/>
      <c r="E10" s="109"/>
      <c r="F10" s="109"/>
      <c r="G10" s="109"/>
      <c r="H10" s="109"/>
      <c r="I10" s="109"/>
      <c r="J10" s="109"/>
      <c r="K10" s="109"/>
      <c r="L10" s="109"/>
      <c r="M10" s="110"/>
      <c r="N10" s="69" t="s">
        <v>146</v>
      </c>
      <c r="O10" s="104" t="s">
        <v>170</v>
      </c>
    </row>
    <row r="11" spans="1:21" s="8" customFormat="1" ht="33" customHeight="1" thickTop="1" thickBot="1" x14ac:dyDescent="0.35">
      <c r="A11" s="121" t="s">
        <v>142</v>
      </c>
      <c r="B11" s="122"/>
      <c r="C11" s="115" t="s">
        <v>154</v>
      </c>
      <c r="D11" s="116"/>
      <c r="E11" s="116"/>
      <c r="F11" s="116"/>
      <c r="G11" s="116"/>
      <c r="H11" s="116"/>
      <c r="I11" s="116"/>
      <c r="J11" s="116"/>
      <c r="K11" s="116"/>
      <c r="L11" s="116"/>
      <c r="M11" s="117"/>
      <c r="N11" s="70" t="s">
        <v>155</v>
      </c>
      <c r="O11" s="104" t="s">
        <v>170</v>
      </c>
    </row>
    <row r="12" spans="1:21" s="8" customFormat="1" ht="26.25" customHeight="1" thickTop="1" thickBot="1" x14ac:dyDescent="0.35">
      <c r="A12" s="121" t="s">
        <v>143</v>
      </c>
      <c r="B12" s="122"/>
      <c r="C12" s="118" t="s">
        <v>156</v>
      </c>
      <c r="D12" s="119"/>
      <c r="E12" s="119"/>
      <c r="F12" s="119"/>
      <c r="G12" s="119"/>
      <c r="H12" s="119"/>
      <c r="I12" s="119"/>
      <c r="J12" s="119"/>
      <c r="K12" s="119"/>
      <c r="L12" s="119"/>
      <c r="M12" s="120"/>
      <c r="N12" s="69" t="s">
        <v>146</v>
      </c>
      <c r="O12" s="104" t="s">
        <v>170</v>
      </c>
    </row>
    <row r="13" spans="1:21" s="8" customFormat="1" ht="39" customHeight="1" thickTop="1" thickBot="1" x14ac:dyDescent="0.35">
      <c r="A13" s="121" t="s">
        <v>144</v>
      </c>
      <c r="B13" s="122"/>
      <c r="C13" s="118" t="s">
        <v>156</v>
      </c>
      <c r="D13" s="119"/>
      <c r="E13" s="119"/>
      <c r="F13" s="119"/>
      <c r="G13" s="119"/>
      <c r="H13" s="119"/>
      <c r="I13" s="119"/>
      <c r="J13" s="119"/>
      <c r="K13" s="119"/>
      <c r="L13" s="119"/>
      <c r="M13" s="120"/>
      <c r="N13" s="22" t="s">
        <v>41</v>
      </c>
      <c r="O13" s="104" t="s">
        <v>170</v>
      </c>
    </row>
    <row r="14" spans="1:21" s="8" customFormat="1" ht="26.25" customHeight="1" thickTop="1" thickBot="1" x14ac:dyDescent="0.35">
      <c r="A14" s="121"/>
      <c r="B14" s="122"/>
      <c r="C14" s="118"/>
      <c r="D14" s="119"/>
      <c r="E14" s="119"/>
      <c r="F14" s="119"/>
      <c r="G14" s="119"/>
      <c r="H14" s="119"/>
      <c r="I14" s="119"/>
      <c r="J14" s="119"/>
      <c r="K14" s="119"/>
      <c r="L14" s="119"/>
      <c r="M14" s="120"/>
      <c r="N14" s="71"/>
      <c r="O14" s="78"/>
    </row>
    <row r="15" spans="1:21" s="8" customFormat="1" ht="26.25" customHeight="1" thickTop="1" thickBot="1" x14ac:dyDescent="0.35">
      <c r="A15" s="121"/>
      <c r="B15" s="122"/>
      <c r="C15" s="118"/>
      <c r="D15" s="119"/>
      <c r="E15" s="119"/>
      <c r="F15" s="119"/>
      <c r="G15" s="119"/>
      <c r="H15" s="119"/>
      <c r="I15" s="119"/>
      <c r="J15" s="119"/>
      <c r="K15" s="119"/>
      <c r="L15" s="119"/>
      <c r="M15" s="120"/>
      <c r="N15" s="70"/>
      <c r="O15" s="75"/>
    </row>
    <row r="16" spans="1:21" ht="34.5" customHeight="1" thickTop="1" thickBot="1" x14ac:dyDescent="0.35">
      <c r="A16" s="121"/>
      <c r="B16" s="122"/>
      <c r="C16" s="111"/>
      <c r="D16" s="112"/>
      <c r="E16" s="112"/>
      <c r="F16" s="112"/>
      <c r="G16" s="112"/>
      <c r="H16" s="112"/>
      <c r="I16" s="112"/>
      <c r="J16" s="112"/>
      <c r="K16" s="112"/>
      <c r="L16" s="112"/>
      <c r="M16" s="113"/>
      <c r="N16" s="76"/>
      <c r="O16" s="77"/>
    </row>
    <row r="17" spans="1:15" s="8" customFormat="1" ht="18" thickTop="1" thickBot="1" x14ac:dyDescent="0.35">
      <c r="A17" s="106" t="s">
        <v>57</v>
      </c>
      <c r="B17" s="107"/>
      <c r="C17" s="107"/>
      <c r="D17" s="107" t="s">
        <v>24</v>
      </c>
      <c r="E17" s="107"/>
      <c r="F17" s="107"/>
      <c r="G17" s="107"/>
      <c r="H17" s="107"/>
      <c r="I17" s="107"/>
      <c r="J17" s="107" t="s">
        <v>25</v>
      </c>
      <c r="K17" s="107"/>
      <c r="L17" s="107"/>
      <c r="M17" s="107"/>
      <c r="N17" s="107"/>
      <c r="O17" s="114"/>
    </row>
    <row r="18" spans="1:15" ht="17.399999999999999" thickTop="1" x14ac:dyDescent="0.3"/>
  </sheetData>
  <mergeCells count="32">
    <mergeCell ref="A1:B2"/>
    <mergeCell ref="C1:M2"/>
    <mergeCell ref="N3:N4"/>
    <mergeCell ref="O3:O4"/>
    <mergeCell ref="C15:M15"/>
    <mergeCell ref="C6:M6"/>
    <mergeCell ref="C5:M5"/>
    <mergeCell ref="C7:M7"/>
    <mergeCell ref="C8:M8"/>
    <mergeCell ref="C9:M9"/>
    <mergeCell ref="A3:M4"/>
    <mergeCell ref="A5:B5"/>
    <mergeCell ref="A6:B6"/>
    <mergeCell ref="A7:B7"/>
    <mergeCell ref="A8:B8"/>
    <mergeCell ref="A9:B9"/>
    <mergeCell ref="A17:C17"/>
    <mergeCell ref="D17:I17"/>
    <mergeCell ref="C10:M10"/>
    <mergeCell ref="C16:M16"/>
    <mergeCell ref="J17:O17"/>
    <mergeCell ref="C11:M11"/>
    <mergeCell ref="C12:M12"/>
    <mergeCell ref="C13:M13"/>
    <mergeCell ref="C14:M14"/>
    <mergeCell ref="A13:B13"/>
    <mergeCell ref="A14:B14"/>
    <mergeCell ref="A15:B15"/>
    <mergeCell ref="A16:B16"/>
    <mergeCell ref="A10:B10"/>
    <mergeCell ref="A11:B11"/>
    <mergeCell ref="A12:B12"/>
  </mergeCells>
  <phoneticPr fontId="32" type="noConversion"/>
  <pageMargins left="0" right="0.761811024" top="0.511811023622047" bottom="0" header="0.31496062992126" footer="0.31496062992126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O22"/>
  <sheetViews>
    <sheetView rightToLeft="1" view="pageBreakPreview" zoomScaleNormal="85" zoomScaleSheetLayoutView="100" workbookViewId="0">
      <selection activeCell="C5" sqref="C5:M6"/>
    </sheetView>
  </sheetViews>
  <sheetFormatPr defaultColWidth="9.21875" defaultRowHeight="16.8" x14ac:dyDescent="0.3"/>
  <cols>
    <col min="1" max="2" width="7" style="1" customWidth="1"/>
    <col min="3" max="3" width="8.77734375" style="1" customWidth="1"/>
    <col min="4" max="9" width="9.21875" style="1"/>
    <col min="10" max="11" width="9.21875" style="8"/>
    <col min="12" max="12" width="7.21875" style="1" bestFit="1" customWidth="1"/>
    <col min="13" max="13" width="8" style="1" customWidth="1"/>
    <col min="14" max="14" width="11.44140625" style="1" customWidth="1"/>
    <col min="15" max="15" width="11.77734375" style="1" customWidth="1"/>
    <col min="16" max="16384" width="9.21875" style="1"/>
  </cols>
  <sheetData>
    <row r="1" spans="1:15" ht="27" customHeight="1" thickTop="1" x14ac:dyDescent="0.3">
      <c r="A1" s="123"/>
      <c r="B1" s="124"/>
      <c r="C1" s="127" t="s">
        <v>83</v>
      </c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35" t="s">
        <v>16</v>
      </c>
      <c r="O1" s="36" t="str">
        <f>'1'!O1</f>
        <v>1405/05/22</v>
      </c>
    </row>
    <row r="2" spans="1:15" ht="24.75" customHeight="1" thickBot="1" x14ac:dyDescent="0.35">
      <c r="A2" s="125"/>
      <c r="B2" s="126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58" t="s">
        <v>27</v>
      </c>
      <c r="O2" s="37">
        <v>5</v>
      </c>
    </row>
    <row r="3" spans="1:15" ht="19.5" customHeight="1" thickTop="1" x14ac:dyDescent="0.3">
      <c r="A3" s="200" t="s">
        <v>0</v>
      </c>
      <c r="B3" s="201"/>
      <c r="C3" s="204" t="s">
        <v>3</v>
      </c>
      <c r="D3" s="152" t="s">
        <v>4</v>
      </c>
      <c r="E3" s="152" t="s">
        <v>5</v>
      </c>
      <c r="F3" s="155" t="s">
        <v>6</v>
      </c>
      <c r="G3" s="206" t="s">
        <v>7</v>
      </c>
      <c r="H3" s="206"/>
      <c r="I3" s="206"/>
      <c r="J3" s="201"/>
      <c r="K3" s="206" t="s">
        <v>28</v>
      </c>
      <c r="L3" s="206"/>
      <c r="M3" s="206"/>
      <c r="N3" s="198" t="s">
        <v>15</v>
      </c>
      <c r="O3" s="196" t="s">
        <v>16</v>
      </c>
    </row>
    <row r="4" spans="1:15" ht="32.25" customHeight="1" thickBot="1" x14ac:dyDescent="0.35">
      <c r="A4" s="202"/>
      <c r="B4" s="203"/>
      <c r="C4" s="205"/>
      <c r="D4" s="153"/>
      <c r="E4" s="154"/>
      <c r="F4" s="156"/>
      <c r="G4" s="207"/>
      <c r="H4" s="207"/>
      <c r="I4" s="207"/>
      <c r="J4" s="203"/>
      <c r="K4" s="207"/>
      <c r="L4" s="207"/>
      <c r="M4" s="207"/>
      <c r="N4" s="199"/>
      <c r="O4" s="197"/>
    </row>
    <row r="5" spans="1:15" ht="35.25" customHeight="1" thickTop="1" x14ac:dyDescent="0.3">
      <c r="A5" s="148" t="s">
        <v>13</v>
      </c>
      <c r="B5" s="149"/>
      <c r="C5" s="190" t="s">
        <v>161</v>
      </c>
      <c r="D5" s="191"/>
      <c r="E5" s="191"/>
      <c r="F5" s="191"/>
      <c r="G5" s="191"/>
      <c r="H5" s="191"/>
      <c r="I5" s="191"/>
      <c r="J5" s="191"/>
      <c r="K5" s="191"/>
      <c r="L5" s="191"/>
      <c r="M5" s="192"/>
      <c r="N5" s="186" t="s">
        <v>114</v>
      </c>
      <c r="O5" s="188" t="s">
        <v>38</v>
      </c>
    </row>
    <row r="6" spans="1:15" ht="27.75" customHeight="1" thickBot="1" x14ac:dyDescent="0.35">
      <c r="A6" s="150"/>
      <c r="B6" s="151"/>
      <c r="C6" s="193"/>
      <c r="D6" s="194"/>
      <c r="E6" s="194"/>
      <c r="F6" s="194"/>
      <c r="G6" s="194"/>
      <c r="H6" s="194"/>
      <c r="I6" s="194"/>
      <c r="J6" s="194"/>
      <c r="K6" s="194"/>
      <c r="L6" s="194"/>
      <c r="M6" s="195"/>
      <c r="N6" s="187"/>
      <c r="O6" s="189"/>
    </row>
    <row r="7" spans="1:15" ht="36.75" customHeight="1" x14ac:dyDescent="0.3">
      <c r="A7" s="144" t="s">
        <v>102</v>
      </c>
      <c r="B7" s="145"/>
      <c r="C7" s="157" t="s">
        <v>160</v>
      </c>
      <c r="D7" s="158"/>
      <c r="E7" s="158"/>
      <c r="F7" s="158"/>
      <c r="G7" s="158"/>
      <c r="H7" s="158"/>
      <c r="I7" s="158"/>
      <c r="J7" s="158"/>
      <c r="K7" s="158"/>
      <c r="L7" s="158"/>
      <c r="M7" s="158"/>
      <c r="N7" s="158"/>
      <c r="O7" s="159"/>
    </row>
    <row r="8" spans="1:15" ht="27.75" customHeight="1" x14ac:dyDescent="0.3">
      <c r="A8" s="146"/>
      <c r="B8" s="147"/>
      <c r="C8" s="160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2"/>
    </row>
    <row r="9" spans="1:15" s="8" customFormat="1" ht="48.75" customHeight="1" x14ac:dyDescent="0.3">
      <c r="A9" s="146"/>
      <c r="B9" s="147"/>
      <c r="C9" s="160"/>
      <c r="D9" s="161"/>
      <c r="E9" s="161"/>
      <c r="F9" s="161"/>
      <c r="G9" s="161"/>
      <c r="H9" s="161"/>
      <c r="I9" s="161"/>
      <c r="J9" s="161"/>
      <c r="K9" s="161"/>
      <c r="L9" s="161"/>
      <c r="M9" s="161"/>
      <c r="N9" s="161"/>
      <c r="O9" s="162"/>
    </row>
    <row r="10" spans="1:15" ht="42" customHeight="1" thickBot="1" x14ac:dyDescent="0.35">
      <c r="A10" s="31"/>
      <c r="B10" s="32"/>
      <c r="C10" s="163"/>
      <c r="D10" s="164"/>
      <c r="E10" s="164"/>
      <c r="F10" s="164"/>
      <c r="G10" s="164"/>
      <c r="H10" s="164"/>
      <c r="I10" s="164"/>
      <c r="J10" s="164"/>
      <c r="K10" s="164"/>
      <c r="L10" s="164"/>
      <c r="M10" s="164"/>
      <c r="N10" s="164"/>
      <c r="O10" s="165"/>
    </row>
    <row r="11" spans="1:15" ht="27.75" customHeight="1" x14ac:dyDescent="0.3">
      <c r="A11" s="144" t="s">
        <v>14</v>
      </c>
      <c r="B11" s="145"/>
      <c r="C11" s="177" t="s">
        <v>62</v>
      </c>
      <c r="D11" s="178"/>
      <c r="E11" s="178"/>
      <c r="F11" s="178"/>
      <c r="G11" s="178"/>
      <c r="H11" s="178"/>
      <c r="I11" s="178"/>
      <c r="J11" s="179"/>
      <c r="K11" s="171" t="s">
        <v>63</v>
      </c>
      <c r="L11" s="171"/>
      <c r="M11" s="172"/>
      <c r="N11" s="169" t="s">
        <v>64</v>
      </c>
      <c r="O11" s="166" t="s">
        <v>119</v>
      </c>
    </row>
    <row r="12" spans="1:15" ht="27.75" customHeight="1" x14ac:dyDescent="0.3">
      <c r="A12" s="146"/>
      <c r="B12" s="147"/>
      <c r="C12" s="180"/>
      <c r="D12" s="181"/>
      <c r="E12" s="181"/>
      <c r="F12" s="181"/>
      <c r="G12" s="181"/>
      <c r="H12" s="181"/>
      <c r="I12" s="181"/>
      <c r="J12" s="182"/>
      <c r="K12" s="173"/>
      <c r="L12" s="173"/>
      <c r="M12" s="174"/>
      <c r="N12" s="169"/>
      <c r="O12" s="167"/>
    </row>
    <row r="13" spans="1:15" ht="27.75" customHeight="1" thickBot="1" x14ac:dyDescent="0.35">
      <c r="A13" s="146"/>
      <c r="B13" s="147"/>
      <c r="C13" s="183"/>
      <c r="D13" s="184"/>
      <c r="E13" s="184"/>
      <c r="F13" s="184"/>
      <c r="G13" s="184"/>
      <c r="H13" s="184"/>
      <c r="I13" s="184"/>
      <c r="J13" s="185"/>
      <c r="K13" s="175"/>
      <c r="L13" s="175"/>
      <c r="M13" s="176"/>
      <c r="N13" s="170"/>
      <c r="O13" s="168"/>
    </row>
    <row r="14" spans="1:15" s="7" customFormat="1" ht="35.25" customHeight="1" x14ac:dyDescent="0.3">
      <c r="A14" s="215" t="s">
        <v>157</v>
      </c>
      <c r="B14" s="216"/>
      <c r="C14" s="223" t="s">
        <v>37</v>
      </c>
      <c r="D14" s="224"/>
      <c r="E14" s="224"/>
      <c r="F14" s="224"/>
      <c r="G14" s="224"/>
      <c r="H14" s="224"/>
      <c r="I14" s="224"/>
      <c r="J14" s="224"/>
      <c r="K14" s="224"/>
      <c r="L14" s="224"/>
      <c r="M14" s="225"/>
      <c r="N14" s="211" t="s">
        <v>114</v>
      </c>
      <c r="O14" s="208" t="s">
        <v>38</v>
      </c>
    </row>
    <row r="15" spans="1:15" s="7" customFormat="1" ht="23.25" customHeight="1" x14ac:dyDescent="0.3">
      <c r="A15" s="217"/>
      <c r="B15" s="218"/>
      <c r="C15" s="226"/>
      <c r="D15" s="227"/>
      <c r="E15" s="227"/>
      <c r="F15" s="227"/>
      <c r="G15" s="227"/>
      <c r="H15" s="227"/>
      <c r="I15" s="227"/>
      <c r="J15" s="227"/>
      <c r="K15" s="227"/>
      <c r="L15" s="227"/>
      <c r="M15" s="228"/>
      <c r="N15" s="212"/>
      <c r="O15" s="209"/>
    </row>
    <row r="16" spans="1:15" s="7" customFormat="1" ht="52.95" customHeight="1" thickBot="1" x14ac:dyDescent="0.35">
      <c r="A16" s="219"/>
      <c r="B16" s="220"/>
      <c r="C16" s="229"/>
      <c r="D16" s="230"/>
      <c r="E16" s="230"/>
      <c r="F16" s="230"/>
      <c r="G16" s="230"/>
      <c r="H16" s="230"/>
      <c r="I16" s="230"/>
      <c r="J16" s="230"/>
      <c r="K16" s="230"/>
      <c r="L16" s="230"/>
      <c r="M16" s="231"/>
      <c r="N16" s="187"/>
      <c r="O16" s="210"/>
    </row>
    <row r="17" spans="1:15" s="7" customFormat="1" ht="24.45" customHeight="1" x14ac:dyDescent="0.3">
      <c r="A17" s="146" t="s">
        <v>158</v>
      </c>
      <c r="B17" s="147"/>
      <c r="C17" s="223" t="s">
        <v>159</v>
      </c>
      <c r="D17" s="224"/>
      <c r="E17" s="224"/>
      <c r="F17" s="224"/>
      <c r="G17" s="224"/>
      <c r="H17" s="224"/>
      <c r="I17" s="224"/>
      <c r="J17" s="224"/>
      <c r="K17" s="224"/>
      <c r="L17" s="224"/>
      <c r="M17" s="225"/>
      <c r="N17" s="211" t="s">
        <v>44</v>
      </c>
      <c r="O17" s="208" t="s">
        <v>38</v>
      </c>
    </row>
    <row r="18" spans="1:15" s="7" customFormat="1" ht="27.75" customHeight="1" x14ac:dyDescent="0.3">
      <c r="A18" s="146"/>
      <c r="B18" s="147"/>
      <c r="C18" s="226"/>
      <c r="D18" s="227"/>
      <c r="E18" s="227"/>
      <c r="F18" s="227"/>
      <c r="G18" s="227"/>
      <c r="H18" s="227"/>
      <c r="I18" s="227"/>
      <c r="J18" s="227"/>
      <c r="K18" s="227"/>
      <c r="L18" s="227"/>
      <c r="M18" s="228"/>
      <c r="N18" s="212"/>
      <c r="O18" s="209"/>
    </row>
    <row r="19" spans="1:15" s="7" customFormat="1" ht="27.75" customHeight="1" x14ac:dyDescent="0.3">
      <c r="A19" s="146"/>
      <c r="B19" s="147"/>
      <c r="C19" s="226"/>
      <c r="D19" s="227"/>
      <c r="E19" s="227"/>
      <c r="F19" s="227"/>
      <c r="G19" s="227"/>
      <c r="H19" s="227"/>
      <c r="I19" s="227"/>
      <c r="J19" s="227"/>
      <c r="K19" s="227"/>
      <c r="L19" s="227"/>
      <c r="M19" s="228"/>
      <c r="N19" s="212"/>
      <c r="O19" s="209"/>
    </row>
    <row r="20" spans="1:15" s="7" customFormat="1" ht="33.450000000000003" customHeight="1" thickBot="1" x14ac:dyDescent="0.35">
      <c r="A20" s="221"/>
      <c r="B20" s="222"/>
      <c r="C20" s="232"/>
      <c r="D20" s="233"/>
      <c r="E20" s="233"/>
      <c r="F20" s="233"/>
      <c r="G20" s="233"/>
      <c r="H20" s="233"/>
      <c r="I20" s="233"/>
      <c r="J20" s="233"/>
      <c r="K20" s="233"/>
      <c r="L20" s="233"/>
      <c r="M20" s="234"/>
      <c r="N20" s="214"/>
      <c r="O20" s="213"/>
    </row>
    <row r="21" spans="1:15" s="8" customFormat="1" ht="18" thickTop="1" thickBot="1" x14ac:dyDescent="0.35">
      <c r="A21" s="106" t="s">
        <v>57</v>
      </c>
      <c r="B21" s="107"/>
      <c r="C21" s="107"/>
      <c r="D21" s="107" t="s">
        <v>24</v>
      </c>
      <c r="E21" s="107"/>
      <c r="F21" s="107"/>
      <c r="G21" s="107"/>
      <c r="H21" s="107"/>
      <c r="I21" s="107"/>
      <c r="J21" s="107" t="s">
        <v>25</v>
      </c>
      <c r="K21" s="107"/>
      <c r="L21" s="107"/>
      <c r="M21" s="107"/>
      <c r="N21" s="107"/>
      <c r="O21" s="114"/>
    </row>
    <row r="22" spans="1:15" ht="17.399999999999999" thickTop="1" x14ac:dyDescent="0.3"/>
  </sheetData>
  <mergeCells count="33">
    <mergeCell ref="A21:C21"/>
    <mergeCell ref="D21:I21"/>
    <mergeCell ref="J21:O21"/>
    <mergeCell ref="O14:O16"/>
    <mergeCell ref="N14:N16"/>
    <mergeCell ref="O17:O20"/>
    <mergeCell ref="N17:N20"/>
    <mergeCell ref="A14:B16"/>
    <mergeCell ref="A17:B20"/>
    <mergeCell ref="C14:M16"/>
    <mergeCell ref="C17:M20"/>
    <mergeCell ref="A1:B2"/>
    <mergeCell ref="C1:M2"/>
    <mergeCell ref="A3:B4"/>
    <mergeCell ref="C3:C4"/>
    <mergeCell ref="G3:J4"/>
    <mergeCell ref="K3:M4"/>
    <mergeCell ref="A11:B13"/>
    <mergeCell ref="A5:B6"/>
    <mergeCell ref="D3:D4"/>
    <mergeCell ref="E3:E4"/>
    <mergeCell ref="F3:F4"/>
    <mergeCell ref="A7:B9"/>
    <mergeCell ref="C7:O10"/>
    <mergeCell ref="O11:O13"/>
    <mergeCell ref="N11:N13"/>
    <mergeCell ref="K11:M13"/>
    <mergeCell ref="C11:J13"/>
    <mergeCell ref="N5:N6"/>
    <mergeCell ref="O5:O6"/>
    <mergeCell ref="C5:M6"/>
    <mergeCell ref="O3:O4"/>
    <mergeCell ref="N3:N4"/>
  </mergeCells>
  <pageMargins left="0" right="0.25" top="0" bottom="0" header="0.31496062992126" footer="0.31496062992126"/>
  <pageSetup scale="9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O42"/>
  <sheetViews>
    <sheetView rightToLeft="1" view="pageBreakPreview" zoomScaleNormal="85" zoomScaleSheetLayoutView="100" workbookViewId="0">
      <selection activeCell="C5" sqref="C5:J14"/>
    </sheetView>
  </sheetViews>
  <sheetFormatPr defaultColWidth="9.21875" defaultRowHeight="16.8" x14ac:dyDescent="0.3"/>
  <cols>
    <col min="1" max="1" width="9.21875" style="8"/>
    <col min="2" max="2" width="12.44140625" style="8" customWidth="1"/>
    <col min="3" max="3" width="9.21875" style="8" customWidth="1"/>
    <col min="4" max="8" width="9.21875" style="8"/>
    <col min="9" max="9" width="8.44140625" style="8" customWidth="1"/>
    <col min="10" max="10" width="3.44140625" style="8" customWidth="1"/>
    <col min="11" max="11" width="9.21875" style="8"/>
    <col min="12" max="12" width="8.21875" style="8" customWidth="1"/>
    <col min="13" max="13" width="3.33203125" style="8" customWidth="1"/>
    <col min="14" max="14" width="13.21875" style="8" customWidth="1"/>
    <col min="15" max="15" width="11.5546875" style="8" customWidth="1"/>
    <col min="16" max="16384" width="9.21875" style="8"/>
  </cols>
  <sheetData>
    <row r="1" spans="1:15" ht="33" customHeight="1" thickTop="1" x14ac:dyDescent="0.3">
      <c r="A1" s="123"/>
      <c r="B1" s="307"/>
      <c r="C1" s="127" t="s">
        <v>83</v>
      </c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3" t="s">
        <v>16</v>
      </c>
      <c r="O1" s="10" t="str">
        <f>'1'!O1</f>
        <v>1405/05/22</v>
      </c>
    </row>
    <row r="2" spans="1:15" ht="33" customHeight="1" thickBot="1" x14ac:dyDescent="0.35">
      <c r="A2" s="125"/>
      <c r="B2" s="30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" t="s">
        <v>27</v>
      </c>
      <c r="O2" s="11">
        <v>4</v>
      </c>
    </row>
    <row r="3" spans="1:15" ht="19.5" customHeight="1" thickTop="1" x14ac:dyDescent="0.3">
      <c r="A3" s="200" t="s">
        <v>0</v>
      </c>
      <c r="B3" s="201"/>
      <c r="C3" s="204" t="s">
        <v>3</v>
      </c>
      <c r="D3" s="152" t="s">
        <v>4</v>
      </c>
      <c r="E3" s="152" t="s">
        <v>5</v>
      </c>
      <c r="F3" s="155" t="s">
        <v>6</v>
      </c>
      <c r="G3" s="206" t="s">
        <v>7</v>
      </c>
      <c r="H3" s="206"/>
      <c r="I3" s="206"/>
      <c r="J3" s="201"/>
      <c r="K3" s="206" t="s">
        <v>28</v>
      </c>
      <c r="L3" s="206"/>
      <c r="M3" s="201"/>
      <c r="N3" s="129" t="s">
        <v>15</v>
      </c>
      <c r="O3" s="131" t="s">
        <v>16</v>
      </c>
    </row>
    <row r="4" spans="1:15" ht="21" customHeight="1" thickBot="1" x14ac:dyDescent="0.35">
      <c r="A4" s="279"/>
      <c r="B4" s="250"/>
      <c r="C4" s="205"/>
      <c r="D4" s="153"/>
      <c r="E4" s="153"/>
      <c r="F4" s="247"/>
      <c r="G4" s="249"/>
      <c r="H4" s="249"/>
      <c r="I4" s="249"/>
      <c r="J4" s="250"/>
      <c r="K4" s="207"/>
      <c r="L4" s="207"/>
      <c r="M4" s="203"/>
      <c r="N4" s="130"/>
      <c r="O4" s="132"/>
    </row>
    <row r="5" spans="1:15" ht="15" customHeight="1" thickTop="1" thickBot="1" x14ac:dyDescent="0.35">
      <c r="A5" s="288" t="s">
        <v>127</v>
      </c>
      <c r="B5" s="284" t="s">
        <v>128</v>
      </c>
      <c r="C5" s="289" t="s">
        <v>172</v>
      </c>
      <c r="D5" s="290"/>
      <c r="E5" s="290"/>
      <c r="F5" s="290"/>
      <c r="G5" s="290"/>
      <c r="H5" s="290"/>
      <c r="I5" s="290"/>
      <c r="J5" s="291"/>
      <c r="K5" s="276" t="s">
        <v>147</v>
      </c>
      <c r="L5" s="277"/>
      <c r="M5" s="278"/>
      <c r="N5" s="252" t="s">
        <v>114</v>
      </c>
      <c r="O5" s="255" t="s">
        <v>170</v>
      </c>
    </row>
    <row r="6" spans="1:15" ht="15" customHeight="1" thickBot="1" x14ac:dyDescent="0.35">
      <c r="A6" s="288"/>
      <c r="B6" s="284"/>
      <c r="C6" s="292"/>
      <c r="D6" s="293"/>
      <c r="E6" s="293"/>
      <c r="F6" s="293"/>
      <c r="G6" s="293"/>
      <c r="H6" s="293"/>
      <c r="I6" s="293"/>
      <c r="J6" s="294"/>
      <c r="K6" s="279"/>
      <c r="L6" s="249"/>
      <c r="M6" s="250"/>
      <c r="N6" s="253"/>
      <c r="O6" s="256"/>
    </row>
    <row r="7" spans="1:15" ht="15" customHeight="1" thickBot="1" x14ac:dyDescent="0.35">
      <c r="A7" s="288"/>
      <c r="B7" s="284" t="s">
        <v>129</v>
      </c>
      <c r="C7" s="292"/>
      <c r="D7" s="293"/>
      <c r="E7" s="293"/>
      <c r="F7" s="293"/>
      <c r="G7" s="293"/>
      <c r="H7" s="293"/>
      <c r="I7" s="293"/>
      <c r="J7" s="294"/>
      <c r="K7" s="279"/>
      <c r="L7" s="249"/>
      <c r="M7" s="250"/>
      <c r="N7" s="253"/>
      <c r="O7" s="256"/>
    </row>
    <row r="8" spans="1:15" ht="15" customHeight="1" thickBot="1" x14ac:dyDescent="0.35">
      <c r="A8" s="288"/>
      <c r="B8" s="284"/>
      <c r="C8" s="292"/>
      <c r="D8" s="293"/>
      <c r="E8" s="293"/>
      <c r="F8" s="293"/>
      <c r="G8" s="293"/>
      <c r="H8" s="293"/>
      <c r="I8" s="293"/>
      <c r="J8" s="294"/>
      <c r="K8" s="279"/>
      <c r="L8" s="249"/>
      <c r="M8" s="250"/>
      <c r="N8" s="253"/>
      <c r="O8" s="256"/>
    </row>
    <row r="9" spans="1:15" ht="15" customHeight="1" thickBot="1" x14ac:dyDescent="0.35">
      <c r="A9" s="288"/>
      <c r="B9" s="284" t="s">
        <v>130</v>
      </c>
      <c r="C9" s="292"/>
      <c r="D9" s="293"/>
      <c r="E9" s="293"/>
      <c r="F9" s="293"/>
      <c r="G9" s="293"/>
      <c r="H9" s="293"/>
      <c r="I9" s="293"/>
      <c r="J9" s="294"/>
      <c r="K9" s="279"/>
      <c r="L9" s="249"/>
      <c r="M9" s="250"/>
      <c r="N9" s="253"/>
      <c r="O9" s="256"/>
    </row>
    <row r="10" spans="1:15" ht="15" customHeight="1" thickBot="1" x14ac:dyDescent="0.35">
      <c r="A10" s="288"/>
      <c r="B10" s="284"/>
      <c r="C10" s="292"/>
      <c r="D10" s="293"/>
      <c r="E10" s="293"/>
      <c r="F10" s="293"/>
      <c r="G10" s="293"/>
      <c r="H10" s="293"/>
      <c r="I10" s="293"/>
      <c r="J10" s="294"/>
      <c r="K10" s="279"/>
      <c r="L10" s="249"/>
      <c r="M10" s="250"/>
      <c r="N10" s="253"/>
      <c r="O10" s="256"/>
    </row>
    <row r="11" spans="1:15" ht="15" customHeight="1" thickBot="1" x14ac:dyDescent="0.35">
      <c r="A11" s="288"/>
      <c r="B11" s="284" t="s">
        <v>131</v>
      </c>
      <c r="C11" s="292"/>
      <c r="D11" s="293"/>
      <c r="E11" s="293"/>
      <c r="F11" s="293"/>
      <c r="G11" s="293"/>
      <c r="H11" s="293"/>
      <c r="I11" s="293"/>
      <c r="J11" s="294"/>
      <c r="K11" s="279"/>
      <c r="L11" s="249"/>
      <c r="M11" s="250"/>
      <c r="N11" s="253"/>
      <c r="O11" s="256"/>
    </row>
    <row r="12" spans="1:15" ht="21" customHeight="1" thickBot="1" x14ac:dyDescent="0.35">
      <c r="A12" s="288"/>
      <c r="B12" s="284"/>
      <c r="C12" s="292"/>
      <c r="D12" s="293"/>
      <c r="E12" s="293"/>
      <c r="F12" s="293"/>
      <c r="G12" s="293"/>
      <c r="H12" s="293"/>
      <c r="I12" s="293"/>
      <c r="J12" s="294"/>
      <c r="K12" s="279"/>
      <c r="L12" s="249"/>
      <c r="M12" s="250"/>
      <c r="N12" s="253"/>
      <c r="O12" s="256"/>
    </row>
    <row r="13" spans="1:15" ht="15" customHeight="1" thickBot="1" x14ac:dyDescent="0.35">
      <c r="A13" s="288"/>
      <c r="B13" s="284" t="s">
        <v>132</v>
      </c>
      <c r="C13" s="292"/>
      <c r="D13" s="293"/>
      <c r="E13" s="293"/>
      <c r="F13" s="293"/>
      <c r="G13" s="293"/>
      <c r="H13" s="293"/>
      <c r="I13" s="293"/>
      <c r="J13" s="294"/>
      <c r="K13" s="279"/>
      <c r="L13" s="249"/>
      <c r="M13" s="250"/>
      <c r="N13" s="253"/>
      <c r="O13" s="256"/>
    </row>
    <row r="14" spans="1:15" ht="15" customHeight="1" thickBot="1" x14ac:dyDescent="0.35">
      <c r="A14" s="288"/>
      <c r="B14" s="284"/>
      <c r="C14" s="295"/>
      <c r="D14" s="296"/>
      <c r="E14" s="296"/>
      <c r="F14" s="296"/>
      <c r="G14" s="296"/>
      <c r="H14" s="296"/>
      <c r="I14" s="296"/>
      <c r="J14" s="297"/>
      <c r="K14" s="279"/>
      <c r="L14" s="249"/>
      <c r="M14" s="250"/>
      <c r="N14" s="253"/>
      <c r="O14" s="256"/>
    </row>
    <row r="15" spans="1:15" ht="15" customHeight="1" thickTop="1" thickBot="1" x14ac:dyDescent="0.35">
      <c r="A15" s="288"/>
      <c r="B15" s="284" t="s">
        <v>133</v>
      </c>
      <c r="C15" s="273" t="s">
        <v>148</v>
      </c>
      <c r="D15" s="274"/>
      <c r="E15" s="274"/>
      <c r="F15" s="274"/>
      <c r="G15" s="274"/>
      <c r="H15" s="274"/>
      <c r="I15" s="274"/>
      <c r="J15" s="275"/>
      <c r="K15" s="279"/>
      <c r="L15" s="249"/>
      <c r="M15" s="250"/>
      <c r="N15" s="253"/>
      <c r="O15" s="256"/>
    </row>
    <row r="16" spans="1:15" ht="19.05" customHeight="1" thickTop="1" thickBot="1" x14ac:dyDescent="0.35">
      <c r="A16" s="288"/>
      <c r="B16" s="284"/>
      <c r="C16" s="273"/>
      <c r="D16" s="274"/>
      <c r="E16" s="274"/>
      <c r="F16" s="274"/>
      <c r="G16" s="274"/>
      <c r="H16" s="274"/>
      <c r="I16" s="274"/>
      <c r="J16" s="275"/>
      <c r="K16" s="202"/>
      <c r="L16" s="207"/>
      <c r="M16" s="203"/>
      <c r="N16" s="253"/>
      <c r="O16" s="256"/>
    </row>
    <row r="17" spans="1:15" ht="15" customHeight="1" thickTop="1" thickBot="1" x14ac:dyDescent="0.35">
      <c r="A17" s="288"/>
      <c r="B17" s="284" t="s">
        <v>134</v>
      </c>
      <c r="C17" s="285" t="s">
        <v>165</v>
      </c>
      <c r="D17" s="286"/>
      <c r="E17" s="286"/>
      <c r="F17" s="286"/>
      <c r="G17" s="286"/>
      <c r="H17" s="286"/>
      <c r="I17" s="286"/>
      <c r="J17" s="287"/>
      <c r="K17" s="280"/>
      <c r="L17" s="281"/>
      <c r="M17" s="282"/>
      <c r="N17" s="253"/>
      <c r="O17" s="256"/>
    </row>
    <row r="18" spans="1:15" ht="15" customHeight="1" thickTop="1" thickBot="1" x14ac:dyDescent="0.35">
      <c r="A18" s="288"/>
      <c r="B18" s="284"/>
      <c r="C18" s="285"/>
      <c r="D18" s="286"/>
      <c r="E18" s="286"/>
      <c r="F18" s="286"/>
      <c r="G18" s="286"/>
      <c r="H18" s="286"/>
      <c r="I18" s="286"/>
      <c r="J18" s="287"/>
      <c r="K18" s="283"/>
      <c r="L18" s="109"/>
      <c r="M18" s="110"/>
      <c r="N18" s="253"/>
      <c r="O18" s="256"/>
    </row>
    <row r="19" spans="1:15" ht="15" customHeight="1" thickTop="1" thickBot="1" x14ac:dyDescent="0.35">
      <c r="A19" s="288"/>
      <c r="B19" s="284" t="s">
        <v>135</v>
      </c>
      <c r="C19" s="285" t="s">
        <v>164</v>
      </c>
      <c r="D19" s="286"/>
      <c r="E19" s="286"/>
      <c r="F19" s="286"/>
      <c r="G19" s="286"/>
      <c r="H19" s="286"/>
      <c r="I19" s="286"/>
      <c r="J19" s="286"/>
      <c r="K19" s="251"/>
      <c r="L19" s="251"/>
      <c r="M19" s="251"/>
      <c r="N19" s="253"/>
      <c r="O19" s="256"/>
    </row>
    <row r="20" spans="1:15" ht="21" customHeight="1" thickTop="1" thickBot="1" x14ac:dyDescent="0.35">
      <c r="A20" s="288"/>
      <c r="B20" s="284"/>
      <c r="C20" s="285"/>
      <c r="D20" s="286"/>
      <c r="E20" s="286"/>
      <c r="F20" s="286"/>
      <c r="G20" s="286"/>
      <c r="H20" s="286"/>
      <c r="I20" s="286"/>
      <c r="J20" s="286"/>
      <c r="K20" s="251"/>
      <c r="L20" s="251"/>
      <c r="M20" s="251"/>
      <c r="N20" s="253"/>
      <c r="O20" s="256"/>
    </row>
    <row r="21" spans="1:15" ht="15" customHeight="1" thickTop="1" thickBot="1" x14ac:dyDescent="0.35">
      <c r="A21" s="217" t="s">
        <v>126</v>
      </c>
      <c r="B21" s="218"/>
      <c r="C21" s="298" t="s">
        <v>166</v>
      </c>
      <c r="D21" s="299"/>
      <c r="E21" s="299"/>
      <c r="F21" s="299"/>
      <c r="G21" s="299"/>
      <c r="H21" s="299"/>
      <c r="I21" s="299"/>
      <c r="J21" s="300"/>
      <c r="K21" s="251" t="s">
        <v>167</v>
      </c>
      <c r="L21" s="251"/>
      <c r="M21" s="251"/>
      <c r="N21" s="253"/>
      <c r="O21" s="256"/>
    </row>
    <row r="22" spans="1:15" ht="14.25" customHeight="1" thickBot="1" x14ac:dyDescent="0.35">
      <c r="A22" s="217"/>
      <c r="B22" s="218"/>
      <c r="C22" s="301"/>
      <c r="D22" s="302"/>
      <c r="E22" s="302"/>
      <c r="F22" s="302"/>
      <c r="G22" s="302"/>
      <c r="H22" s="302"/>
      <c r="I22" s="302"/>
      <c r="J22" s="303"/>
      <c r="K22" s="251"/>
      <c r="L22" s="251"/>
      <c r="M22" s="251"/>
      <c r="N22" s="253"/>
      <c r="O22" s="256"/>
    </row>
    <row r="23" spans="1:15" ht="26.25" customHeight="1" thickBot="1" x14ac:dyDescent="0.35">
      <c r="A23" s="217"/>
      <c r="B23" s="218"/>
      <c r="C23" s="301"/>
      <c r="D23" s="302"/>
      <c r="E23" s="302"/>
      <c r="F23" s="302"/>
      <c r="G23" s="302"/>
      <c r="H23" s="302"/>
      <c r="I23" s="302"/>
      <c r="J23" s="303"/>
      <c r="K23" s="251"/>
      <c r="L23" s="251"/>
      <c r="M23" s="251"/>
      <c r="N23" s="253"/>
      <c r="O23" s="256"/>
    </row>
    <row r="24" spans="1:15" ht="18" customHeight="1" thickBot="1" x14ac:dyDescent="0.35">
      <c r="A24" s="217"/>
      <c r="B24" s="218"/>
      <c r="C24" s="304"/>
      <c r="D24" s="305"/>
      <c r="E24" s="305"/>
      <c r="F24" s="305"/>
      <c r="G24" s="305"/>
      <c r="H24" s="305"/>
      <c r="I24" s="305"/>
      <c r="J24" s="306"/>
      <c r="K24" s="251"/>
      <c r="L24" s="251"/>
      <c r="M24" s="251"/>
      <c r="N24" s="254"/>
      <c r="O24" s="257"/>
    </row>
    <row r="25" spans="1:15" ht="60.75" customHeight="1" thickBot="1" x14ac:dyDescent="0.35">
      <c r="A25" s="309" t="s">
        <v>8</v>
      </c>
      <c r="B25" s="62" t="s">
        <v>9</v>
      </c>
      <c r="C25" s="241" t="s">
        <v>162</v>
      </c>
      <c r="D25" s="242"/>
      <c r="E25" s="242"/>
      <c r="F25" s="242"/>
      <c r="G25" s="242"/>
      <c r="H25" s="242"/>
      <c r="I25" s="242"/>
      <c r="J25" s="242"/>
      <c r="K25" s="242"/>
      <c r="L25" s="242"/>
      <c r="M25" s="242"/>
      <c r="N25" s="238" t="s">
        <v>65</v>
      </c>
      <c r="O25" s="235" t="s">
        <v>170</v>
      </c>
    </row>
    <row r="26" spans="1:15" ht="39.75" customHeight="1" x14ac:dyDescent="0.3">
      <c r="A26" s="310"/>
      <c r="B26" s="312" t="s">
        <v>10</v>
      </c>
      <c r="C26" s="243"/>
      <c r="D26" s="244"/>
      <c r="E26" s="244"/>
      <c r="F26" s="244"/>
      <c r="G26" s="244"/>
      <c r="H26" s="244"/>
      <c r="I26" s="244"/>
      <c r="J26" s="244"/>
      <c r="K26" s="244"/>
      <c r="L26" s="244"/>
      <c r="M26" s="244"/>
      <c r="N26" s="239"/>
      <c r="O26" s="236"/>
    </row>
    <row r="27" spans="1:15" ht="39.75" customHeight="1" x14ac:dyDescent="0.3">
      <c r="A27" s="310"/>
      <c r="B27" s="312"/>
      <c r="C27" s="243"/>
      <c r="D27" s="244"/>
      <c r="E27" s="244"/>
      <c r="F27" s="244"/>
      <c r="G27" s="244"/>
      <c r="H27" s="244"/>
      <c r="I27" s="244"/>
      <c r="J27" s="244"/>
      <c r="K27" s="244"/>
      <c r="L27" s="244"/>
      <c r="M27" s="244"/>
      <c r="N27" s="239"/>
      <c r="O27" s="236"/>
    </row>
    <row r="28" spans="1:15" ht="27" customHeight="1" x14ac:dyDescent="0.3">
      <c r="A28" s="310"/>
      <c r="B28" s="312"/>
      <c r="C28" s="243"/>
      <c r="D28" s="244"/>
      <c r="E28" s="244"/>
      <c r="F28" s="244"/>
      <c r="G28" s="244"/>
      <c r="H28" s="244"/>
      <c r="I28" s="244"/>
      <c r="J28" s="244"/>
      <c r="K28" s="244"/>
      <c r="L28" s="244"/>
      <c r="M28" s="244"/>
      <c r="N28" s="239"/>
      <c r="O28" s="236"/>
    </row>
    <row r="29" spans="1:15" ht="20.55" customHeight="1" thickBot="1" x14ac:dyDescent="0.35">
      <c r="A29" s="310"/>
      <c r="B29" s="312"/>
      <c r="C29" s="243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39"/>
      <c r="O29" s="236"/>
    </row>
    <row r="30" spans="1:15" ht="27.45" customHeight="1" thickBot="1" x14ac:dyDescent="0.35">
      <c r="A30" s="310"/>
      <c r="B30" s="55" t="s">
        <v>50</v>
      </c>
      <c r="C30" s="243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39"/>
      <c r="O30" s="236"/>
    </row>
    <row r="31" spans="1:15" ht="31.5" customHeight="1" x14ac:dyDescent="0.3">
      <c r="A31" s="310"/>
      <c r="B31" s="313" t="s">
        <v>11</v>
      </c>
      <c r="C31" s="243"/>
      <c r="D31" s="244"/>
      <c r="E31" s="244"/>
      <c r="F31" s="244"/>
      <c r="G31" s="244"/>
      <c r="H31" s="244"/>
      <c r="I31" s="244"/>
      <c r="J31" s="244"/>
      <c r="K31" s="244"/>
      <c r="L31" s="244"/>
      <c r="M31" s="244"/>
      <c r="N31" s="239"/>
      <c r="O31" s="236"/>
    </row>
    <row r="32" spans="1:15" ht="32.25" customHeight="1" thickBot="1" x14ac:dyDescent="0.35">
      <c r="A32" s="311"/>
      <c r="B32" s="314"/>
      <c r="C32" s="245"/>
      <c r="D32" s="246"/>
      <c r="E32" s="246"/>
      <c r="F32" s="246"/>
      <c r="G32" s="246"/>
      <c r="H32" s="246"/>
      <c r="I32" s="246"/>
      <c r="J32" s="246"/>
      <c r="K32" s="246"/>
      <c r="L32" s="246"/>
      <c r="M32" s="246"/>
      <c r="N32" s="240"/>
      <c r="O32" s="237"/>
    </row>
    <row r="33" spans="1:15" ht="33" customHeight="1" thickTop="1" x14ac:dyDescent="0.3">
      <c r="A33" s="123"/>
      <c r="B33" s="307"/>
      <c r="C33" s="127" t="s">
        <v>83</v>
      </c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3" t="s">
        <v>16</v>
      </c>
      <c r="O33" s="10" t="str">
        <f>'1'!O1</f>
        <v>1405/05/22</v>
      </c>
    </row>
    <row r="34" spans="1:15" ht="33" customHeight="1" thickBot="1" x14ac:dyDescent="0.35">
      <c r="A34" s="125"/>
      <c r="B34" s="30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" t="s">
        <v>27</v>
      </c>
      <c r="O34" s="11">
        <f>O2+1</f>
        <v>5</v>
      </c>
    </row>
    <row r="35" spans="1:15" ht="19.5" customHeight="1" thickTop="1" x14ac:dyDescent="0.3">
      <c r="A35" s="200" t="s">
        <v>0</v>
      </c>
      <c r="B35" s="201"/>
      <c r="C35" s="204" t="s">
        <v>3</v>
      </c>
      <c r="D35" s="152" t="s">
        <v>4</v>
      </c>
      <c r="E35" s="152" t="s">
        <v>5</v>
      </c>
      <c r="F35" s="155" t="s">
        <v>6</v>
      </c>
      <c r="G35" s="129" t="s">
        <v>7</v>
      </c>
      <c r="H35" s="206"/>
      <c r="I35" s="206"/>
      <c r="J35" s="201"/>
      <c r="K35" s="206" t="s">
        <v>28</v>
      </c>
      <c r="L35" s="206"/>
      <c r="M35" s="201"/>
      <c r="N35" s="129" t="s">
        <v>15</v>
      </c>
      <c r="O35" s="131" t="s">
        <v>16</v>
      </c>
    </row>
    <row r="36" spans="1:15" ht="21" customHeight="1" thickBot="1" x14ac:dyDescent="0.35">
      <c r="A36" s="202"/>
      <c r="B36" s="203"/>
      <c r="C36" s="205"/>
      <c r="D36" s="153"/>
      <c r="E36" s="153"/>
      <c r="F36" s="247"/>
      <c r="G36" s="248"/>
      <c r="H36" s="249"/>
      <c r="I36" s="249"/>
      <c r="J36" s="250"/>
      <c r="K36" s="207"/>
      <c r="L36" s="207"/>
      <c r="M36" s="203"/>
      <c r="N36" s="130"/>
      <c r="O36" s="132"/>
    </row>
    <row r="37" spans="1:15" ht="62.25" customHeight="1" x14ac:dyDescent="0.3">
      <c r="A37" s="318" t="s">
        <v>12</v>
      </c>
      <c r="B37" s="319"/>
      <c r="C37" s="258" t="s">
        <v>163</v>
      </c>
      <c r="D37" s="259"/>
      <c r="E37" s="259"/>
      <c r="F37" s="259"/>
      <c r="G37" s="259"/>
      <c r="H37" s="259"/>
      <c r="I37" s="259"/>
      <c r="J37" s="260"/>
      <c r="K37" s="315"/>
      <c r="L37" s="316"/>
      <c r="M37" s="317"/>
      <c r="N37" s="63"/>
      <c r="O37" s="322" t="s">
        <v>170</v>
      </c>
    </row>
    <row r="38" spans="1:15" ht="62.25" customHeight="1" x14ac:dyDescent="0.3">
      <c r="A38" s="318"/>
      <c r="B38" s="319"/>
      <c r="C38" s="261"/>
      <c r="D38" s="262"/>
      <c r="E38" s="262"/>
      <c r="F38" s="262"/>
      <c r="G38" s="262"/>
      <c r="H38" s="262"/>
      <c r="I38" s="262"/>
      <c r="J38" s="263"/>
      <c r="K38" s="315"/>
      <c r="L38" s="316"/>
      <c r="M38" s="317"/>
      <c r="N38" s="33"/>
      <c r="O38" s="323"/>
    </row>
    <row r="39" spans="1:15" ht="62.25" customHeight="1" x14ac:dyDescent="0.3">
      <c r="A39" s="318"/>
      <c r="B39" s="319"/>
      <c r="C39" s="261"/>
      <c r="D39" s="262"/>
      <c r="E39" s="262"/>
      <c r="F39" s="262"/>
      <c r="G39" s="262"/>
      <c r="H39" s="262"/>
      <c r="I39" s="262"/>
      <c r="J39" s="263"/>
      <c r="K39" s="267"/>
      <c r="L39" s="268"/>
      <c r="M39" s="269"/>
      <c r="N39" s="33"/>
      <c r="O39" s="323"/>
    </row>
    <row r="40" spans="1:15" ht="62.25" customHeight="1" thickBot="1" x14ac:dyDescent="0.35">
      <c r="A40" s="320"/>
      <c r="B40" s="321"/>
      <c r="C40" s="264"/>
      <c r="D40" s="265"/>
      <c r="E40" s="265"/>
      <c r="F40" s="265"/>
      <c r="G40" s="265"/>
      <c r="H40" s="265"/>
      <c r="I40" s="265"/>
      <c r="J40" s="266"/>
      <c r="K40" s="270"/>
      <c r="L40" s="271"/>
      <c r="M40" s="272"/>
      <c r="N40" s="64"/>
      <c r="O40" s="324"/>
    </row>
    <row r="41" spans="1:15" ht="18" thickTop="1" thickBot="1" x14ac:dyDescent="0.35">
      <c r="A41" s="106" t="s">
        <v>57</v>
      </c>
      <c r="B41" s="107"/>
      <c r="C41" s="107"/>
      <c r="D41" s="107" t="s">
        <v>24</v>
      </c>
      <c r="E41" s="107"/>
      <c r="F41" s="107"/>
      <c r="G41" s="107"/>
      <c r="H41" s="107"/>
      <c r="I41" s="107"/>
      <c r="J41" s="107" t="s">
        <v>25</v>
      </c>
      <c r="K41" s="107"/>
      <c r="L41" s="107"/>
      <c r="M41" s="107"/>
      <c r="N41" s="107"/>
      <c r="O41" s="114"/>
    </row>
    <row r="42" spans="1:15" ht="17.399999999999999" thickTop="1" x14ac:dyDescent="0.3"/>
  </sheetData>
  <mergeCells count="59">
    <mergeCell ref="A41:C41"/>
    <mergeCell ref="D41:I41"/>
    <mergeCell ref="J41:O41"/>
    <mergeCell ref="A25:A32"/>
    <mergeCell ref="B26:B29"/>
    <mergeCell ref="B31:B32"/>
    <mergeCell ref="O35:O36"/>
    <mergeCell ref="K37:M37"/>
    <mergeCell ref="K38:M38"/>
    <mergeCell ref="A37:B40"/>
    <mergeCell ref="A33:B34"/>
    <mergeCell ref="C33:M34"/>
    <mergeCell ref="A35:B36"/>
    <mergeCell ref="C35:C36"/>
    <mergeCell ref="O37:O40"/>
    <mergeCell ref="A1:B2"/>
    <mergeCell ref="C1:M2"/>
    <mergeCell ref="A3:B4"/>
    <mergeCell ref="C3:C4"/>
    <mergeCell ref="D3:D4"/>
    <mergeCell ref="E3:E4"/>
    <mergeCell ref="F3:F4"/>
    <mergeCell ref="G3:J4"/>
    <mergeCell ref="K3:M4"/>
    <mergeCell ref="B17:B18"/>
    <mergeCell ref="B19:B20"/>
    <mergeCell ref="C17:J18"/>
    <mergeCell ref="C19:J20"/>
    <mergeCell ref="D35:D36"/>
    <mergeCell ref="E35:E36"/>
    <mergeCell ref="A21:B24"/>
    <mergeCell ref="A5:A20"/>
    <mergeCell ref="B5:B6"/>
    <mergeCell ref="C5:J14"/>
    <mergeCell ref="B7:B8"/>
    <mergeCell ref="B9:B10"/>
    <mergeCell ref="B11:B12"/>
    <mergeCell ref="B13:B14"/>
    <mergeCell ref="B15:B16"/>
    <mergeCell ref="C21:J24"/>
    <mergeCell ref="C37:J40"/>
    <mergeCell ref="K39:M39"/>
    <mergeCell ref="K40:M40"/>
    <mergeCell ref="C15:J16"/>
    <mergeCell ref="K5:M16"/>
    <mergeCell ref="K17:M18"/>
    <mergeCell ref="K19:M20"/>
    <mergeCell ref="O3:O4"/>
    <mergeCell ref="N35:N36"/>
    <mergeCell ref="O25:O32"/>
    <mergeCell ref="N25:N32"/>
    <mergeCell ref="C25:M32"/>
    <mergeCell ref="N3:N4"/>
    <mergeCell ref="F35:F36"/>
    <mergeCell ref="G35:J36"/>
    <mergeCell ref="K35:M36"/>
    <mergeCell ref="K21:M24"/>
    <mergeCell ref="N5:N24"/>
    <mergeCell ref="O5:O24"/>
  </mergeCells>
  <phoneticPr fontId="32" type="noConversion"/>
  <pageMargins left="0" right="0" top="0" bottom="0" header="0.31496062992126" footer="0.31496062992126"/>
  <pageSetup scale="81" orientation="landscape" r:id="rId1"/>
  <rowBreaks count="1" manualBreakCount="1">
    <brk id="32" max="1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O29"/>
  <sheetViews>
    <sheetView rightToLeft="1" view="pageBreakPreview" zoomScale="85" zoomScaleNormal="85" zoomScaleSheetLayoutView="85" workbookViewId="0">
      <selection activeCell="K27" sqref="K27:M27"/>
    </sheetView>
  </sheetViews>
  <sheetFormatPr defaultColWidth="9.21875" defaultRowHeight="16.8" x14ac:dyDescent="0.3"/>
  <cols>
    <col min="1" max="1" width="8.77734375" style="1" customWidth="1"/>
    <col min="2" max="2" width="9.21875" style="1"/>
    <col min="3" max="3" width="10.44140625" style="1" customWidth="1"/>
    <col min="4" max="7" width="9.21875" style="1"/>
    <col min="8" max="9" width="8.44140625" style="1" customWidth="1"/>
    <col min="10" max="10" width="5.21875" style="8" customWidth="1"/>
    <col min="11" max="11" width="8.44140625" style="8" customWidth="1"/>
    <col min="12" max="12" width="8.44140625" style="1" customWidth="1"/>
    <col min="13" max="13" width="6" style="1" customWidth="1"/>
    <col min="14" max="14" width="9.21875" style="1"/>
    <col min="15" max="15" width="12" style="1" customWidth="1"/>
    <col min="16" max="16384" width="9.21875" style="1"/>
  </cols>
  <sheetData>
    <row r="1" spans="1:15" ht="23.25" customHeight="1" thickTop="1" x14ac:dyDescent="0.3">
      <c r="A1" s="123"/>
      <c r="B1" s="124"/>
      <c r="C1" s="127" t="s">
        <v>83</v>
      </c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3" t="s">
        <v>16</v>
      </c>
      <c r="O1" s="10" t="str">
        <f>'1'!O1</f>
        <v>1405/05/22</v>
      </c>
    </row>
    <row r="2" spans="1:15" ht="21" customHeight="1" thickBot="1" x14ac:dyDescent="0.35">
      <c r="A2" s="125"/>
      <c r="B2" s="126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" t="s">
        <v>27</v>
      </c>
      <c r="O2" s="11">
        <v>3</v>
      </c>
    </row>
    <row r="3" spans="1:15" ht="19.5" customHeight="1" thickTop="1" x14ac:dyDescent="0.3">
      <c r="A3" s="200" t="s">
        <v>0</v>
      </c>
      <c r="B3" s="365"/>
      <c r="C3" s="204" t="s">
        <v>3</v>
      </c>
      <c r="D3" s="152" t="s">
        <v>4</v>
      </c>
      <c r="E3" s="152" t="s">
        <v>5</v>
      </c>
      <c r="F3" s="155" t="s">
        <v>6</v>
      </c>
      <c r="G3" s="358" t="s">
        <v>7</v>
      </c>
      <c r="H3" s="358"/>
      <c r="I3" s="358"/>
      <c r="J3" s="359"/>
      <c r="K3" s="206" t="s">
        <v>28</v>
      </c>
      <c r="L3" s="206"/>
      <c r="M3" s="201"/>
      <c r="N3" s="331" t="s">
        <v>15</v>
      </c>
      <c r="O3" s="363" t="s">
        <v>16</v>
      </c>
    </row>
    <row r="4" spans="1:15" ht="21" customHeight="1" thickBot="1" x14ac:dyDescent="0.35">
      <c r="A4" s="202"/>
      <c r="B4" s="366"/>
      <c r="C4" s="367"/>
      <c r="D4" s="154"/>
      <c r="E4" s="154"/>
      <c r="F4" s="156"/>
      <c r="G4" s="361"/>
      <c r="H4" s="361"/>
      <c r="I4" s="361"/>
      <c r="J4" s="362"/>
      <c r="K4" s="207"/>
      <c r="L4" s="207"/>
      <c r="M4" s="203"/>
      <c r="N4" s="254"/>
      <c r="O4" s="364"/>
    </row>
    <row r="5" spans="1:15" s="8" customFormat="1" ht="97.95" customHeight="1" thickBot="1" x14ac:dyDescent="0.35">
      <c r="A5" s="368" t="s">
        <v>85</v>
      </c>
      <c r="B5" s="24" t="s">
        <v>19</v>
      </c>
      <c r="C5" s="325" t="s">
        <v>121</v>
      </c>
      <c r="D5" s="326"/>
      <c r="E5" s="326"/>
      <c r="F5" s="327"/>
      <c r="G5" s="383" t="s">
        <v>54</v>
      </c>
      <c r="H5" s="383"/>
      <c r="I5" s="383"/>
      <c r="J5" s="383"/>
      <c r="K5" s="373" t="s">
        <v>120</v>
      </c>
      <c r="L5" s="373"/>
      <c r="M5" s="373"/>
      <c r="N5" s="34" t="s">
        <v>55</v>
      </c>
      <c r="O5" s="87" t="s">
        <v>170</v>
      </c>
    </row>
    <row r="6" spans="1:15" s="8" customFormat="1" ht="245.55" customHeight="1" thickBot="1" x14ac:dyDescent="0.35">
      <c r="A6" s="369"/>
      <c r="B6" s="24" t="s">
        <v>36</v>
      </c>
      <c r="C6" s="328"/>
      <c r="D6" s="329"/>
      <c r="E6" s="329"/>
      <c r="F6" s="330"/>
      <c r="G6" s="372" t="s">
        <v>78</v>
      </c>
      <c r="H6" s="372"/>
      <c r="I6" s="372"/>
      <c r="J6" s="372"/>
      <c r="K6" s="372" t="s">
        <v>79</v>
      </c>
      <c r="L6" s="372"/>
      <c r="M6" s="372"/>
      <c r="N6" s="313" t="s">
        <v>80</v>
      </c>
      <c r="O6" s="381" t="s">
        <v>171</v>
      </c>
    </row>
    <row r="7" spans="1:15" s="8" customFormat="1" ht="71.55" customHeight="1" thickBot="1" x14ac:dyDescent="0.35">
      <c r="A7" s="369"/>
      <c r="B7" s="24" t="s">
        <v>34</v>
      </c>
      <c r="C7" s="384" t="s">
        <v>61</v>
      </c>
      <c r="D7" s="384"/>
      <c r="E7" s="384"/>
      <c r="F7" s="384"/>
      <c r="G7" s="372" t="s">
        <v>78</v>
      </c>
      <c r="H7" s="372"/>
      <c r="I7" s="372"/>
      <c r="J7" s="372"/>
      <c r="K7" s="371" t="s">
        <v>79</v>
      </c>
      <c r="L7" s="371"/>
      <c r="M7" s="371"/>
      <c r="N7" s="314"/>
      <c r="O7" s="382"/>
    </row>
    <row r="8" spans="1:15" s="8" customFormat="1" ht="73.95" customHeight="1" thickBot="1" x14ac:dyDescent="0.35">
      <c r="A8" s="370"/>
      <c r="B8" s="24" t="s">
        <v>35</v>
      </c>
      <c r="C8" s="377" t="s">
        <v>60</v>
      </c>
      <c r="D8" s="377"/>
      <c r="E8" s="377"/>
      <c r="F8" s="377"/>
      <c r="G8" s="372" t="s">
        <v>81</v>
      </c>
      <c r="H8" s="372"/>
      <c r="I8" s="372"/>
      <c r="J8" s="372"/>
      <c r="K8" s="372" t="s">
        <v>79</v>
      </c>
      <c r="L8" s="372"/>
      <c r="M8" s="372"/>
      <c r="N8" s="9"/>
      <c r="O8" s="25"/>
    </row>
    <row r="9" spans="1:15" s="8" customFormat="1" ht="23.25" customHeight="1" thickTop="1" x14ac:dyDescent="0.3">
      <c r="A9" s="123"/>
      <c r="B9" s="124"/>
      <c r="C9" s="127" t="s">
        <v>83</v>
      </c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3" t="s">
        <v>16</v>
      </c>
      <c r="O9" s="10" t="str">
        <f>'1'!O1</f>
        <v>1405/05/22</v>
      </c>
    </row>
    <row r="10" spans="1:15" s="8" customFormat="1" ht="21" customHeight="1" thickBot="1" x14ac:dyDescent="0.35">
      <c r="A10" s="125"/>
      <c r="B10" s="126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" t="s">
        <v>27</v>
      </c>
      <c r="O10" s="11">
        <f>O2+1</f>
        <v>4</v>
      </c>
    </row>
    <row r="11" spans="1:15" s="8" customFormat="1" ht="19.5" customHeight="1" thickTop="1" x14ac:dyDescent="0.3">
      <c r="A11" s="200" t="s">
        <v>0</v>
      </c>
      <c r="B11" s="365"/>
      <c r="C11" s="204" t="s">
        <v>3</v>
      </c>
      <c r="D11" s="152" t="s">
        <v>4</v>
      </c>
      <c r="E11" s="152" t="s">
        <v>5</v>
      </c>
      <c r="F11" s="155" t="s">
        <v>6</v>
      </c>
      <c r="G11" s="358" t="s">
        <v>7</v>
      </c>
      <c r="H11" s="358"/>
      <c r="I11" s="358"/>
      <c r="J11" s="359"/>
      <c r="K11" s="206" t="s">
        <v>28</v>
      </c>
      <c r="L11" s="206"/>
      <c r="M11" s="201"/>
      <c r="N11" s="331" t="s">
        <v>15</v>
      </c>
      <c r="O11" s="363" t="s">
        <v>16</v>
      </c>
    </row>
    <row r="12" spans="1:15" s="8" customFormat="1" ht="21" customHeight="1" thickBot="1" x14ac:dyDescent="0.35">
      <c r="A12" s="202"/>
      <c r="B12" s="366"/>
      <c r="C12" s="367"/>
      <c r="D12" s="154"/>
      <c r="E12" s="154"/>
      <c r="F12" s="156"/>
      <c r="G12" s="361"/>
      <c r="H12" s="361"/>
      <c r="I12" s="361"/>
      <c r="J12" s="362"/>
      <c r="K12" s="207"/>
      <c r="L12" s="207"/>
      <c r="M12" s="203"/>
      <c r="N12" s="254"/>
      <c r="O12" s="364"/>
    </row>
    <row r="13" spans="1:15" s="8" customFormat="1" ht="125.25" customHeight="1" thickBot="1" x14ac:dyDescent="0.35">
      <c r="A13" s="368" t="s">
        <v>85</v>
      </c>
      <c r="B13" s="24" t="s">
        <v>20</v>
      </c>
      <c r="C13" s="377" t="s">
        <v>122</v>
      </c>
      <c r="D13" s="377"/>
      <c r="E13" s="377"/>
      <c r="F13" s="377"/>
      <c r="G13" s="378" t="s">
        <v>123</v>
      </c>
      <c r="H13" s="379"/>
      <c r="I13" s="379"/>
      <c r="J13" s="380"/>
      <c r="K13" s="371" t="s">
        <v>79</v>
      </c>
      <c r="L13" s="371"/>
      <c r="M13" s="371"/>
      <c r="N13" s="9"/>
      <c r="O13" s="25"/>
    </row>
    <row r="14" spans="1:15" s="8" customFormat="1" ht="41.25" customHeight="1" thickBot="1" x14ac:dyDescent="0.35">
      <c r="A14" s="369"/>
      <c r="B14" s="24" t="s">
        <v>21</v>
      </c>
      <c r="C14" s="374" t="s">
        <v>75</v>
      </c>
      <c r="D14" s="375"/>
      <c r="E14" s="375"/>
      <c r="F14" s="375"/>
      <c r="G14" s="375"/>
      <c r="H14" s="375"/>
      <c r="I14" s="375"/>
      <c r="J14" s="375"/>
      <c r="K14" s="375"/>
      <c r="L14" s="375"/>
      <c r="M14" s="376"/>
      <c r="N14" s="9"/>
      <c r="O14" s="25"/>
    </row>
    <row r="15" spans="1:15" s="8" customFormat="1" ht="111" customHeight="1" thickBot="1" x14ac:dyDescent="0.35">
      <c r="A15" s="369"/>
      <c r="B15" s="24" t="s">
        <v>22</v>
      </c>
      <c r="C15" s="377" t="s">
        <v>124</v>
      </c>
      <c r="D15" s="377"/>
      <c r="E15" s="377"/>
      <c r="F15" s="377"/>
      <c r="G15" s="378" t="s">
        <v>123</v>
      </c>
      <c r="H15" s="379"/>
      <c r="I15" s="379"/>
      <c r="J15" s="380"/>
      <c r="K15" s="372" t="s">
        <v>79</v>
      </c>
      <c r="L15" s="372"/>
      <c r="M15" s="372"/>
      <c r="N15" s="9"/>
      <c r="O15" s="25"/>
    </row>
    <row r="16" spans="1:15" s="8" customFormat="1" ht="223.5" customHeight="1" thickBot="1" x14ac:dyDescent="0.35">
      <c r="A16" s="370"/>
      <c r="B16" s="24" t="s">
        <v>23</v>
      </c>
      <c r="C16" s="377" t="s">
        <v>125</v>
      </c>
      <c r="D16" s="377"/>
      <c r="E16" s="377"/>
      <c r="F16" s="377"/>
      <c r="G16" s="378" t="s">
        <v>123</v>
      </c>
      <c r="H16" s="379"/>
      <c r="I16" s="379"/>
      <c r="J16" s="380"/>
      <c r="K16" s="372" t="s">
        <v>79</v>
      </c>
      <c r="L16" s="372"/>
      <c r="M16" s="372"/>
      <c r="N16" s="9"/>
      <c r="O16" s="25"/>
    </row>
    <row r="17" spans="1:15" s="8" customFormat="1" ht="23.25" customHeight="1" thickTop="1" x14ac:dyDescent="0.3">
      <c r="A17" s="123"/>
      <c r="B17" s="124"/>
      <c r="C17" s="127" t="s">
        <v>18</v>
      </c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3" t="s">
        <v>16</v>
      </c>
      <c r="O17" s="10" t="str">
        <f>'1'!O1</f>
        <v>1405/05/22</v>
      </c>
    </row>
    <row r="18" spans="1:15" s="8" customFormat="1" ht="21" customHeight="1" thickBot="1" x14ac:dyDescent="0.35">
      <c r="A18" s="125"/>
      <c r="B18" s="126"/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" t="s">
        <v>27</v>
      </c>
      <c r="O18" s="11">
        <f>O10+1</f>
        <v>5</v>
      </c>
    </row>
    <row r="19" spans="1:15" s="8" customFormat="1" ht="19.5" customHeight="1" thickTop="1" x14ac:dyDescent="0.3">
      <c r="A19" s="200" t="s">
        <v>0</v>
      </c>
      <c r="B19" s="365"/>
      <c r="C19" s="204" t="s">
        <v>3</v>
      </c>
      <c r="D19" s="152" t="s">
        <v>4</v>
      </c>
      <c r="E19" s="152" t="s">
        <v>5</v>
      </c>
      <c r="F19" s="155" t="s">
        <v>6</v>
      </c>
      <c r="G19" s="358" t="s">
        <v>7</v>
      </c>
      <c r="H19" s="358"/>
      <c r="I19" s="358"/>
      <c r="J19" s="359"/>
      <c r="K19" s="206" t="s">
        <v>28</v>
      </c>
      <c r="L19" s="206"/>
      <c r="M19" s="201"/>
      <c r="N19" s="331" t="s">
        <v>15</v>
      </c>
      <c r="O19" s="363" t="s">
        <v>16</v>
      </c>
    </row>
    <row r="20" spans="1:15" s="8" customFormat="1" ht="21" customHeight="1" thickBot="1" x14ac:dyDescent="0.35">
      <c r="A20" s="202"/>
      <c r="B20" s="366"/>
      <c r="C20" s="367"/>
      <c r="D20" s="154"/>
      <c r="E20" s="154"/>
      <c r="F20" s="156"/>
      <c r="G20" s="361"/>
      <c r="H20" s="361"/>
      <c r="I20" s="361"/>
      <c r="J20" s="362"/>
      <c r="K20" s="207"/>
      <c r="L20" s="207"/>
      <c r="M20" s="203"/>
      <c r="N20" s="254"/>
      <c r="O20" s="364"/>
    </row>
    <row r="21" spans="1:15" s="8" customFormat="1" ht="409.5" customHeight="1" thickBot="1" x14ac:dyDescent="0.35">
      <c r="A21" s="44" t="s">
        <v>85</v>
      </c>
      <c r="B21" s="24" t="s">
        <v>29</v>
      </c>
      <c r="C21" s="377" t="s">
        <v>124</v>
      </c>
      <c r="D21" s="377"/>
      <c r="E21" s="377"/>
      <c r="F21" s="377"/>
      <c r="G21" s="378" t="s">
        <v>123</v>
      </c>
      <c r="H21" s="379"/>
      <c r="I21" s="379"/>
      <c r="J21" s="380"/>
      <c r="K21" s="371" t="s">
        <v>79</v>
      </c>
      <c r="L21" s="371"/>
      <c r="M21" s="371"/>
      <c r="N21" s="9"/>
      <c r="O21" s="25"/>
    </row>
    <row r="22" spans="1:15" s="8" customFormat="1" ht="18" thickTop="1" thickBot="1" x14ac:dyDescent="0.35">
      <c r="A22" s="106" t="s">
        <v>57</v>
      </c>
      <c r="B22" s="107"/>
      <c r="C22" s="107"/>
      <c r="D22" s="107" t="s">
        <v>24</v>
      </c>
      <c r="E22" s="107"/>
      <c r="F22" s="107"/>
      <c r="G22" s="107"/>
      <c r="H22" s="107"/>
      <c r="I22" s="107"/>
      <c r="J22" s="107" t="s">
        <v>25</v>
      </c>
      <c r="K22" s="107"/>
      <c r="L22" s="107"/>
      <c r="M22" s="107"/>
      <c r="N22" s="107"/>
      <c r="O22" s="114"/>
    </row>
    <row r="23" spans="1:15" s="8" customFormat="1" ht="23.25" customHeight="1" thickTop="1" x14ac:dyDescent="0.3">
      <c r="A23" s="341"/>
      <c r="B23" s="342"/>
      <c r="C23" s="345" t="s">
        <v>18</v>
      </c>
      <c r="D23" s="346"/>
      <c r="E23" s="346"/>
      <c r="F23" s="346"/>
      <c r="G23" s="346"/>
      <c r="H23" s="346"/>
      <c r="I23" s="346"/>
      <c r="J23" s="346"/>
      <c r="K23" s="346"/>
      <c r="L23" s="346"/>
      <c r="M23" s="347"/>
      <c r="N23" s="3" t="s">
        <v>16</v>
      </c>
      <c r="O23" s="10">
        <f>'1'!O7</f>
        <v>0</v>
      </c>
    </row>
    <row r="24" spans="1:15" s="8" customFormat="1" ht="21" customHeight="1" thickBot="1" x14ac:dyDescent="0.35">
      <c r="A24" s="343"/>
      <c r="B24" s="344"/>
      <c r="C24" s="348"/>
      <c r="D24" s="349"/>
      <c r="E24" s="349"/>
      <c r="F24" s="349"/>
      <c r="G24" s="349"/>
      <c r="H24" s="349"/>
      <c r="I24" s="349"/>
      <c r="J24" s="349"/>
      <c r="K24" s="349"/>
      <c r="L24" s="349"/>
      <c r="M24" s="350"/>
      <c r="N24" s="12" t="s">
        <v>27</v>
      </c>
      <c r="O24" s="11">
        <f>O16+1</f>
        <v>1</v>
      </c>
    </row>
    <row r="25" spans="1:15" s="8" customFormat="1" ht="19.5" customHeight="1" thickTop="1" x14ac:dyDescent="0.3">
      <c r="A25" s="200" t="s">
        <v>0</v>
      </c>
      <c r="B25" s="201"/>
      <c r="C25" s="351" t="s">
        <v>3</v>
      </c>
      <c r="D25" s="353" t="s">
        <v>4</v>
      </c>
      <c r="E25" s="353" t="s">
        <v>5</v>
      </c>
      <c r="F25" s="355" t="s">
        <v>6</v>
      </c>
      <c r="G25" s="357" t="s">
        <v>7</v>
      </c>
      <c r="H25" s="358"/>
      <c r="I25" s="358"/>
      <c r="J25" s="359"/>
      <c r="K25" s="129" t="s">
        <v>28</v>
      </c>
      <c r="L25" s="206"/>
      <c r="M25" s="201"/>
      <c r="N25" s="331" t="s">
        <v>15</v>
      </c>
      <c r="O25" s="131" t="s">
        <v>16</v>
      </c>
    </row>
    <row r="26" spans="1:15" s="8" customFormat="1" ht="21" customHeight="1" thickBot="1" x14ac:dyDescent="0.35">
      <c r="A26" s="202"/>
      <c r="B26" s="203"/>
      <c r="C26" s="352"/>
      <c r="D26" s="354"/>
      <c r="E26" s="354"/>
      <c r="F26" s="356"/>
      <c r="G26" s="360"/>
      <c r="H26" s="361"/>
      <c r="I26" s="361"/>
      <c r="J26" s="362"/>
      <c r="K26" s="130"/>
      <c r="L26" s="207"/>
      <c r="M26" s="203"/>
      <c r="N26" s="254"/>
      <c r="O26" s="132"/>
    </row>
    <row r="27" spans="1:15" s="8" customFormat="1" ht="409.5" customHeight="1" thickBot="1" x14ac:dyDescent="0.35">
      <c r="A27" s="44" t="s">
        <v>85</v>
      </c>
      <c r="B27" s="24" t="s">
        <v>118</v>
      </c>
      <c r="C27" s="332" t="s">
        <v>117</v>
      </c>
      <c r="D27" s="333"/>
      <c r="E27" s="333"/>
      <c r="F27" s="334"/>
      <c r="G27" s="335" t="s">
        <v>115</v>
      </c>
      <c r="H27" s="336"/>
      <c r="I27" s="336"/>
      <c r="J27" s="337"/>
      <c r="K27" s="338" t="s">
        <v>79</v>
      </c>
      <c r="L27" s="339"/>
      <c r="M27" s="340"/>
      <c r="N27" s="34" t="s">
        <v>116</v>
      </c>
      <c r="O27" s="25" t="s">
        <v>169</v>
      </c>
    </row>
    <row r="28" spans="1:15" s="8" customFormat="1" ht="18" thickTop="1" thickBot="1" x14ac:dyDescent="0.35">
      <c r="A28" s="106" t="s">
        <v>57</v>
      </c>
      <c r="B28" s="107"/>
      <c r="C28" s="107"/>
      <c r="D28" s="107" t="s">
        <v>24</v>
      </c>
      <c r="E28" s="107"/>
      <c r="F28" s="107"/>
      <c r="G28" s="107"/>
      <c r="H28" s="107"/>
      <c r="I28" s="107"/>
      <c r="J28" s="107" t="s">
        <v>25</v>
      </c>
      <c r="K28" s="107"/>
      <c r="L28" s="107"/>
      <c r="M28" s="107"/>
      <c r="N28" s="107"/>
      <c r="O28" s="114"/>
    </row>
    <row r="29" spans="1:15" ht="17.399999999999999" thickTop="1" x14ac:dyDescent="0.3"/>
  </sheetData>
  <mergeCells count="81">
    <mergeCell ref="A22:C22"/>
    <mergeCell ref="D22:I22"/>
    <mergeCell ref="J22:O22"/>
    <mergeCell ref="G7:J7"/>
    <mergeCell ref="G6:J6"/>
    <mergeCell ref="C7:F7"/>
    <mergeCell ref="A9:B10"/>
    <mergeCell ref="C9:M10"/>
    <mergeCell ref="A11:B12"/>
    <mergeCell ref="C11:C12"/>
    <mergeCell ref="D11:D12"/>
    <mergeCell ref="E11:E12"/>
    <mergeCell ref="F11:F12"/>
    <mergeCell ref="G11:J12"/>
    <mergeCell ref="K11:M12"/>
    <mergeCell ref="A5:A8"/>
    <mergeCell ref="A1:B2"/>
    <mergeCell ref="C1:M2"/>
    <mergeCell ref="D3:D4"/>
    <mergeCell ref="E3:E4"/>
    <mergeCell ref="F3:F4"/>
    <mergeCell ref="A3:B4"/>
    <mergeCell ref="C3:C4"/>
    <mergeCell ref="G3:J4"/>
    <mergeCell ref="K3:M4"/>
    <mergeCell ref="N6:N7"/>
    <mergeCell ref="O6:O7"/>
    <mergeCell ref="C16:F16"/>
    <mergeCell ref="C15:F15"/>
    <mergeCell ref="N3:N4"/>
    <mergeCell ref="O3:O4"/>
    <mergeCell ref="K7:M7"/>
    <mergeCell ref="G5:J5"/>
    <mergeCell ref="G8:J8"/>
    <mergeCell ref="K21:M21"/>
    <mergeCell ref="K6:M6"/>
    <mergeCell ref="K5:M5"/>
    <mergeCell ref="K8:M8"/>
    <mergeCell ref="K16:M16"/>
    <mergeCell ref="K13:M13"/>
    <mergeCell ref="K15:M15"/>
    <mergeCell ref="C14:M14"/>
    <mergeCell ref="C21:F21"/>
    <mergeCell ref="G21:J21"/>
    <mergeCell ref="G16:J16"/>
    <mergeCell ref="G15:J15"/>
    <mergeCell ref="G13:J13"/>
    <mergeCell ref="C13:F13"/>
    <mergeCell ref="C8:F8"/>
    <mergeCell ref="G25:J26"/>
    <mergeCell ref="K25:M26"/>
    <mergeCell ref="N11:N12"/>
    <mergeCell ref="O11:O12"/>
    <mergeCell ref="A17:B18"/>
    <mergeCell ref="C17:M18"/>
    <mergeCell ref="A19:B20"/>
    <mergeCell ref="C19:C20"/>
    <mergeCell ref="D19:D20"/>
    <mergeCell ref="E19:E20"/>
    <mergeCell ref="F19:F20"/>
    <mergeCell ref="G19:J20"/>
    <mergeCell ref="K19:M20"/>
    <mergeCell ref="N19:N20"/>
    <mergeCell ref="O19:O20"/>
    <mergeCell ref="A13:A16"/>
    <mergeCell ref="A28:C28"/>
    <mergeCell ref="D28:I28"/>
    <mergeCell ref="J28:O28"/>
    <mergeCell ref="C5:F6"/>
    <mergeCell ref="N25:N26"/>
    <mergeCell ref="O25:O26"/>
    <mergeCell ref="C27:F27"/>
    <mergeCell ref="G27:J27"/>
    <mergeCell ref="K27:M27"/>
    <mergeCell ref="A23:B24"/>
    <mergeCell ref="C23:M24"/>
    <mergeCell ref="A25:B26"/>
    <mergeCell ref="C25:C26"/>
    <mergeCell ref="D25:D26"/>
    <mergeCell ref="E25:E26"/>
    <mergeCell ref="F25:F26"/>
  </mergeCells>
  <pageMargins left="0" right="0.5" top="0" bottom="0" header="0" footer="0"/>
  <pageSetup orientation="landscape" r:id="rId1"/>
  <rowBreaks count="3" manualBreakCount="3">
    <brk id="8" max="16383" man="1"/>
    <brk id="16" max="16383" man="1"/>
    <brk id="22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Q17"/>
  <sheetViews>
    <sheetView rightToLeft="1" tabSelected="1" view="pageBreakPreview" topLeftCell="A7" zoomScaleNormal="85" zoomScaleSheetLayoutView="100" workbookViewId="0">
      <selection activeCell="E9" sqref="E9"/>
    </sheetView>
  </sheetViews>
  <sheetFormatPr defaultColWidth="9.21875" defaultRowHeight="16.8" x14ac:dyDescent="0.3"/>
  <cols>
    <col min="1" max="1" width="7" style="1" customWidth="1"/>
    <col min="2" max="2" width="12.88671875" style="1" customWidth="1"/>
    <col min="3" max="3" width="11" style="1" customWidth="1"/>
    <col min="4" max="4" width="13" style="1" customWidth="1"/>
    <col min="5" max="5" width="15.44140625" style="1" customWidth="1"/>
    <col min="6" max="6" width="14.21875" style="1" customWidth="1"/>
    <col min="7" max="8" width="9.21875" style="1"/>
    <col min="9" max="9" width="6.5546875" style="1" customWidth="1"/>
    <col min="10" max="10" width="1.44140625" style="1" customWidth="1"/>
    <col min="11" max="11" width="8" style="8" customWidth="1"/>
    <col min="12" max="12" width="7.5546875" style="8" customWidth="1"/>
    <col min="13" max="13" width="2.44140625" style="1" customWidth="1"/>
    <col min="14" max="14" width="9.21875" style="1"/>
    <col min="15" max="15" width="11.77734375" style="1" customWidth="1"/>
    <col min="16" max="16384" width="9.21875" style="1"/>
  </cols>
  <sheetData>
    <row r="1" spans="1:17" ht="33" customHeight="1" thickTop="1" x14ac:dyDescent="0.3">
      <c r="A1" s="123"/>
      <c r="B1" s="124"/>
      <c r="C1" s="127" t="s">
        <v>83</v>
      </c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3" t="s">
        <v>16</v>
      </c>
      <c r="O1" s="10" t="str">
        <f>'1'!O1</f>
        <v>1405/05/22</v>
      </c>
    </row>
    <row r="2" spans="1:17" ht="33" customHeight="1" thickBot="1" x14ac:dyDescent="0.35">
      <c r="A2" s="125"/>
      <c r="B2" s="126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" t="s">
        <v>27</v>
      </c>
      <c r="O2" s="79">
        <f>'1'!O2+1</f>
        <v>2</v>
      </c>
    </row>
    <row r="3" spans="1:17" ht="19.5" customHeight="1" thickTop="1" x14ac:dyDescent="0.3">
      <c r="A3" s="200" t="s">
        <v>0</v>
      </c>
      <c r="B3" s="365"/>
      <c r="C3" s="204" t="s">
        <v>3</v>
      </c>
      <c r="D3" s="152" t="s">
        <v>4</v>
      </c>
      <c r="E3" s="152" t="s">
        <v>5</v>
      </c>
      <c r="F3" s="155" t="s">
        <v>6</v>
      </c>
      <c r="G3" s="206" t="s">
        <v>7</v>
      </c>
      <c r="H3" s="206"/>
      <c r="I3" s="206"/>
      <c r="J3" s="201"/>
      <c r="K3" s="206" t="s">
        <v>28</v>
      </c>
      <c r="L3" s="206"/>
      <c r="M3" s="201"/>
      <c r="N3" s="331" t="s">
        <v>15</v>
      </c>
      <c r="O3" s="363" t="s">
        <v>16</v>
      </c>
    </row>
    <row r="4" spans="1:17" ht="21" customHeight="1" thickBot="1" x14ac:dyDescent="0.35">
      <c r="A4" s="279"/>
      <c r="B4" s="388"/>
      <c r="C4" s="367"/>
      <c r="D4" s="154"/>
      <c r="E4" s="154"/>
      <c r="F4" s="156"/>
      <c r="G4" s="207"/>
      <c r="H4" s="207"/>
      <c r="I4" s="207"/>
      <c r="J4" s="203"/>
      <c r="K4" s="207"/>
      <c r="L4" s="207"/>
      <c r="M4" s="203"/>
      <c r="N4" s="254"/>
      <c r="O4" s="364"/>
    </row>
    <row r="5" spans="1:17" ht="43.5" customHeight="1" x14ac:dyDescent="0.3">
      <c r="A5" s="368" t="s">
        <v>84</v>
      </c>
      <c r="B5" s="92" t="s">
        <v>91</v>
      </c>
      <c r="C5" s="101">
        <v>30</v>
      </c>
      <c r="D5" s="101">
        <v>45</v>
      </c>
      <c r="E5" s="101">
        <v>43</v>
      </c>
      <c r="F5" s="101">
        <v>35</v>
      </c>
      <c r="G5" s="416"/>
      <c r="H5" s="417"/>
      <c r="I5" s="417"/>
      <c r="J5" s="418"/>
      <c r="K5" s="419"/>
      <c r="L5" s="420"/>
      <c r="M5" s="421"/>
      <c r="N5" s="13" t="s">
        <v>114</v>
      </c>
      <c r="O5" s="89"/>
      <c r="Q5" s="1" t="s">
        <v>42</v>
      </c>
    </row>
    <row r="6" spans="1:17" ht="31.5" customHeight="1" x14ac:dyDescent="0.3">
      <c r="A6" s="369"/>
      <c r="B6" s="93" t="s">
        <v>92</v>
      </c>
      <c r="C6" s="101">
        <v>0.04</v>
      </c>
      <c r="D6" s="101">
        <v>0.08</v>
      </c>
      <c r="E6" s="101">
        <v>7.0000000000000007E-2</v>
      </c>
      <c r="F6" s="101">
        <v>7.0000000000000007E-2</v>
      </c>
      <c r="G6" s="425"/>
      <c r="H6" s="426"/>
      <c r="I6" s="426"/>
      <c r="J6" s="427"/>
      <c r="K6" s="422"/>
      <c r="L6" s="423"/>
      <c r="M6" s="424"/>
      <c r="N6" s="13" t="s">
        <v>114</v>
      </c>
      <c r="O6" s="43" t="s">
        <v>38</v>
      </c>
      <c r="Q6" s="1" t="s">
        <v>43</v>
      </c>
    </row>
    <row r="7" spans="1:17" ht="43.5" customHeight="1" x14ac:dyDescent="0.3">
      <c r="A7" s="369"/>
      <c r="B7" s="94" t="s">
        <v>93</v>
      </c>
      <c r="C7" s="101">
        <v>95</v>
      </c>
      <c r="D7" s="101">
        <v>80</v>
      </c>
      <c r="E7" s="101">
        <v>83</v>
      </c>
      <c r="F7" s="101">
        <v>83</v>
      </c>
      <c r="G7" s="399"/>
      <c r="H7" s="400"/>
      <c r="I7" s="400"/>
      <c r="J7" s="401"/>
      <c r="K7" s="402"/>
      <c r="L7" s="403"/>
      <c r="M7" s="404"/>
      <c r="N7" s="394" t="s">
        <v>114</v>
      </c>
      <c r="O7" s="411" t="s">
        <v>74</v>
      </c>
      <c r="Q7" s="1" t="s">
        <v>43</v>
      </c>
    </row>
    <row r="8" spans="1:17" ht="30.75" customHeight="1" x14ac:dyDescent="0.3">
      <c r="A8" s="369"/>
      <c r="B8" s="94" t="s">
        <v>94</v>
      </c>
      <c r="C8" s="101">
        <v>90</v>
      </c>
      <c r="D8" s="101">
        <v>70</v>
      </c>
      <c r="E8" s="101">
        <v>83</v>
      </c>
      <c r="F8" s="101">
        <v>86</v>
      </c>
      <c r="G8" s="399"/>
      <c r="H8" s="400"/>
      <c r="I8" s="400"/>
      <c r="J8" s="401"/>
      <c r="K8" s="402"/>
      <c r="L8" s="403"/>
      <c r="M8" s="404"/>
      <c r="N8" s="395"/>
      <c r="O8" s="412"/>
      <c r="Q8" s="1" t="s">
        <v>42</v>
      </c>
    </row>
    <row r="9" spans="1:17" s="8" customFormat="1" ht="43.95" customHeight="1" x14ac:dyDescent="0.3">
      <c r="A9" s="369"/>
      <c r="B9" s="95" t="s">
        <v>95</v>
      </c>
      <c r="C9" s="101">
        <v>80</v>
      </c>
      <c r="D9" s="101">
        <v>70</v>
      </c>
      <c r="E9" s="101">
        <v>71</v>
      </c>
      <c r="F9" s="101">
        <v>83</v>
      </c>
      <c r="G9" s="399"/>
      <c r="H9" s="400"/>
      <c r="I9" s="400"/>
      <c r="J9" s="401"/>
      <c r="K9" s="402"/>
      <c r="L9" s="403"/>
      <c r="M9" s="404"/>
      <c r="N9" s="395"/>
      <c r="O9" s="412"/>
      <c r="Q9" s="8" t="s">
        <v>43</v>
      </c>
    </row>
    <row r="10" spans="1:17" s="8" customFormat="1" ht="58.5" customHeight="1" x14ac:dyDescent="0.3">
      <c r="A10" s="369"/>
      <c r="B10" s="94" t="s">
        <v>96</v>
      </c>
      <c r="C10" s="101">
        <v>95</v>
      </c>
      <c r="D10" s="101">
        <v>85</v>
      </c>
      <c r="E10" s="101">
        <v>91.45</v>
      </c>
      <c r="F10" s="101">
        <v>95.73</v>
      </c>
      <c r="G10" s="425"/>
      <c r="H10" s="426"/>
      <c r="I10" s="426"/>
      <c r="J10" s="427"/>
      <c r="K10" s="413"/>
      <c r="L10" s="414"/>
      <c r="M10" s="415"/>
      <c r="N10" s="395"/>
      <c r="O10" s="412"/>
      <c r="Q10" s="8" t="s">
        <v>42</v>
      </c>
    </row>
    <row r="11" spans="1:17" s="8" customFormat="1" ht="34.5" customHeight="1" x14ac:dyDescent="0.3">
      <c r="A11" s="369"/>
      <c r="B11" s="96" t="s">
        <v>97</v>
      </c>
      <c r="C11" s="101">
        <v>90</v>
      </c>
      <c r="D11" s="101">
        <v>80</v>
      </c>
      <c r="E11" s="101">
        <v>76</v>
      </c>
      <c r="F11" s="101">
        <v>96.2</v>
      </c>
      <c r="G11" s="408"/>
      <c r="H11" s="409"/>
      <c r="I11" s="409"/>
      <c r="J11" s="410"/>
      <c r="K11" s="391"/>
      <c r="L11" s="392"/>
      <c r="M11" s="393"/>
      <c r="N11" s="396"/>
      <c r="O11" s="86" t="s">
        <v>68</v>
      </c>
      <c r="Q11" s="8" t="s">
        <v>43</v>
      </c>
    </row>
    <row r="12" spans="1:17" s="8" customFormat="1" ht="39.75" customHeight="1" x14ac:dyDescent="0.3">
      <c r="A12" s="369"/>
      <c r="B12" s="95" t="s">
        <v>98</v>
      </c>
      <c r="C12" s="101">
        <v>95</v>
      </c>
      <c r="D12" s="101">
        <v>80</v>
      </c>
      <c r="E12" s="101">
        <v>90</v>
      </c>
      <c r="F12" s="101">
        <v>90</v>
      </c>
      <c r="G12" s="431"/>
      <c r="H12" s="432"/>
      <c r="I12" s="432"/>
      <c r="J12" s="433"/>
      <c r="K12" s="405"/>
      <c r="L12" s="406"/>
      <c r="M12" s="407"/>
      <c r="N12" s="397" t="s">
        <v>56</v>
      </c>
      <c r="O12" s="389" t="s">
        <v>38</v>
      </c>
      <c r="Q12" s="8" t="s">
        <v>43</v>
      </c>
    </row>
    <row r="13" spans="1:17" s="8" customFormat="1" ht="28.5" customHeight="1" x14ac:dyDescent="0.3">
      <c r="A13" s="369"/>
      <c r="B13" s="95" t="s">
        <v>99</v>
      </c>
      <c r="C13" s="101">
        <v>90</v>
      </c>
      <c r="D13" s="101">
        <v>80</v>
      </c>
      <c r="E13" s="101">
        <v>80</v>
      </c>
      <c r="F13" s="101">
        <v>80</v>
      </c>
      <c r="G13" s="434"/>
      <c r="H13" s="435"/>
      <c r="I13" s="435"/>
      <c r="J13" s="436"/>
      <c r="K13" s="385"/>
      <c r="L13" s="386"/>
      <c r="M13" s="387"/>
      <c r="N13" s="398"/>
      <c r="O13" s="390"/>
      <c r="Q13" s="8" t="s">
        <v>42</v>
      </c>
    </row>
    <row r="14" spans="1:17" s="8" customFormat="1" ht="27.75" customHeight="1" x14ac:dyDescent="0.3">
      <c r="A14" s="369"/>
      <c r="B14" s="97" t="s">
        <v>100</v>
      </c>
      <c r="C14" s="101">
        <v>90</v>
      </c>
      <c r="D14" s="101">
        <v>80</v>
      </c>
      <c r="E14" s="101">
        <v>83</v>
      </c>
      <c r="F14" s="101">
        <v>83</v>
      </c>
      <c r="G14" s="413"/>
      <c r="H14" s="414"/>
      <c r="I14" s="414"/>
      <c r="J14" s="415"/>
      <c r="K14" s="391"/>
      <c r="L14" s="392"/>
      <c r="M14" s="393"/>
      <c r="N14" s="67" t="s">
        <v>39</v>
      </c>
      <c r="O14" s="85"/>
      <c r="Q14" s="8" t="s">
        <v>43</v>
      </c>
    </row>
    <row r="15" spans="1:17" ht="26.55" customHeight="1" thickBot="1" x14ac:dyDescent="0.35">
      <c r="A15" s="369"/>
      <c r="B15" s="96" t="s">
        <v>101</v>
      </c>
      <c r="C15" s="101">
        <v>90</v>
      </c>
      <c r="D15" s="101">
        <v>80</v>
      </c>
      <c r="E15" s="105">
        <v>0.82099999999999995</v>
      </c>
      <c r="F15" s="105">
        <v>0.84599999999999997</v>
      </c>
      <c r="G15" s="437"/>
      <c r="H15" s="438"/>
      <c r="I15" s="438"/>
      <c r="J15" s="439"/>
      <c r="K15" s="428"/>
      <c r="L15" s="429"/>
      <c r="M15" s="430"/>
      <c r="N15" s="13" t="s">
        <v>114</v>
      </c>
      <c r="O15" s="86" t="s">
        <v>68</v>
      </c>
      <c r="Q15" s="1" t="s">
        <v>43</v>
      </c>
    </row>
    <row r="16" spans="1:17" s="8" customFormat="1" ht="18" thickTop="1" thickBot="1" x14ac:dyDescent="0.35">
      <c r="A16" s="106" t="s">
        <v>57</v>
      </c>
      <c r="B16" s="107"/>
      <c r="C16" s="107"/>
      <c r="D16" s="107" t="s">
        <v>24</v>
      </c>
      <c r="E16" s="107"/>
      <c r="F16" s="107"/>
      <c r="G16" s="107"/>
      <c r="H16" s="107"/>
      <c r="I16" s="107"/>
      <c r="J16" s="107" t="s">
        <v>25</v>
      </c>
      <c r="K16" s="107"/>
      <c r="L16" s="107"/>
      <c r="M16" s="107"/>
      <c r="N16" s="107"/>
      <c r="O16" s="114"/>
    </row>
    <row r="17" ht="17.399999999999999" thickTop="1" x14ac:dyDescent="0.3"/>
  </sheetData>
  <mergeCells count="41">
    <mergeCell ref="A5:A15"/>
    <mergeCell ref="G14:J14"/>
    <mergeCell ref="G5:J5"/>
    <mergeCell ref="K5:M5"/>
    <mergeCell ref="K6:M6"/>
    <mergeCell ref="G6:J6"/>
    <mergeCell ref="G10:J10"/>
    <mergeCell ref="K10:M10"/>
    <mergeCell ref="K11:M11"/>
    <mergeCell ref="K15:M15"/>
    <mergeCell ref="G12:J12"/>
    <mergeCell ref="G13:J13"/>
    <mergeCell ref="G15:J15"/>
    <mergeCell ref="N3:N4"/>
    <mergeCell ref="N12:N13"/>
    <mergeCell ref="O3:O4"/>
    <mergeCell ref="G7:J7"/>
    <mergeCell ref="G8:J8"/>
    <mergeCell ref="G9:J9"/>
    <mergeCell ref="K7:M7"/>
    <mergeCell ref="K8:M8"/>
    <mergeCell ref="K9:M9"/>
    <mergeCell ref="K12:M12"/>
    <mergeCell ref="G11:J11"/>
    <mergeCell ref="O7:O10"/>
    <mergeCell ref="A16:C16"/>
    <mergeCell ref="D16:I16"/>
    <mergeCell ref="J16:O16"/>
    <mergeCell ref="K13:M13"/>
    <mergeCell ref="A1:B2"/>
    <mergeCell ref="C1:M2"/>
    <mergeCell ref="D3:D4"/>
    <mergeCell ref="E3:E4"/>
    <mergeCell ref="F3:F4"/>
    <mergeCell ref="A3:B4"/>
    <mergeCell ref="C3:C4"/>
    <mergeCell ref="G3:J4"/>
    <mergeCell ref="K3:M4"/>
    <mergeCell ref="O12:O13"/>
    <mergeCell ref="K14:M14"/>
    <mergeCell ref="N7:N11"/>
  </mergeCells>
  <pageMargins left="0" right="0.5" top="0" bottom="0" header="0.31496062992126" footer="0.31496062992126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O32"/>
  <sheetViews>
    <sheetView rightToLeft="1" view="pageBreakPreview" topLeftCell="A13" zoomScaleNormal="85" zoomScaleSheetLayoutView="100" workbookViewId="0">
      <selection activeCell="K8" sqref="K8:O8"/>
    </sheetView>
  </sheetViews>
  <sheetFormatPr defaultColWidth="9.21875" defaultRowHeight="16.8" x14ac:dyDescent="0.3"/>
  <cols>
    <col min="1" max="2" width="12.44140625" style="1" customWidth="1"/>
    <col min="3" max="3" width="9.5546875" style="1" customWidth="1"/>
    <col min="4" max="4" width="7" style="1" customWidth="1"/>
    <col min="5" max="5" width="6.77734375" style="1" customWidth="1"/>
    <col min="6" max="6" width="7.21875" style="1" customWidth="1"/>
    <col min="7" max="7" width="7.44140625" style="1" customWidth="1"/>
    <col min="8" max="9" width="9.21875" style="1"/>
    <col min="10" max="10" width="8.109375" style="1" customWidth="1"/>
    <col min="11" max="12" width="9.21875" style="8"/>
    <col min="13" max="13" width="1.21875" style="1" customWidth="1"/>
    <col min="14" max="14" width="9.77734375" style="1" customWidth="1"/>
    <col min="15" max="15" width="11.77734375" style="1" customWidth="1"/>
    <col min="16" max="16384" width="9.21875" style="1"/>
  </cols>
  <sheetData>
    <row r="1" spans="1:15" ht="33" customHeight="1" thickTop="1" x14ac:dyDescent="0.3">
      <c r="A1" s="123"/>
      <c r="B1" s="307"/>
      <c r="C1" s="540" t="s">
        <v>82</v>
      </c>
      <c r="D1" s="127"/>
      <c r="E1" s="127"/>
      <c r="F1" s="127"/>
      <c r="G1" s="127"/>
      <c r="H1" s="127"/>
      <c r="I1" s="127"/>
      <c r="J1" s="127"/>
      <c r="K1" s="541"/>
      <c r="L1" s="541"/>
      <c r="M1" s="542"/>
      <c r="N1" s="3" t="s">
        <v>16</v>
      </c>
      <c r="O1" s="10" t="s">
        <v>168</v>
      </c>
    </row>
    <row r="2" spans="1:15" ht="33" customHeight="1" thickBot="1" x14ac:dyDescent="0.35">
      <c r="A2" s="125"/>
      <c r="B2" s="308"/>
      <c r="C2" s="543"/>
      <c r="D2" s="128"/>
      <c r="E2" s="128"/>
      <c r="F2" s="128"/>
      <c r="G2" s="128"/>
      <c r="H2" s="128"/>
      <c r="I2" s="128"/>
      <c r="J2" s="128"/>
      <c r="K2" s="544"/>
      <c r="L2" s="544"/>
      <c r="M2" s="545"/>
      <c r="N2" s="12" t="s">
        <v>27</v>
      </c>
      <c r="O2" s="11">
        <v>1</v>
      </c>
    </row>
    <row r="3" spans="1:15" ht="30" customHeight="1" thickTop="1" thickBot="1" x14ac:dyDescent="0.35">
      <c r="A3" s="549" t="s">
        <v>0</v>
      </c>
      <c r="B3" s="550"/>
      <c r="C3" s="84" t="s">
        <v>3</v>
      </c>
      <c r="D3" s="81" t="s">
        <v>4</v>
      </c>
      <c r="E3" s="81" t="s">
        <v>5</v>
      </c>
      <c r="F3" s="82" t="s">
        <v>6</v>
      </c>
      <c r="G3" s="546" t="s">
        <v>7</v>
      </c>
      <c r="H3" s="547"/>
      <c r="I3" s="547"/>
      <c r="J3" s="548"/>
      <c r="K3" s="547" t="s">
        <v>28</v>
      </c>
      <c r="L3" s="547"/>
      <c r="M3" s="548"/>
      <c r="N3" s="80" t="s">
        <v>15</v>
      </c>
      <c r="O3" s="83" t="s">
        <v>16</v>
      </c>
    </row>
    <row r="4" spans="1:15" ht="54.45" customHeight="1" x14ac:dyDescent="0.3">
      <c r="A4" s="484" t="s">
        <v>1</v>
      </c>
      <c r="B4" s="28" t="s">
        <v>31</v>
      </c>
      <c r="C4" s="489" t="s">
        <v>87</v>
      </c>
      <c r="D4" s="490"/>
      <c r="E4" s="490"/>
      <c r="F4" s="491"/>
      <c r="G4" s="529" t="s">
        <v>86</v>
      </c>
      <c r="H4" s="530"/>
      <c r="I4" s="530"/>
      <c r="J4" s="531"/>
      <c r="K4" s="555" t="s">
        <v>88</v>
      </c>
      <c r="L4" s="556"/>
      <c r="M4" s="557"/>
      <c r="N4" s="51" t="s">
        <v>76</v>
      </c>
      <c r="O4" s="57" t="s">
        <v>169</v>
      </c>
    </row>
    <row r="5" spans="1:15" s="7" customFormat="1" ht="27" customHeight="1" thickBot="1" x14ac:dyDescent="0.35">
      <c r="A5" s="485"/>
      <c r="B5" s="60" t="s">
        <v>32</v>
      </c>
      <c r="C5" s="561"/>
      <c r="D5" s="562"/>
      <c r="E5" s="562"/>
      <c r="F5" s="563"/>
      <c r="G5" s="564"/>
      <c r="H5" s="552"/>
      <c r="I5" s="552"/>
      <c r="J5" s="565"/>
      <c r="K5" s="558"/>
      <c r="L5" s="559"/>
      <c r="M5" s="560"/>
      <c r="N5" s="49"/>
      <c r="O5" s="59"/>
    </row>
    <row r="6" spans="1:15" s="7" customFormat="1" ht="31.5" customHeight="1" thickBot="1" x14ac:dyDescent="0.35">
      <c r="A6" s="485"/>
      <c r="B6" s="50" t="s">
        <v>30</v>
      </c>
      <c r="C6" s="479" t="s">
        <v>89</v>
      </c>
      <c r="D6" s="480"/>
      <c r="E6" s="480"/>
      <c r="F6" s="481"/>
      <c r="G6" s="479"/>
      <c r="H6" s="480"/>
      <c r="I6" s="480"/>
      <c r="J6" s="481"/>
      <c r="K6" s="479"/>
      <c r="L6" s="480"/>
      <c r="M6" s="481"/>
      <c r="N6" s="51" t="s">
        <v>76</v>
      </c>
      <c r="O6" s="91" t="s">
        <v>169</v>
      </c>
    </row>
    <row r="7" spans="1:15" s="7" customFormat="1" ht="27" customHeight="1" x14ac:dyDescent="0.3">
      <c r="A7" s="492" t="s">
        <v>104</v>
      </c>
      <c r="B7" s="500" t="s">
        <v>2</v>
      </c>
      <c r="C7" s="505" t="s">
        <v>105</v>
      </c>
      <c r="D7" s="506"/>
      <c r="E7" s="506"/>
      <c r="F7" s="506"/>
      <c r="G7" s="506"/>
      <c r="H7" s="506"/>
      <c r="I7" s="506"/>
      <c r="J7" s="507"/>
      <c r="K7" s="473"/>
      <c r="L7" s="474"/>
      <c r="M7" s="475"/>
      <c r="N7" s="88" t="s">
        <v>77</v>
      </c>
      <c r="O7" s="29"/>
    </row>
    <row r="8" spans="1:15" s="8" customFormat="1" ht="27" customHeight="1" x14ac:dyDescent="0.3">
      <c r="A8" s="493"/>
      <c r="B8" s="501"/>
      <c r="C8" s="502" t="s">
        <v>106</v>
      </c>
      <c r="D8" s="503"/>
      <c r="E8" s="503"/>
      <c r="F8" s="503"/>
      <c r="G8" s="503"/>
      <c r="H8" s="503"/>
      <c r="I8" s="503"/>
      <c r="J8" s="504"/>
      <c r="K8" s="476"/>
      <c r="L8" s="477"/>
      <c r="M8" s="477"/>
      <c r="N8" s="477"/>
      <c r="O8" s="551"/>
    </row>
    <row r="9" spans="1:15" s="8" customFormat="1" ht="27.75" customHeight="1" x14ac:dyDescent="0.3">
      <c r="A9" s="493"/>
      <c r="B9" s="501"/>
      <c r="C9" s="502" t="s">
        <v>107</v>
      </c>
      <c r="D9" s="503"/>
      <c r="E9" s="503"/>
      <c r="F9" s="503"/>
      <c r="G9" s="503"/>
      <c r="H9" s="503"/>
      <c r="I9" s="503"/>
      <c r="J9" s="504"/>
      <c r="K9" s="476"/>
      <c r="L9" s="477"/>
      <c r="M9" s="477"/>
      <c r="N9" s="477"/>
      <c r="O9" s="551"/>
    </row>
    <row r="10" spans="1:15" s="8" customFormat="1" ht="28.5" customHeight="1" x14ac:dyDescent="0.3">
      <c r="A10" s="493"/>
      <c r="B10" s="501"/>
      <c r="C10" s="502" t="s">
        <v>108</v>
      </c>
      <c r="D10" s="503"/>
      <c r="E10" s="503"/>
      <c r="F10" s="503"/>
      <c r="G10" s="503"/>
      <c r="H10" s="503"/>
      <c r="I10" s="503"/>
      <c r="J10" s="504"/>
      <c r="K10" s="476"/>
      <c r="L10" s="477"/>
      <c r="M10" s="477"/>
      <c r="N10" s="552"/>
      <c r="O10" s="553"/>
    </row>
    <row r="11" spans="1:15" s="8" customFormat="1" ht="37.5" customHeight="1" x14ac:dyDescent="0.3">
      <c r="A11" s="493"/>
      <c r="B11" s="501"/>
      <c r="C11" s="502" t="s">
        <v>109</v>
      </c>
      <c r="D11" s="503"/>
      <c r="E11" s="503"/>
      <c r="F11" s="503"/>
      <c r="G11" s="503"/>
      <c r="H11" s="503"/>
      <c r="I11" s="503"/>
      <c r="J11" s="504"/>
      <c r="K11" s="554"/>
      <c r="L11" s="554"/>
      <c r="M11" s="554"/>
      <c r="N11" s="99"/>
      <c r="O11" s="100"/>
    </row>
    <row r="12" spans="1:15" s="8" customFormat="1" ht="26.25" customHeight="1" x14ac:dyDescent="0.3">
      <c r="A12" s="493"/>
      <c r="B12" s="501"/>
      <c r="C12" s="476" t="s">
        <v>110</v>
      </c>
      <c r="D12" s="477"/>
      <c r="E12" s="477"/>
      <c r="F12" s="477"/>
      <c r="G12" s="477"/>
      <c r="H12" s="477"/>
      <c r="I12" s="477"/>
      <c r="J12" s="478"/>
      <c r="K12" s="476"/>
      <c r="L12" s="477"/>
      <c r="M12" s="478"/>
      <c r="N12" s="98"/>
      <c r="O12" s="65"/>
    </row>
    <row r="13" spans="1:15" s="8" customFormat="1" ht="26.25" customHeight="1" x14ac:dyDescent="0.3">
      <c r="A13" s="493"/>
      <c r="B13" s="501"/>
      <c r="C13" s="476"/>
      <c r="D13" s="477"/>
      <c r="E13" s="477"/>
      <c r="F13" s="477"/>
      <c r="G13" s="477"/>
      <c r="H13" s="477"/>
      <c r="I13" s="477"/>
      <c r="J13" s="478"/>
      <c r="K13" s="476"/>
      <c r="L13" s="477"/>
      <c r="M13" s="478"/>
      <c r="N13" s="30"/>
      <c r="O13" s="72"/>
    </row>
    <row r="14" spans="1:15" s="7" customFormat="1" ht="28.5" customHeight="1" thickBot="1" x14ac:dyDescent="0.35">
      <c r="A14" s="493"/>
      <c r="B14" s="501"/>
      <c r="C14" s="467"/>
      <c r="D14" s="468"/>
      <c r="E14" s="468"/>
      <c r="F14" s="468"/>
      <c r="G14" s="468"/>
      <c r="H14" s="468"/>
      <c r="I14" s="468"/>
      <c r="J14" s="469"/>
      <c r="K14" s="470"/>
      <c r="L14" s="471"/>
      <c r="M14" s="472"/>
      <c r="N14" s="27"/>
      <c r="O14" s="26"/>
    </row>
    <row r="15" spans="1:15" s="8" customFormat="1" ht="17.25" customHeight="1" x14ac:dyDescent="0.3">
      <c r="A15" s="493"/>
      <c r="B15" s="482" t="s">
        <v>17</v>
      </c>
      <c r="C15" s="532"/>
      <c r="D15" s="533"/>
      <c r="E15" s="533"/>
      <c r="F15" s="533"/>
      <c r="G15" s="533"/>
      <c r="H15" s="533"/>
      <c r="I15" s="533"/>
      <c r="J15" s="534"/>
      <c r="K15" s="516"/>
      <c r="L15" s="517"/>
      <c r="M15" s="518"/>
      <c r="N15" s="525"/>
      <c r="O15" s="322"/>
    </row>
    <row r="16" spans="1:15" s="8" customFormat="1" ht="17.25" customHeight="1" x14ac:dyDescent="0.3">
      <c r="A16" s="493"/>
      <c r="B16" s="483"/>
      <c r="C16" s="535"/>
      <c r="D16" s="293"/>
      <c r="E16" s="293"/>
      <c r="F16" s="293"/>
      <c r="G16" s="293"/>
      <c r="H16" s="293"/>
      <c r="I16" s="293"/>
      <c r="J16" s="536"/>
      <c r="K16" s="519"/>
      <c r="L16" s="520"/>
      <c r="M16" s="521"/>
      <c r="N16" s="526"/>
      <c r="O16" s="323"/>
    </row>
    <row r="17" spans="1:15" s="8" customFormat="1" ht="13.05" customHeight="1" thickBot="1" x14ac:dyDescent="0.35">
      <c r="A17" s="493"/>
      <c r="B17" s="483"/>
      <c r="C17" s="537"/>
      <c r="D17" s="538"/>
      <c r="E17" s="538"/>
      <c r="F17" s="538"/>
      <c r="G17" s="538"/>
      <c r="H17" s="538"/>
      <c r="I17" s="538"/>
      <c r="J17" s="539"/>
      <c r="K17" s="522"/>
      <c r="L17" s="523"/>
      <c r="M17" s="524"/>
      <c r="N17" s="527"/>
      <c r="O17" s="528"/>
    </row>
    <row r="18" spans="1:15" s="8" customFormat="1" ht="23.55" customHeight="1" x14ac:dyDescent="0.3">
      <c r="A18" s="493"/>
      <c r="B18" s="483"/>
      <c r="C18" s="497"/>
      <c r="D18" s="498"/>
      <c r="E18" s="498"/>
      <c r="F18" s="498"/>
      <c r="G18" s="498"/>
      <c r="H18" s="498"/>
      <c r="I18" s="498"/>
      <c r="J18" s="499"/>
      <c r="K18" s="529"/>
      <c r="L18" s="530"/>
      <c r="M18" s="531"/>
      <c r="N18" s="54"/>
      <c r="O18" s="52"/>
    </row>
    <row r="19" spans="1:15" s="8" customFormat="1" ht="22.95" customHeight="1" thickBot="1" x14ac:dyDescent="0.35">
      <c r="A19" s="493"/>
      <c r="B19" s="483"/>
      <c r="C19" s="494"/>
      <c r="D19" s="495"/>
      <c r="E19" s="495"/>
      <c r="F19" s="495"/>
      <c r="G19" s="495"/>
      <c r="H19" s="495"/>
      <c r="I19" s="495"/>
      <c r="J19" s="496"/>
      <c r="K19" s="497"/>
      <c r="L19" s="498"/>
      <c r="M19" s="499"/>
      <c r="N19" s="66"/>
      <c r="O19" s="53"/>
    </row>
    <row r="20" spans="1:15" s="8" customFormat="1" ht="19.5" customHeight="1" thickBot="1" x14ac:dyDescent="0.35">
      <c r="A20" s="102"/>
      <c r="B20" s="16" t="s">
        <v>150</v>
      </c>
      <c r="C20" s="17">
        <v>100</v>
      </c>
      <c r="D20" s="18">
        <v>70</v>
      </c>
      <c r="E20" s="18">
        <v>88.3</v>
      </c>
      <c r="F20" s="18">
        <v>91.13</v>
      </c>
      <c r="G20" s="508"/>
      <c r="H20" s="508"/>
      <c r="I20" s="508"/>
      <c r="J20" s="509"/>
      <c r="K20" s="465"/>
      <c r="L20" s="465"/>
      <c r="M20" s="466"/>
      <c r="N20" s="5"/>
      <c r="O20" s="2"/>
    </row>
    <row r="21" spans="1:15" ht="19.5" customHeight="1" x14ac:dyDescent="0.3">
      <c r="A21" s="440" t="s">
        <v>33</v>
      </c>
      <c r="B21" s="16" t="s">
        <v>151</v>
      </c>
      <c r="C21" s="17">
        <v>100</v>
      </c>
      <c r="D21" s="18">
        <v>70</v>
      </c>
      <c r="E21" s="18">
        <v>88.3</v>
      </c>
      <c r="F21" s="18">
        <v>91.13</v>
      </c>
      <c r="G21" s="508"/>
      <c r="H21" s="508"/>
      <c r="I21" s="508"/>
      <c r="J21" s="509"/>
      <c r="K21" s="465"/>
      <c r="L21" s="465"/>
      <c r="M21" s="466"/>
      <c r="N21" s="5"/>
      <c r="O21" s="2"/>
    </row>
    <row r="22" spans="1:15" ht="19.5" customHeight="1" thickBot="1" x14ac:dyDescent="0.35">
      <c r="A22" s="441"/>
      <c r="B22" s="15" t="s">
        <v>152</v>
      </c>
      <c r="C22" s="19">
        <v>100</v>
      </c>
      <c r="D22" s="18">
        <v>70</v>
      </c>
      <c r="E22" s="20">
        <v>92.4</v>
      </c>
      <c r="F22" s="20">
        <v>94.93</v>
      </c>
      <c r="G22" s="510"/>
      <c r="H22" s="511"/>
      <c r="I22" s="511"/>
      <c r="J22" s="512"/>
      <c r="K22" s="463"/>
      <c r="L22" s="463"/>
      <c r="M22" s="464"/>
      <c r="N22" s="6"/>
      <c r="O22" s="4"/>
    </row>
    <row r="23" spans="1:15" s="8" customFormat="1" ht="21" customHeight="1" x14ac:dyDescent="0.3">
      <c r="A23" s="486" t="s">
        <v>45</v>
      </c>
      <c r="B23" s="46" t="s">
        <v>46</v>
      </c>
      <c r="C23" s="442" t="s">
        <v>149</v>
      </c>
      <c r="D23" s="443"/>
      <c r="E23" s="443"/>
      <c r="F23" s="443"/>
      <c r="G23" s="443"/>
      <c r="H23" s="443"/>
      <c r="I23" s="443"/>
      <c r="J23" s="443"/>
      <c r="K23" s="443"/>
      <c r="L23" s="443"/>
      <c r="M23" s="444"/>
      <c r="N23" s="38" t="s">
        <v>59</v>
      </c>
      <c r="O23" s="381" t="s">
        <v>38</v>
      </c>
    </row>
    <row r="24" spans="1:15" s="8" customFormat="1" ht="21" customHeight="1" x14ac:dyDescent="0.3">
      <c r="A24" s="487"/>
      <c r="B24" s="47" t="s">
        <v>47</v>
      </c>
      <c r="C24" s="447" t="s">
        <v>51</v>
      </c>
      <c r="D24" s="448"/>
      <c r="E24" s="448"/>
      <c r="F24" s="448"/>
      <c r="G24" s="448"/>
      <c r="H24" s="448"/>
      <c r="I24" s="448"/>
      <c r="J24" s="448"/>
      <c r="K24" s="448"/>
      <c r="L24" s="448"/>
      <c r="M24" s="449"/>
      <c r="N24" s="56" t="s">
        <v>40</v>
      </c>
      <c r="O24" s="445"/>
    </row>
    <row r="25" spans="1:15" s="8" customFormat="1" ht="21" customHeight="1" x14ac:dyDescent="0.3">
      <c r="A25" s="487"/>
      <c r="B25" s="47" t="s">
        <v>48</v>
      </c>
      <c r="C25" s="450" t="s">
        <v>53</v>
      </c>
      <c r="D25" s="451"/>
      <c r="E25" s="451"/>
      <c r="F25" s="451"/>
      <c r="G25" s="451"/>
      <c r="H25" s="451"/>
      <c r="I25" s="451"/>
      <c r="J25" s="451"/>
      <c r="K25" s="451"/>
      <c r="L25" s="451"/>
      <c r="M25" s="452"/>
      <c r="N25" s="39" t="s">
        <v>58</v>
      </c>
      <c r="O25" s="445"/>
    </row>
    <row r="26" spans="1:15" s="8" customFormat="1" ht="21" customHeight="1" thickBot="1" x14ac:dyDescent="0.35">
      <c r="A26" s="487"/>
      <c r="B26" s="48" t="s">
        <v>49</v>
      </c>
      <c r="C26" s="456" t="s">
        <v>52</v>
      </c>
      <c r="D26" s="457"/>
      <c r="E26" s="457"/>
      <c r="F26" s="457"/>
      <c r="G26" s="457"/>
      <c r="H26" s="457"/>
      <c r="I26" s="457"/>
      <c r="J26" s="457"/>
      <c r="K26" s="457"/>
      <c r="L26" s="457"/>
      <c r="M26" s="458"/>
      <c r="N26" s="90" t="s">
        <v>40</v>
      </c>
      <c r="O26" s="445"/>
    </row>
    <row r="27" spans="1:15" s="8" customFormat="1" ht="21" customHeight="1" thickBot="1" x14ac:dyDescent="0.35">
      <c r="A27" s="487"/>
      <c r="B27" s="48" t="s">
        <v>49</v>
      </c>
      <c r="C27" s="453" t="s">
        <v>111</v>
      </c>
      <c r="D27" s="454"/>
      <c r="E27" s="454"/>
      <c r="F27" s="454"/>
      <c r="G27" s="454"/>
      <c r="H27" s="454"/>
      <c r="I27" s="454"/>
      <c r="J27" s="454"/>
      <c r="K27" s="454"/>
      <c r="L27" s="454"/>
      <c r="M27" s="455"/>
      <c r="N27" s="90" t="s">
        <v>40</v>
      </c>
      <c r="O27" s="445"/>
    </row>
    <row r="28" spans="1:15" s="8" customFormat="1" ht="21" customHeight="1" thickBot="1" x14ac:dyDescent="0.35">
      <c r="A28" s="487"/>
      <c r="B28" s="48" t="s">
        <v>49</v>
      </c>
      <c r="C28" s="456" t="s">
        <v>112</v>
      </c>
      <c r="D28" s="457"/>
      <c r="E28" s="457"/>
      <c r="F28" s="457"/>
      <c r="G28" s="457"/>
      <c r="H28" s="457"/>
      <c r="I28" s="457"/>
      <c r="J28" s="457"/>
      <c r="K28" s="457"/>
      <c r="L28" s="457"/>
      <c r="M28" s="458"/>
      <c r="N28" s="90" t="s">
        <v>40</v>
      </c>
      <c r="O28" s="445"/>
    </row>
    <row r="29" spans="1:15" s="8" customFormat="1" ht="30.45" customHeight="1" thickBot="1" x14ac:dyDescent="0.35">
      <c r="A29" s="488"/>
      <c r="B29" s="48" t="s">
        <v>49</v>
      </c>
      <c r="C29" s="453" t="s">
        <v>113</v>
      </c>
      <c r="D29" s="454"/>
      <c r="E29" s="454"/>
      <c r="F29" s="454"/>
      <c r="G29" s="454"/>
      <c r="H29" s="454"/>
      <c r="I29" s="454"/>
      <c r="J29" s="454"/>
      <c r="K29" s="454"/>
      <c r="L29" s="454"/>
      <c r="M29" s="455"/>
      <c r="N29" s="56" t="s">
        <v>40</v>
      </c>
      <c r="O29" s="445"/>
    </row>
    <row r="30" spans="1:15" ht="34.950000000000003" customHeight="1" thickBot="1" x14ac:dyDescent="0.35">
      <c r="A30" s="459" t="s">
        <v>90</v>
      </c>
      <c r="B30" s="460"/>
      <c r="C30" s="41">
        <v>100</v>
      </c>
      <c r="D30" s="42">
        <v>70</v>
      </c>
      <c r="E30" s="14">
        <v>82.43</v>
      </c>
      <c r="F30" s="40"/>
      <c r="G30" s="513"/>
      <c r="H30" s="514"/>
      <c r="I30" s="514"/>
      <c r="J30" s="515"/>
      <c r="K30" s="461"/>
      <c r="L30" s="461"/>
      <c r="M30" s="462"/>
      <c r="N30" s="61" t="s">
        <v>59</v>
      </c>
      <c r="O30" s="446"/>
    </row>
    <row r="31" spans="1:15" ht="18" thickTop="1" thickBot="1" x14ac:dyDescent="0.35">
      <c r="A31" s="106" t="s">
        <v>57</v>
      </c>
      <c r="B31" s="107"/>
      <c r="C31" s="107"/>
      <c r="D31" s="107" t="s">
        <v>24</v>
      </c>
      <c r="E31" s="107"/>
      <c r="F31" s="107"/>
      <c r="G31" s="107"/>
      <c r="H31" s="107"/>
      <c r="I31" s="107"/>
      <c r="J31" s="107" t="s">
        <v>25</v>
      </c>
      <c r="K31" s="107"/>
      <c r="L31" s="107"/>
      <c r="M31" s="107"/>
      <c r="N31" s="107"/>
      <c r="O31" s="114"/>
    </row>
    <row r="32" spans="1:15" ht="17.399999999999999" thickTop="1" x14ac:dyDescent="0.3"/>
  </sheetData>
  <mergeCells count="64">
    <mergeCell ref="C1:M2"/>
    <mergeCell ref="A1:B2"/>
    <mergeCell ref="K13:M13"/>
    <mergeCell ref="G3:J3"/>
    <mergeCell ref="K3:M3"/>
    <mergeCell ref="A3:B3"/>
    <mergeCell ref="K8:O8"/>
    <mergeCell ref="K9:O9"/>
    <mergeCell ref="K10:O10"/>
    <mergeCell ref="K11:M11"/>
    <mergeCell ref="G4:J4"/>
    <mergeCell ref="K4:M4"/>
    <mergeCell ref="K5:M5"/>
    <mergeCell ref="C5:F5"/>
    <mergeCell ref="G5:J5"/>
    <mergeCell ref="G22:J22"/>
    <mergeCell ref="G30:J30"/>
    <mergeCell ref="K15:M17"/>
    <mergeCell ref="N15:N17"/>
    <mergeCell ref="O15:O17"/>
    <mergeCell ref="K18:M18"/>
    <mergeCell ref="K19:M19"/>
    <mergeCell ref="C15:J17"/>
    <mergeCell ref="G20:J20"/>
    <mergeCell ref="K20:M20"/>
    <mergeCell ref="B15:B19"/>
    <mergeCell ref="A4:A6"/>
    <mergeCell ref="A23:A29"/>
    <mergeCell ref="C13:J13"/>
    <mergeCell ref="C4:F4"/>
    <mergeCell ref="A7:A19"/>
    <mergeCell ref="C19:J19"/>
    <mergeCell ref="C18:J18"/>
    <mergeCell ref="B7:B14"/>
    <mergeCell ref="C11:J11"/>
    <mergeCell ref="C9:J9"/>
    <mergeCell ref="C10:J10"/>
    <mergeCell ref="C7:J7"/>
    <mergeCell ref="C8:J8"/>
    <mergeCell ref="C12:J12"/>
    <mergeCell ref="G21:J21"/>
    <mergeCell ref="C14:J14"/>
    <mergeCell ref="K14:M14"/>
    <mergeCell ref="K7:M7"/>
    <mergeCell ref="K12:M12"/>
    <mergeCell ref="C6:F6"/>
    <mergeCell ref="G6:J6"/>
    <mergeCell ref="K6:M6"/>
    <mergeCell ref="A31:C31"/>
    <mergeCell ref="D31:I31"/>
    <mergeCell ref="J31:O31"/>
    <mergeCell ref="A21:A22"/>
    <mergeCell ref="C23:M23"/>
    <mergeCell ref="O23:O30"/>
    <mergeCell ref="C24:M24"/>
    <mergeCell ref="C25:M25"/>
    <mergeCell ref="C29:M29"/>
    <mergeCell ref="C28:M28"/>
    <mergeCell ref="C27:M27"/>
    <mergeCell ref="C26:M26"/>
    <mergeCell ref="A30:B30"/>
    <mergeCell ref="K30:M30"/>
    <mergeCell ref="K22:M22"/>
    <mergeCell ref="K21:M21"/>
  </mergeCells>
  <pageMargins left="0" right="0.5" top="0" bottom="0" header="0.31496062992126" footer="0.31496062992126"/>
  <pageSetup scale="99" orientation="landscape" r:id="rId1"/>
  <rowBreaks count="1" manualBreakCount="1">
    <brk id="22" max="14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2:I40"/>
  <sheetViews>
    <sheetView rightToLeft="1" view="pageBreakPreview" zoomScale="60" zoomScaleNormal="100" workbookViewId="0">
      <selection activeCell="T16" sqref="T16"/>
    </sheetView>
  </sheetViews>
  <sheetFormatPr defaultRowHeight="14.4" x14ac:dyDescent="0.3"/>
  <sheetData>
    <row r="2" spans="1:9" x14ac:dyDescent="0.3">
      <c r="A2" s="566"/>
      <c r="B2" s="566"/>
      <c r="C2" s="566"/>
      <c r="D2" s="566"/>
      <c r="E2" s="566"/>
      <c r="F2" s="566"/>
      <c r="G2" s="566"/>
      <c r="H2" s="566"/>
      <c r="I2" s="566"/>
    </row>
    <row r="3" spans="1:9" x14ac:dyDescent="0.3">
      <c r="A3" s="566"/>
      <c r="B3" s="566"/>
      <c r="C3" s="566"/>
      <c r="D3" s="566"/>
      <c r="E3" s="566"/>
      <c r="F3" s="566"/>
      <c r="G3" s="566"/>
      <c r="H3" s="566"/>
      <c r="I3" s="566"/>
    </row>
    <row r="4" spans="1:9" x14ac:dyDescent="0.3">
      <c r="A4" s="566"/>
      <c r="B4" s="566"/>
      <c r="C4" s="566"/>
      <c r="D4" s="566"/>
      <c r="E4" s="566"/>
      <c r="F4" s="566"/>
      <c r="G4" s="566"/>
      <c r="H4" s="566"/>
      <c r="I4" s="566"/>
    </row>
    <row r="5" spans="1:9" x14ac:dyDescent="0.3">
      <c r="A5" s="566"/>
      <c r="B5" s="566"/>
      <c r="C5" s="566"/>
      <c r="D5" s="566"/>
      <c r="E5" s="566"/>
      <c r="F5" s="566"/>
      <c r="G5" s="566"/>
      <c r="H5" s="566"/>
      <c r="I5" s="566"/>
    </row>
    <row r="6" spans="1:9" x14ac:dyDescent="0.3">
      <c r="A6" s="566"/>
      <c r="B6" s="566"/>
      <c r="C6" s="566"/>
      <c r="D6" s="566"/>
      <c r="E6" s="566"/>
      <c r="F6" s="566"/>
      <c r="G6" s="566"/>
      <c r="H6" s="566"/>
      <c r="I6" s="566"/>
    </row>
    <row r="40" spans="1:9" ht="38.25" customHeight="1" x14ac:dyDescent="0.3">
      <c r="A40" s="567" t="s">
        <v>73</v>
      </c>
      <c r="B40" s="567"/>
      <c r="C40" s="567"/>
      <c r="D40" s="567"/>
      <c r="E40" s="567"/>
      <c r="F40" s="567"/>
      <c r="G40" s="567"/>
      <c r="H40" s="567"/>
      <c r="I40" s="567"/>
    </row>
  </sheetData>
  <mergeCells count="2">
    <mergeCell ref="A2:I6"/>
    <mergeCell ref="A40:I40"/>
  </mergeCells>
  <pageMargins left="0.19685039370078741" right="0.19685039370078741" top="0.23622047244094491" bottom="0.23622047244094491" header="0.31496062992125984" footer="0.31496062992125984"/>
  <pageSetup paperSize="9" scale="9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15</vt:lpstr>
      <vt:lpstr>14</vt:lpstr>
      <vt:lpstr>8-9</vt:lpstr>
      <vt:lpstr>3</vt:lpstr>
      <vt:lpstr>2</vt:lpstr>
      <vt:lpstr>1</vt:lpstr>
      <vt:lpstr>0</vt:lpstr>
      <vt:lpstr>'0'!Print_Area</vt:lpstr>
      <vt:lpstr>'1'!Print_Area</vt:lpstr>
      <vt:lpstr>'15'!Print_Area</vt:lpstr>
      <vt:lpstr>'2'!Print_Area</vt:lpstr>
      <vt:lpstr>'8-9'!Print_Area</vt:lpstr>
    </vt:vector>
  </TitlesOfParts>
  <Company>Office07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Ghasem Bayati</dc:creator>
  <cp:lastModifiedBy>Shahriar Naeim</cp:lastModifiedBy>
  <cp:lastPrinted>2026-09-12T13:07:41Z</cp:lastPrinted>
  <dcterms:created xsi:type="dcterms:W3CDTF">2020-08-03T07:16:04Z</dcterms:created>
  <dcterms:modified xsi:type="dcterms:W3CDTF">2026-09-15T11:11:32Z</dcterms:modified>
</cp:coreProperties>
</file>